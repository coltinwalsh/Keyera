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124226"/>
  <mc:AlternateContent xmlns:mc="http://schemas.openxmlformats.org/markup-compatibility/2006">
    <mc:Choice Requires="x15">
      <x15ac:absPath xmlns:x15ac="http://schemas.microsoft.com/office/spreadsheetml/2010/11/ac" url="\\FDNET.COM\CA_Projects\CA_F3KY\215_STRUCTURAL\215E_ENGINEERING_DESIGN_DATA\215E_014_R_Proj_Calculations_Sketches\F3KY-215-CAL-031 CWA 240 Tray Waterfall Pile and Steel Design\Working\"/>
    </mc:Choice>
  </mc:AlternateContent>
  <xr:revisionPtr revIDLastSave="0" documentId="13_ncr:1_{C67500F5-7938-44C3-B27D-C3F8304B7A3E}" xr6:coauthVersionLast="47" xr6:coauthVersionMax="47" xr10:uidLastSave="{00000000-0000-0000-0000-000000000000}"/>
  <bookViews>
    <workbookView xWindow="28680" yWindow="-5490" windowWidth="38640" windowHeight="21120" tabRatio="687" xr2:uid="{00000000-000D-0000-FFFF-FFFF00000000}"/>
  </bookViews>
  <sheets>
    <sheet name="2L_Check - L102" sheetId="5" r:id="rId1"/>
    <sheet name="2L_Check - L76" sheetId="6" r:id="rId2"/>
    <sheet name="WT_Check - WT100" sheetId="7" r:id="rId3"/>
    <sheet name="2L_Database" sheetId="3" r:id="rId4"/>
  </sheets>
  <externalReferences>
    <externalReference r:id="rId5"/>
  </externalReferences>
  <definedNames>
    <definedName name="_xlnm._FilterDatabase" localSheetId="3" hidden="1">'2L_Database'!$A$78:$AE$218</definedName>
    <definedName name="_Tkc1">#REF!</definedName>
    <definedName name="_Tkc2">#REF!</definedName>
    <definedName name="A.bm">#REF!</definedName>
    <definedName name="A.br" localSheetId="0">'2L_Check - L102'!$D$90</definedName>
    <definedName name="A.br" localSheetId="1">'2L_Check - L76'!$D$90</definedName>
    <definedName name="A.br" localSheetId="2">'WT_Check - WT100'!$D$90</definedName>
    <definedName name="a_o">#REF!</definedName>
    <definedName name="ADF">#REF!</definedName>
    <definedName name="Aeff">#REF!</definedName>
    <definedName name="Am">#REF!</definedName>
    <definedName name="Ane.bm">#REF!</definedName>
    <definedName name="Ane.br" localSheetId="0">'2L_Check - L102'!$E$188</definedName>
    <definedName name="Ane.br" localSheetId="1">'2L_Check - L76'!$E$193</definedName>
    <definedName name="Ane.br" localSheetId="2">'WT_Check - WT100'!$E$193</definedName>
    <definedName name="Aw">#REF!</definedName>
    <definedName name="b.bm">#REF!</definedName>
    <definedName name="b.br" localSheetId="0">'2L_Check - L102'!$D$76</definedName>
    <definedName name="b.br" localSheetId="1">'2L_Check - L76'!$D$76</definedName>
    <definedName name="b.br" localSheetId="2">'WT_Check - WT100'!$D$76</definedName>
    <definedName name="BEAM">#REF!</definedName>
    <definedName name="C.a">#REF!</definedName>
    <definedName name="C.b">#REF!</definedName>
    <definedName name="C.e">#REF!</definedName>
    <definedName name="C.s">#REF!</definedName>
    <definedName name="C.w">#REF!</definedName>
    <definedName name="Ca">#REF!</definedName>
    <definedName name="Cb">#REF!</definedName>
    <definedName name="Cf">#REF!</definedName>
    <definedName name="Cf.bm">#REF!</definedName>
    <definedName name="Cf.br" localSheetId="0">'2L_Check - L102'!$D$124</definedName>
    <definedName name="Cf.br" localSheetId="1">'2L_Check - L76'!$D$125</definedName>
    <definedName name="Cf.br" localSheetId="2">'WT_Check - WT100'!$D$125</definedName>
    <definedName name="CF.dfs">#REF!</definedName>
    <definedName name="check">#REF!</definedName>
    <definedName name="Check1">#REF!</definedName>
    <definedName name="Corr">#REF!</definedName>
    <definedName name="Cr.bm">#REF!</definedName>
    <definedName name="Cs">#REF!</definedName>
    <definedName name="Cw.br" localSheetId="0">'2L_Check - L102'!$D$97</definedName>
    <definedName name="Cw.br" localSheetId="1">'2L_Check - L76'!$D$97</definedName>
    <definedName name="Cw.br" localSheetId="2">'WT_Check - WT100'!$D$97</definedName>
    <definedName name="d.bm">#REF!</definedName>
    <definedName name="d.br" localSheetId="0">'2L_Check - L102'!$D$75</definedName>
    <definedName name="d.br" localSheetId="1">'2L_Check - L76'!$D$75</definedName>
    <definedName name="d.br" localSheetId="2">'WT_Check - WT100'!$D$75</definedName>
    <definedName name="D_hole">#REF!</definedName>
    <definedName name="D_in">#REF!</definedName>
    <definedName name="d_weld">#REF!</definedName>
    <definedName name="Dadf">#REF!</definedName>
    <definedName name="Deff">#REF!</definedName>
    <definedName name="E.b">#REF!</definedName>
    <definedName name="E.bm">#REF!</definedName>
    <definedName name="E.br" localSheetId="0">'2L_Check - L102'!$D$65</definedName>
    <definedName name="E.br" localSheetId="1">'2L_Check - L76'!$D$65</definedName>
    <definedName name="E.br" localSheetId="2">'WT_Check - WT100'!$D$65</definedName>
    <definedName name="F">#REF!</definedName>
    <definedName name="F.e">#REF!</definedName>
    <definedName name="Fe.br" localSheetId="0">'2L_Check - L102'!$D$158</definedName>
    <definedName name="Fe.br" localSheetId="1">'2L_Check - L76'!$D$159</definedName>
    <definedName name="Fe.br" localSheetId="2">'WT_Check - WT100'!$D$159</definedName>
    <definedName name="Fex.br" localSheetId="0">'2L_Check - L102'!$D$140</definedName>
    <definedName name="Fex.br" localSheetId="1">'2L_Check - L76'!$D$141</definedName>
    <definedName name="Fex.br" localSheetId="2">'WT_Check - WT100'!$D$141</definedName>
    <definedName name="Fey.br" localSheetId="0">'2L_Check - L102'!$D$142</definedName>
    <definedName name="Fey.br" localSheetId="1">'2L_Check - L76'!$D$143</definedName>
    <definedName name="Fey.br" localSheetId="2">'WT_Check - WT100'!$D$143</definedName>
    <definedName name="Feyz.br" localSheetId="0">'2L_Check - L102'!$D$146</definedName>
    <definedName name="Feyz.br" localSheetId="1">'2L_Check - L76'!$D$147</definedName>
    <definedName name="Feyz.br" localSheetId="2">'WT_Check - WT100'!$D$147</definedName>
    <definedName name="Fez.br" localSheetId="0">'2L_Check - L102'!$D$144</definedName>
    <definedName name="Fez.br" localSheetId="1">'2L_Check - L76'!$D$145</definedName>
    <definedName name="Fez.br" localSheetId="2">'WT_Check - WT100'!$D$145</definedName>
    <definedName name="Fs.bm">#REF!</definedName>
    <definedName name="Fu">#REF!</definedName>
    <definedName name="Fu.bm">#REF!</definedName>
    <definedName name="Fu.br" localSheetId="0">'2L_Check - L102'!$D$67</definedName>
    <definedName name="Fu.br" localSheetId="1">'2L_Check - L76'!$D$67</definedName>
    <definedName name="Fu.br" localSheetId="2">'WT_Check - WT100'!$D$67</definedName>
    <definedName name="Fy.bm">#REF!</definedName>
    <definedName name="Fy.br" localSheetId="0">'2L_Check - L102'!$D$66</definedName>
    <definedName name="Fy.br" localSheetId="1">'2L_Check - L76'!$D$66</definedName>
    <definedName name="Fy.br" localSheetId="2">'WT_Check - WT100'!$D$66</definedName>
    <definedName name="Fy_p">#REF!</definedName>
    <definedName name="Fy_pl">#REF!</definedName>
    <definedName name="Fye.bm">#REF!</definedName>
    <definedName name="G.br" localSheetId="0">'2L_Check - L102'!$D$68</definedName>
    <definedName name="G.br" localSheetId="1">'2L_Check - L76'!$D$68</definedName>
    <definedName name="G.br" localSheetId="2">'WT_Check - WT100'!$D$68</definedName>
    <definedName name="G_Settle">#REF!</definedName>
    <definedName name="Group">#REF!</definedName>
    <definedName name="GroupFactor">#REF!</definedName>
    <definedName name="h.bm">#REF!</definedName>
    <definedName name="h.n">#REF!</definedName>
    <definedName name="I.E">#REF!</definedName>
    <definedName name="I.s">#REF!</definedName>
    <definedName name="Ieff">#REF!</definedName>
    <definedName name="Is_ULS">#REF!</definedName>
    <definedName name="Ix.br" localSheetId="0">'2L_Check - L102'!$D$91</definedName>
    <definedName name="Ix.br" localSheetId="1">'2L_Check - L76'!$D$91</definedName>
    <definedName name="Ix.br" localSheetId="2">'WT_Check - WT100'!$D$91</definedName>
    <definedName name="Iy.br" localSheetId="0">'2L_Check - L102'!$D$93</definedName>
    <definedName name="Iy.br" localSheetId="1">'2L_Check - L76'!$D$93</definedName>
    <definedName name="Iy.br" localSheetId="2">'WT_Check - WT100'!$D$93</definedName>
    <definedName name="J.br" localSheetId="0">'2L_Check - L102'!$D$96</definedName>
    <definedName name="J.br" localSheetId="1">'2L_Check - L76'!$D$96</definedName>
    <definedName name="J.br" localSheetId="2">'WT_Check - WT100'!$D$96</definedName>
    <definedName name="J.trans">#REF!</definedName>
    <definedName name="joints">#REF!</definedName>
    <definedName name="K.bm">#REF!</definedName>
    <definedName name="Kx.br" localSheetId="0">'2L_Check - L102'!$D$105</definedName>
    <definedName name="Kx.br" localSheetId="1">'2L_Check - L76'!$D$105</definedName>
    <definedName name="Kx.br" localSheetId="2">'WT_Check - WT100'!$D$105</definedName>
    <definedName name="Ky.br" localSheetId="0">'2L_Check - L102'!$D$106</definedName>
    <definedName name="Ky.br" localSheetId="1">'2L_Check - L76'!$D$106</definedName>
    <definedName name="Ky.br" localSheetId="2">'WT_Check - WT100'!$D$106</definedName>
    <definedName name="Kz.br" localSheetId="0">'2L_Check - L102'!$D$107</definedName>
    <definedName name="Kz.br" localSheetId="1">'2L_Check - L76'!$D$107</definedName>
    <definedName name="Kz.br" localSheetId="2">'WT_Check - WT100'!$D$107</definedName>
    <definedName name="L.bm">#REF!</definedName>
    <definedName name="L_bp">#REF!</definedName>
    <definedName name="Lambda.bm">#REF!</definedName>
    <definedName name="Lambda.br" localSheetId="0">'2L_Check - L102'!$D$165</definedName>
    <definedName name="Lambda.br" localSheetId="1">'2L_Check - L76'!$D$166</definedName>
    <definedName name="Lambda.br" localSheetId="2">'WT_Check - WT100'!$D$166</definedName>
    <definedName name="Lun">#REF!</definedName>
    <definedName name="Lw">#REF!</definedName>
    <definedName name="Lx.br" localSheetId="0">'2L_Check - L102'!$D$102</definedName>
    <definedName name="Lx.br" localSheetId="1">'2L_Check - L76'!$D$102</definedName>
    <definedName name="Lx.br" localSheetId="2">'WT_Check - WT100'!$D$102</definedName>
    <definedName name="Ly.br" localSheetId="0">'2L_Check - L102'!$D$103</definedName>
    <definedName name="Ly.br" localSheetId="1">'2L_Check - L76'!$D$103</definedName>
    <definedName name="Ly.br" localSheetId="2">'WT_Check - WT100'!$D$103</definedName>
    <definedName name="Lz.br" localSheetId="0">'2L_Check - L102'!$D$104</definedName>
    <definedName name="Lz.br" localSheetId="1">'2L_Check - L76'!$D$104</definedName>
    <definedName name="Lz.br" localSheetId="2">'WT_Check - WT100'!$D$104</definedName>
    <definedName name="M.vtrans">#REF!</definedName>
    <definedName name="M_max1">#REF!</definedName>
    <definedName name="M_max2">#REF!</definedName>
    <definedName name="M_max2a">#REF!</definedName>
    <definedName name="M_max2b">#REF!</definedName>
    <definedName name="Mf">#REF!</definedName>
    <definedName name="Mf.x">#REF!</definedName>
    <definedName name="Mf.y">#REF!</definedName>
    <definedName name="Mmax">#REF!</definedName>
    <definedName name="Mmax_f">#REF!</definedName>
    <definedName name="Mmax_f1">#REF!</definedName>
    <definedName name="Mmax_f2">#REF!</definedName>
    <definedName name="Mmax_s">#REF!</definedName>
    <definedName name="Mr">#REF!</definedName>
    <definedName name="Mr.y">#REF!</definedName>
    <definedName name="Mrx.br" localSheetId="0">'2L_Check - L102'!$D$218</definedName>
    <definedName name="Mrx.br" localSheetId="1">'2L_Check - L76'!$D$223</definedName>
    <definedName name="Mrx.br" localSheetId="2">'WT_Check - WT100'!$D$223</definedName>
    <definedName name="Mweld">#REF!</definedName>
    <definedName name="n.bm">#REF!</definedName>
    <definedName name="n.br" localSheetId="0">'2L_Check - L102'!$D$164</definedName>
    <definedName name="n.br" localSheetId="1">'2L_Check - L76'!$D$165</definedName>
    <definedName name="n.br" localSheetId="2">'WT_Check - WT100'!$D$165</definedName>
    <definedName name="N.trans">#REF!</definedName>
    <definedName name="N_holes">#REF!</definedName>
    <definedName name="Omega.br" localSheetId="0">'2L_Check - L102'!$D$86</definedName>
    <definedName name="Omega.br" localSheetId="1">'2L_Check - L76'!$D$86</definedName>
    <definedName name="Omega.br" localSheetId="2">'WT_Check - WT100'!$D$86</definedName>
    <definedName name="P_max">#REF!</definedName>
    <definedName name="phi.bm">#REF!</definedName>
    <definedName name="PHI.br" localSheetId="0">'2L_Check - L102'!$D$69</definedName>
    <definedName name="PHI.br" localSheetId="1">'2L_Check - L76'!$D$69</definedName>
    <definedName name="PHI.br" localSheetId="2">'WT_Check - WT100'!$D$69</definedName>
    <definedName name="Phiu.bm">#REF!</definedName>
    <definedName name="PHIu.br" localSheetId="0">'2L_Check - L102'!$E$189</definedName>
    <definedName name="PHIu.br" localSheetId="1">'2L_Check - L76'!$E$194</definedName>
    <definedName name="PHIu.br" localSheetId="2">'WT_Check - WT100'!$E$194</definedName>
    <definedName name="Pile_Dia">#REF!</definedName>
    <definedName name="Pile_Length">#REF!</definedName>
    <definedName name="Pmax">#REF!</definedName>
    <definedName name="PmaxSLS">#REF!</definedName>
    <definedName name="_xlnm.Print_Area" localSheetId="0">'2L_Check - L102'!$A$1:$K$461</definedName>
    <definedName name="_xlnm.Print_Area" localSheetId="1">'2L_Check - L76'!$A$1:$K$475</definedName>
    <definedName name="_xlnm.Print_Area" localSheetId="2">'WT_Check - WT100'!$A$1:$K$474</definedName>
    <definedName name="Qu">#REF!</definedName>
    <definedName name="QU_45">#REF!</definedName>
    <definedName name="Qu_C">#REF!</definedName>
    <definedName name="Qu_F">#REF!</definedName>
    <definedName name="Qu_T">#REF!</definedName>
    <definedName name="R.d">#REF!</definedName>
    <definedName name="R.o">#REF!</definedName>
    <definedName name="r_eff">#REF!</definedName>
    <definedName name="r_o">#REF!</definedName>
    <definedName name="r0.br" localSheetId="0">'2L_Check - L102'!$D$85</definedName>
    <definedName name="r0.br" localSheetId="1">'2L_Check - L76'!$D$85</definedName>
    <definedName name="r0.br" localSheetId="2">'WT_Check - WT100'!$D$85</definedName>
    <definedName name="ratio_1">#REF!</definedName>
    <definedName name="rx.bm">#REF!</definedName>
    <definedName name="rx.br" localSheetId="0">'2L_Check - L102'!$D$82</definedName>
    <definedName name="rx.br" localSheetId="1">'2L_Check - L76'!$D$82</definedName>
    <definedName name="rx.br" localSheetId="2">'WT_Check - WT100'!$D$82</definedName>
    <definedName name="ry.bm">#REF!</definedName>
    <definedName name="ry.br" localSheetId="0">'2L_Check - L102'!$D$83</definedName>
    <definedName name="ry.br" localSheetId="1">'2L_Check - L76'!$D$83</definedName>
    <definedName name="ry.br" localSheetId="2">'WT_Check - WT100'!$D$83</definedName>
    <definedName name="S">#REF!</definedName>
    <definedName name="S.r">#REF!</definedName>
    <definedName name="S.s">#REF!</definedName>
    <definedName name="S.trans">#REF!</definedName>
    <definedName name="S_D">#REF!</definedName>
    <definedName name="S_ULS">#REF!</definedName>
    <definedName name="Sa0.2">#REF!</definedName>
    <definedName name="Sa0.5">#REF!</definedName>
    <definedName name="Sa1.0">#REF!</definedName>
    <definedName name="Sa2.0">#REF!</definedName>
    <definedName name="Settlment">#REF!</definedName>
    <definedName name="Sgroup">#REF!</definedName>
    <definedName name="ShapeData">#REF!</definedName>
    <definedName name="Sigma">#REF!</definedName>
    <definedName name="Sigma_a">#REF!</definedName>
    <definedName name="Sigma_m">#REF!</definedName>
    <definedName name="Sigma_t">#REF!</definedName>
    <definedName name="Sigma_v">#REF!</definedName>
    <definedName name="solver_adj" localSheetId="0" hidden="1">'2L_Check - L102'!$D$256</definedName>
    <definedName name="solver_adj" localSheetId="1" hidden="1">'2L_Check - L76'!$D$263</definedName>
    <definedName name="solver_adj" localSheetId="2" hidden="1">'WT_Check - WT100'!$D$263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'2L_Check - L102'!$D$257</definedName>
    <definedName name="solver_lhs1" localSheetId="1" hidden="1">'2L_Check - L76'!$D$264</definedName>
    <definedName name="solver_lhs1" localSheetId="2" hidden="1">'WT_Check - WT100'!$D$264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1</definedName>
    <definedName name="solver_num" localSheetId="1" hidden="1">1</definedName>
    <definedName name="solver_num" localSheetId="2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'2L_Check - L102'!$D$257</definedName>
    <definedName name="solver_opt" localSheetId="1" hidden="1">'2L_Check - L76'!$D$264</definedName>
    <definedName name="solver_opt" localSheetId="2" hidden="1">'WT_Check - WT100'!$D$264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2</definedName>
    <definedName name="solver_rel1" localSheetId="1" hidden="1">2</definedName>
    <definedName name="solver_rel1" localSheetId="2" hidden="1">2</definedName>
    <definedName name="solver_rhs1" localSheetId="0" hidden="1">'2L_Check - L102'!$D$220</definedName>
    <definedName name="solver_rhs1" localSheetId="1" hidden="1">'2L_Check - L76'!$D$225</definedName>
    <definedName name="solver_rhs1" localSheetId="2" hidden="1">'WT_Check - WT100'!$D$225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1" hidden="1">1</definedName>
    <definedName name="solver_typ" localSheetId="2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  <definedName name="Sr">#REF!</definedName>
    <definedName name="Ss">#REF!</definedName>
    <definedName name="Sweld">#REF!</definedName>
    <definedName name="Sx.br" localSheetId="0">'2L_Check - L102'!$D$92</definedName>
    <definedName name="Sx.br" localSheetId="1">'2L_Check - L76'!$D$92</definedName>
    <definedName name="Sx.br" localSheetId="2">'WT_Check - WT100'!$D$92</definedName>
    <definedName name="Sy.br">#REF!</definedName>
    <definedName name="t.bm">#REF!</definedName>
    <definedName name="t.br" localSheetId="0">'2L_Check - L102'!$D$78</definedName>
    <definedName name="t.br" localSheetId="1">'2L_Check - L76'!$D$78</definedName>
    <definedName name="t.br" localSheetId="2">'WT_Check - WT100'!$D$78</definedName>
    <definedName name="T.trans">#REF!</definedName>
    <definedName name="t_cap">#REF!</definedName>
    <definedName name="t_eff">#REF!</definedName>
    <definedName name="Tf.br" localSheetId="0">'2L_Check - L102'!$D$123</definedName>
    <definedName name="Tf.br" localSheetId="1">'2L_Check - L76'!$D$124</definedName>
    <definedName name="Tf.br" localSheetId="2">'WT_Check - WT100'!$D$124</definedName>
    <definedName name="tgusset">#REF!</definedName>
    <definedName name="Thi_b">#REF!</definedName>
    <definedName name="Thi_w">#REF!</definedName>
    <definedName name="Thick">#REF!</definedName>
    <definedName name="Thick_1">#REF!</definedName>
    <definedName name="Thick_2">#REF!</definedName>
    <definedName name="Tkc">#REF!</definedName>
    <definedName name="Tmax">#REF!</definedName>
    <definedName name="Tr.br">#REF!</definedName>
    <definedName name="Tweld">#REF!</definedName>
    <definedName name="U">#REF!</definedName>
    <definedName name="Unity">#REF!</definedName>
    <definedName name="v">#REF!</definedName>
    <definedName name="V.trans">#REF!</definedName>
    <definedName name="Vmax">#REF!</definedName>
    <definedName name="VmaxSLS">#REF!</definedName>
    <definedName name="Vr.bm">#REF!</definedName>
    <definedName name="Vr_m">#REF!</definedName>
    <definedName name="Vr_w">#REF!</definedName>
    <definedName name="Vweld">#REF!</definedName>
    <definedName name="Vy.dfs">#REF!</definedName>
    <definedName name="Vyf.bm">#REF!</definedName>
    <definedName name="Vz.dfs">#REF!</definedName>
    <definedName name="Vzf.bm">#REF!</definedName>
    <definedName name="W.bm">#REF!</definedName>
    <definedName name="w.br" localSheetId="0">'2L_Check - L102'!$D$77</definedName>
    <definedName name="w.br" localSheetId="1">'2L_Check - L76'!$D$77</definedName>
    <definedName name="w.br" localSheetId="2">'WT_Check - WT100'!$D$77</definedName>
    <definedName name="W_bp">#REF!</definedName>
    <definedName name="W_int">#REF!</definedName>
    <definedName name="WT" localSheetId="0">'2L_Check - L102'!$D$73</definedName>
    <definedName name="WT" localSheetId="1">'2L_Check - L76'!$D$73</definedName>
    <definedName name="WT" localSheetId="2">'WT_Check - WT100'!$D$73</definedName>
    <definedName name="WT.ShapeData">#REF!</definedName>
    <definedName name="Xu">#REF!</definedName>
    <definedName name="y">#REF!</definedName>
    <definedName name="y.br" localSheetId="0">'2L_Check - L102'!$D$80</definedName>
    <definedName name="y.br" localSheetId="1">'2L_Check - L76'!$D$80</definedName>
    <definedName name="y.br" localSheetId="2">'WT_Check - WT100'!$D$80</definedName>
    <definedName name="y0.br" localSheetId="0">'2L_Check - L102'!$D$81</definedName>
    <definedName name="y0.br" localSheetId="1">'2L_Check - L76'!$D$81</definedName>
    <definedName name="y0.br" localSheetId="2">'WT_Check - WT100'!$D$81</definedName>
    <definedName name="Yes_No">'[1]6. Load Development'!$AS$1:$AS$3</definedName>
    <definedName name="δallow">#REF!</definedName>
    <definedName name="δmax">#REF!</definedName>
    <definedName name="Φ_Axial">#REF!</definedName>
    <definedName name="Φ_F">#REF!</definedName>
    <definedName name="ΦQu_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1" i="7" l="1"/>
  <c r="E411" i="6"/>
  <c r="E398" i="5"/>
  <c r="D113" i="7"/>
  <c r="D317" i="7"/>
  <c r="D312" i="7"/>
  <c r="D264" i="7"/>
  <c r="D258" i="7"/>
  <c r="D257" i="7"/>
  <c r="D256" i="7"/>
  <c r="E211" i="7"/>
  <c r="D141" i="7"/>
  <c r="D127" i="7"/>
  <c r="D126" i="7"/>
  <c r="D125" i="7"/>
  <c r="D124" i="7"/>
  <c r="D103" i="7"/>
  <c r="D315" i="7" s="1"/>
  <c r="L91" i="7"/>
  <c r="E193" i="7"/>
  <c r="E192" i="7" s="1"/>
  <c r="D85" i="7"/>
  <c r="D255" i="7"/>
  <c r="D66" i="7"/>
  <c r="D225" i="7" s="1"/>
  <c r="L93" i="5"/>
  <c r="D317" i="6"/>
  <c r="D312" i="6"/>
  <c r="D127" i="6"/>
  <c r="D126" i="6"/>
  <c r="D125" i="6"/>
  <c r="D103" i="6"/>
  <c r="D315" i="6" s="1"/>
  <c r="D97" i="6"/>
  <c r="D96" i="6"/>
  <c r="D264" i="6" s="1"/>
  <c r="D92" i="6"/>
  <c r="D91" i="6"/>
  <c r="D310" i="6" s="1"/>
  <c r="D90" i="6"/>
  <c r="E193" i="6" s="1"/>
  <c r="E192" i="6" s="1"/>
  <c r="D83" i="6"/>
  <c r="D82" i="6"/>
  <c r="D109" i="6" s="1"/>
  <c r="D81" i="6"/>
  <c r="D80" i="6"/>
  <c r="D255" i="6" s="1"/>
  <c r="D78" i="6"/>
  <c r="D257" i="6" s="1"/>
  <c r="D77" i="6"/>
  <c r="D258" i="6" s="1"/>
  <c r="D76" i="6"/>
  <c r="D256" i="6" s="1"/>
  <c r="D75" i="6"/>
  <c r="D66" i="6"/>
  <c r="D124" i="6"/>
  <c r="D126" i="5"/>
  <c r="D125" i="5"/>
  <c r="D124" i="5"/>
  <c r="D123" i="5"/>
  <c r="D304" i="5"/>
  <c r="D299" i="5"/>
  <c r="D103" i="5"/>
  <c r="D97" i="5"/>
  <c r="D96" i="5"/>
  <c r="D257" i="5" s="1"/>
  <c r="D92" i="5"/>
  <c r="D91" i="5"/>
  <c r="D297" i="5" s="1"/>
  <c r="D90" i="5"/>
  <c r="D83" i="5"/>
  <c r="D82" i="5"/>
  <c r="D140" i="5" s="1"/>
  <c r="D81" i="5"/>
  <c r="D80" i="5"/>
  <c r="D248" i="5" s="1"/>
  <c r="D78" i="5"/>
  <c r="D250" i="5" s="1"/>
  <c r="D77" i="5"/>
  <c r="D76" i="5"/>
  <c r="D249" i="5" s="1"/>
  <c r="D75" i="5"/>
  <c r="D66" i="5"/>
  <c r="F206" i="5" s="1"/>
  <c r="D94" i="5" l="1"/>
  <c r="F211" i="7"/>
  <c r="D260" i="7"/>
  <c r="D261" i="7" s="1"/>
  <c r="D223" i="7"/>
  <c r="D371" i="7"/>
  <c r="D442" i="7"/>
  <c r="D129" i="7"/>
  <c r="D131" i="7" s="1"/>
  <c r="D281" i="7"/>
  <c r="D390" i="7" s="1"/>
  <c r="D398" i="7" s="1"/>
  <c r="D318" i="7"/>
  <c r="D376" i="7" s="1"/>
  <c r="D86" i="7"/>
  <c r="D109" i="7"/>
  <c r="G211" i="7"/>
  <c r="D338" i="7"/>
  <c r="D346" i="7" s="1"/>
  <c r="L91" i="6"/>
  <c r="D110" i="7"/>
  <c r="H211" i="7"/>
  <c r="D339" i="7"/>
  <c r="D94" i="6"/>
  <c r="D281" i="6" s="1"/>
  <c r="D310" i="7"/>
  <c r="D313" i="7" s="1"/>
  <c r="E187" i="7"/>
  <c r="D143" i="7"/>
  <c r="D104" i="7"/>
  <c r="D145" i="7" s="1"/>
  <c r="D85" i="6"/>
  <c r="D86" i="6" s="1"/>
  <c r="F211" i="6"/>
  <c r="G211" i="6"/>
  <c r="H211" i="6"/>
  <c r="D313" i="6"/>
  <c r="D393" i="6" s="1"/>
  <c r="D443" i="6"/>
  <c r="D338" i="6"/>
  <c r="D346" i="6" s="1"/>
  <c r="D260" i="6"/>
  <c r="D261" i="6" s="1"/>
  <c r="D339" i="6"/>
  <c r="D318" i="6"/>
  <c r="D394" i="6" s="1"/>
  <c r="D141" i="6"/>
  <c r="D371" i="6"/>
  <c r="D223" i="6"/>
  <c r="D225" i="6"/>
  <c r="D114" i="6"/>
  <c r="D129" i="6" s="1"/>
  <c r="D131" i="6" s="1"/>
  <c r="D143" i="6"/>
  <c r="E211" i="6"/>
  <c r="D104" i="6"/>
  <c r="D233" i="6" s="1"/>
  <c r="D110" i="6"/>
  <c r="E187" i="6"/>
  <c r="D274" i="5"/>
  <c r="E182" i="5"/>
  <c r="D429" i="5"/>
  <c r="D300" i="5"/>
  <c r="D362" i="5" s="1"/>
  <c r="D325" i="5"/>
  <c r="D333" i="5" s="1"/>
  <c r="E206" i="5"/>
  <c r="F210" i="5" s="1"/>
  <c r="D109" i="5"/>
  <c r="G206" i="5"/>
  <c r="H206" i="5"/>
  <c r="D142" i="5"/>
  <c r="D85" i="5"/>
  <c r="D86" i="5" s="1"/>
  <c r="D218" i="5"/>
  <c r="D220" i="5"/>
  <c r="D302" i="5"/>
  <c r="D305" i="5" s="1"/>
  <c r="D110" i="5"/>
  <c r="D114" i="5"/>
  <c r="D128" i="5" s="1"/>
  <c r="D130" i="5" s="1"/>
  <c r="D251" i="5"/>
  <c r="D253" i="5" s="1"/>
  <c r="D254" i="5" s="1"/>
  <c r="E188" i="5"/>
  <c r="E187" i="5" s="1"/>
  <c r="D358" i="5"/>
  <c r="D104" i="5"/>
  <c r="D326" i="5"/>
  <c r="D406" i="6" l="1"/>
  <c r="D409" i="6" s="1"/>
  <c r="D466" i="6"/>
  <c r="D470" i="6" s="1"/>
  <c r="D444" i="6"/>
  <c r="D448" i="6" s="1"/>
  <c r="D347" i="6"/>
  <c r="D394" i="7"/>
  <c r="F215" i="7"/>
  <c r="D233" i="7"/>
  <c r="D372" i="7"/>
  <c r="D380" i="7" s="1"/>
  <c r="D443" i="7"/>
  <c r="D447" i="7" s="1"/>
  <c r="D406" i="7"/>
  <c r="D409" i="7" s="1"/>
  <c r="D465" i="7"/>
  <c r="D469" i="7" s="1"/>
  <c r="D340" i="7"/>
  <c r="D348" i="7" s="1"/>
  <c r="D344" i="7"/>
  <c r="D147" i="7"/>
  <c r="D379" i="7"/>
  <c r="D347" i="7"/>
  <c r="D446" i="7"/>
  <c r="D340" i="6"/>
  <c r="D348" i="6" s="1"/>
  <c r="D372" i="6"/>
  <c r="D380" i="6" s="1"/>
  <c r="C197" i="7"/>
  <c r="E199" i="7"/>
  <c r="D441" i="7" s="1"/>
  <c r="D445" i="7" s="1"/>
  <c r="D390" i="6"/>
  <c r="D398" i="6" s="1"/>
  <c r="D343" i="7"/>
  <c r="D375" i="7"/>
  <c r="D393" i="7"/>
  <c r="D375" i="6"/>
  <c r="D145" i="6"/>
  <c r="D147" i="6" s="1"/>
  <c r="F215" i="6"/>
  <c r="D379" i="6"/>
  <c r="D447" i="6"/>
  <c r="D343" i="6"/>
  <c r="D376" i="6"/>
  <c r="D344" i="6"/>
  <c r="D237" i="6"/>
  <c r="D239" i="6" s="1"/>
  <c r="E239" i="6" s="1"/>
  <c r="D273" i="6"/>
  <c r="C197" i="6"/>
  <c r="E199" i="6"/>
  <c r="D442" i="6" s="1"/>
  <c r="D446" i="6" s="1"/>
  <c r="D452" i="5"/>
  <c r="D456" i="5" s="1"/>
  <c r="D430" i="5"/>
  <c r="D434" i="5" s="1"/>
  <c r="D377" i="5"/>
  <c r="D385" i="5" s="1"/>
  <c r="D359" i="5"/>
  <c r="D367" i="5" s="1"/>
  <c r="D327" i="5"/>
  <c r="D335" i="5" s="1"/>
  <c r="D393" i="5"/>
  <c r="D396" i="5" s="1"/>
  <c r="D330" i="5"/>
  <c r="D380" i="5"/>
  <c r="E194" i="5"/>
  <c r="D428" i="5" s="1"/>
  <c r="D432" i="5" s="1"/>
  <c r="D144" i="5"/>
  <c r="D146" i="5" s="1"/>
  <c r="D158" i="5" s="1"/>
  <c r="D165" i="5" s="1"/>
  <c r="D228" i="5"/>
  <c r="D232" i="5" s="1"/>
  <c r="D234" i="5" s="1"/>
  <c r="E234" i="5" s="1"/>
  <c r="D331" i="5"/>
  <c r="D381" i="5"/>
  <c r="D363" i="5"/>
  <c r="D433" i="5"/>
  <c r="D334" i="5"/>
  <c r="C192" i="5"/>
  <c r="D366" i="5"/>
  <c r="D237" i="7" l="1"/>
  <c r="D239" i="7" s="1"/>
  <c r="E239" i="7" s="1"/>
  <c r="D273" i="7"/>
  <c r="E350" i="7"/>
  <c r="E449" i="7"/>
  <c r="E450" i="6"/>
  <c r="D159" i="7"/>
  <c r="D166" i="7" s="1"/>
  <c r="C158" i="7"/>
  <c r="E350" i="6"/>
  <c r="D159" i="6"/>
  <c r="D166" i="6" s="1"/>
  <c r="C158" i="6"/>
  <c r="D389" i="6"/>
  <c r="D397" i="6" s="1"/>
  <c r="D465" i="6"/>
  <c r="D405" i="6"/>
  <c r="D408" i="6" s="1"/>
  <c r="E436" i="5"/>
  <c r="D266" i="5"/>
  <c r="E337" i="5"/>
  <c r="C157" i="5"/>
  <c r="D167" i="5"/>
  <c r="D357" i="5"/>
  <c r="D365" i="5" s="1"/>
  <c r="E369" i="5" s="1"/>
  <c r="D375" i="5"/>
  <c r="D383" i="5" s="1"/>
  <c r="D464" i="7" l="1"/>
  <c r="D405" i="7"/>
  <c r="D408" i="7" s="1"/>
  <c r="D389" i="7"/>
  <c r="D397" i="7" s="1"/>
  <c r="D370" i="7"/>
  <c r="D378" i="7" s="1"/>
  <c r="E382" i="7" s="1"/>
  <c r="D168" i="7"/>
  <c r="D388" i="7"/>
  <c r="D396" i="7" s="1"/>
  <c r="D468" i="6"/>
  <c r="D469" i="6"/>
  <c r="D370" i="6"/>
  <c r="D378" i="6" s="1"/>
  <c r="E382" i="6" s="1"/>
  <c r="D168" i="6"/>
  <c r="D388" i="6"/>
  <c r="D396" i="6" s="1"/>
  <c r="E400" i="6" s="1"/>
  <c r="D451" i="5"/>
  <c r="D392" i="5"/>
  <c r="D395" i="5" s="1"/>
  <c r="D376" i="5"/>
  <c r="D384" i="5" s="1"/>
  <c r="E387" i="5" s="1"/>
  <c r="E400" i="7" l="1"/>
  <c r="D467" i="7"/>
  <c r="D468" i="7"/>
  <c r="E472" i="6"/>
  <c r="D454" i="5"/>
  <c r="D455" i="5"/>
  <c r="E471" i="7" l="1"/>
  <c r="E458" i="5"/>
</calcChain>
</file>

<file path=xl/sharedStrings.xml><?xml version="1.0" encoding="utf-8"?>
<sst xmlns="http://schemas.openxmlformats.org/spreadsheetml/2006/main" count="1620" uniqueCount="549">
  <si>
    <t>Member Information:</t>
  </si>
  <si>
    <t>Shape:</t>
  </si>
  <si>
    <t>E=</t>
  </si>
  <si>
    <t>MPa</t>
  </si>
  <si>
    <t>Steel Grade:</t>
  </si>
  <si>
    <t>Section Properties:</t>
  </si>
  <si>
    <t xml:space="preserve">G = </t>
  </si>
  <si>
    <t>mm</t>
  </si>
  <si>
    <t>A =</t>
  </si>
  <si>
    <t>y =</t>
  </si>
  <si>
    <t>J =</t>
  </si>
  <si>
    <t>Ω =</t>
  </si>
  <si>
    <t>kN</t>
  </si>
  <si>
    <t>A) The least of:</t>
  </si>
  <si>
    <t>i)</t>
  </si>
  <si>
    <t>ii)</t>
  </si>
  <si>
    <t>iii)</t>
  </si>
  <si>
    <t>mm^2</t>
  </si>
  <si>
    <t>Tr is taken as the lesser of the capacity determined using sentences (i), (ii), and (iii):</t>
  </si>
  <si>
    <t>Determine Class of Section in Bending (Per Table 2):</t>
  </si>
  <si>
    <t>Class 1</t>
  </si>
  <si>
    <t>Class 2</t>
  </si>
  <si>
    <t>Class 3</t>
  </si>
  <si>
    <t xml:space="preserve">kN m </t>
  </si>
  <si>
    <t>Cw</t>
  </si>
  <si>
    <t>kNm</t>
  </si>
  <si>
    <t>13.8.4.a) - Cross Sectional Strength</t>
  </si>
  <si>
    <t>13.8.4.b) Overall Member Strength</t>
  </si>
  <si>
    <t>13.8.4.c) Overall Member Strength</t>
  </si>
  <si>
    <t>13.8.4.d) Moment Only Capacity</t>
  </si>
  <si>
    <t>Clause 13.9.1</t>
  </si>
  <si>
    <t>Loading Information:</t>
  </si>
  <si>
    <t>300W</t>
  </si>
  <si>
    <t>2L76x76x9.5</t>
  </si>
  <si>
    <t>2L76x76x13</t>
  </si>
  <si>
    <t>Prp</t>
  </si>
  <si>
    <t>Dsg</t>
  </si>
  <si>
    <t>Avl</t>
  </si>
  <si>
    <t>Shp</t>
  </si>
  <si>
    <t>Grp</t>
  </si>
  <si>
    <t>D</t>
  </si>
  <si>
    <t>B</t>
  </si>
  <si>
    <t>T</t>
  </si>
  <si>
    <t>Ryp</t>
  </si>
  <si>
    <t>BT</t>
  </si>
  <si>
    <t>DT</t>
  </si>
  <si>
    <t>K</t>
  </si>
  <si>
    <t>TanA</t>
  </si>
  <si>
    <t>Mass</t>
  </si>
  <si>
    <t>A</t>
  </si>
  <si>
    <t>Ix</t>
  </si>
  <si>
    <t>Sx</t>
  </si>
  <si>
    <t>Rx</t>
  </si>
  <si>
    <t>Y</t>
  </si>
  <si>
    <t>Ry0</t>
  </si>
  <si>
    <t>Ry8</t>
  </si>
  <si>
    <t>Ry10</t>
  </si>
  <si>
    <t>Ry12</t>
  </si>
  <si>
    <t>Ry16</t>
  </si>
  <si>
    <t>Ry20</t>
  </si>
  <si>
    <t>Yo</t>
  </si>
  <si>
    <t>J</t>
  </si>
  <si>
    <t>SA</t>
  </si>
  <si>
    <t>Ds_i</t>
  </si>
  <si>
    <t>Wt_i</t>
  </si>
  <si>
    <t>10^6</t>
  </si>
  <si>
    <t>10^3</t>
  </si>
  <si>
    <t>10^9</t>
  </si>
  <si>
    <t>2L: Double Angles</t>
  </si>
  <si>
    <t>kg/m</t>
  </si>
  <si>
    <t>mm^4</t>
  </si>
  <si>
    <t>mm^3</t>
  </si>
  <si>
    <t>mm^6</t>
  </si>
  <si>
    <t>m</t>
  </si>
  <si>
    <t>lb/ft</t>
  </si>
  <si>
    <t>Short Legs Back-to-Back</t>
  </si>
  <si>
    <t>*</t>
  </si>
  <si>
    <t>2L203x152x25</t>
  </si>
  <si>
    <t>2L8x6x1.000</t>
  </si>
  <si>
    <t>2L203x152x22</t>
  </si>
  <si>
    <t>2L8x6x0.875</t>
  </si>
  <si>
    <t>2L203x152x19</t>
  </si>
  <si>
    <t>2L8x6x0.750</t>
  </si>
  <si>
    <t>2L203x152x16</t>
  </si>
  <si>
    <t>2L8x6x0.625</t>
  </si>
  <si>
    <t>2L203x152x14</t>
  </si>
  <si>
    <t>2L8x6x0.563</t>
  </si>
  <si>
    <t>2L203x152x13</t>
  </si>
  <si>
    <t>2L8x6x0.500</t>
  </si>
  <si>
    <t>2L203x102x25</t>
  </si>
  <si>
    <t>2L8x4x1.000</t>
  </si>
  <si>
    <t>2L203x102x19</t>
  </si>
  <si>
    <t>2L8x4x0.750</t>
  </si>
  <si>
    <t>2L203x102x13</t>
  </si>
  <si>
    <t>2L8x4x0.500</t>
  </si>
  <si>
    <t>2L178x102x19</t>
  </si>
  <si>
    <t>2L7x4x0.750</t>
  </si>
  <si>
    <t>2L178x102x16</t>
  </si>
  <si>
    <t>2L7x4x0.625</t>
  </si>
  <si>
    <t>2L178x102x13</t>
  </si>
  <si>
    <t>2L7x4x0.500</t>
  </si>
  <si>
    <t>2L178x102x11</t>
  </si>
  <si>
    <t>2L7x4x0.438</t>
  </si>
  <si>
    <t>2L178x102x9.5</t>
  </si>
  <si>
    <t>2L7x4x0.375</t>
  </si>
  <si>
    <t>2L152x102x22</t>
  </si>
  <si>
    <t>2L6x4x0.875</t>
  </si>
  <si>
    <t>2L152x102x19</t>
  </si>
  <si>
    <t>2L6x4x0.750</t>
  </si>
  <si>
    <t>2L152x102x16</t>
  </si>
  <si>
    <t>2L6x4x0.625</t>
  </si>
  <si>
    <t>2L152x102x14</t>
  </si>
  <si>
    <t>2L6x4x0.563</t>
  </si>
  <si>
    <t>2L152x102x13</t>
  </si>
  <si>
    <t>2L6x4x0.500</t>
  </si>
  <si>
    <t>2L152x102x11</t>
  </si>
  <si>
    <t>2L6x4x0.438</t>
  </si>
  <si>
    <t>2L152x102x9.5</t>
  </si>
  <si>
    <t>2L6x4x0.375</t>
  </si>
  <si>
    <t>2L152x102x7.9</t>
  </si>
  <si>
    <t>2L6x4x0.313</t>
  </si>
  <si>
    <t>2L152x89x16</t>
  </si>
  <si>
    <t>2L6x3.5x0.625</t>
  </si>
  <si>
    <t>2L152x89x13</t>
  </si>
  <si>
    <t>2L6x3.5x0.500</t>
  </si>
  <si>
    <t>2L152x89x9.5</t>
  </si>
  <si>
    <t>2L6x3.5x0.375</t>
  </si>
  <si>
    <t>2L152x89x7.9</t>
  </si>
  <si>
    <t>2L6x3.5x0.313</t>
  </si>
  <si>
    <t>2L127x89x19</t>
  </si>
  <si>
    <t>2L5x3.5x0.750</t>
  </si>
  <si>
    <t>2L127x89x16</t>
  </si>
  <si>
    <t>2L5x3.5x0.625</t>
  </si>
  <si>
    <t>2L127x89x13</t>
  </si>
  <si>
    <t>2L5x3.5x0.500</t>
  </si>
  <si>
    <t>2L127x89x9.5</t>
  </si>
  <si>
    <t>2L5x3.5x0.375</t>
  </si>
  <si>
    <t>2L127x89x7.9</t>
  </si>
  <si>
    <t>2L5x3.5x0.313</t>
  </si>
  <si>
    <t>2L127x89x6.4</t>
  </si>
  <si>
    <t>2L5x3.5x0.250</t>
  </si>
  <si>
    <t>2L127x76x13</t>
  </si>
  <si>
    <t>2L5x3x0.500</t>
  </si>
  <si>
    <t>2L127x76x11</t>
  </si>
  <si>
    <t>2L5x3x0.438</t>
  </si>
  <si>
    <t>2L127x76x9.5</t>
  </si>
  <si>
    <t>2L5x3x0.375</t>
  </si>
  <si>
    <t>2L127x76x7.9</t>
  </si>
  <si>
    <t>2L5x3x0.313</t>
  </si>
  <si>
    <t>2L127x76x6.4</t>
  </si>
  <si>
    <t>2L5x3x0.250</t>
  </si>
  <si>
    <t>2L102x89x13</t>
  </si>
  <si>
    <t>2L4x3.5x0.500</t>
  </si>
  <si>
    <t>2L102x89x11</t>
  </si>
  <si>
    <t>2L4x3.5x0.438</t>
  </si>
  <si>
    <t>2L102x89x9.5</t>
  </si>
  <si>
    <t>2L4x3.5x0.375</t>
  </si>
  <si>
    <t>2L102x89x7.9</t>
  </si>
  <si>
    <t>2L4x3.5x0.313</t>
  </si>
  <si>
    <t>2L102x89x6.4</t>
  </si>
  <si>
    <t>2L4x3.5x0.250</t>
  </si>
  <si>
    <t>2L102x76x16</t>
  </si>
  <si>
    <t>2L4x3x0.625</t>
  </si>
  <si>
    <t>2L102x76x13</t>
  </si>
  <si>
    <t>2L4x3x0.500</t>
  </si>
  <si>
    <t>2L102x76x11</t>
  </si>
  <si>
    <t>2L4x3x0.438</t>
  </si>
  <si>
    <t>2L102x76x9.5</t>
  </si>
  <si>
    <t>2L4x3x0.375</t>
  </si>
  <si>
    <t>2L102x76x7.9</t>
  </si>
  <si>
    <t>2L4x3x0.313</t>
  </si>
  <si>
    <t>2L102x76x6.4</t>
  </si>
  <si>
    <t>2L4x3x0.250</t>
  </si>
  <si>
    <t>2L89x76x13</t>
  </si>
  <si>
    <t>2L3.5x3x0.500</t>
  </si>
  <si>
    <t>2L89x76x9.5</t>
  </si>
  <si>
    <t>2L3.5x3x0.375</t>
  </si>
  <si>
    <t>2L89x76x7.9</t>
  </si>
  <si>
    <t>2L3.5x3x0.313</t>
  </si>
  <si>
    <t>2L89x76x6.4</t>
  </si>
  <si>
    <t>2L3.5x3x0.250</t>
  </si>
  <si>
    <t>2L89x64x13</t>
  </si>
  <si>
    <t>2L3.5x2.5x0.500</t>
  </si>
  <si>
    <t>2L89x64x9.5</t>
  </si>
  <si>
    <t>2L3.5x2.5x0.375</t>
  </si>
  <si>
    <t>2L89x64x7.9</t>
  </si>
  <si>
    <t>2L3.5x2.5x0.313</t>
  </si>
  <si>
    <t>2L89x64x6.4</t>
  </si>
  <si>
    <t>2L3.5x2.5x0.250</t>
  </si>
  <si>
    <t>2L76x64x13</t>
  </si>
  <si>
    <t>2L3x2.5x0.500</t>
  </si>
  <si>
    <t>2L76x64x9.5</t>
  </si>
  <si>
    <t>2L3x2.5x0.375</t>
  </si>
  <si>
    <t>2L76x64x7.9</t>
  </si>
  <si>
    <t>2L3x2.5x0.313</t>
  </si>
  <si>
    <t>2L76x64x6.4</t>
  </si>
  <si>
    <t>2L3x2.5x0.250</t>
  </si>
  <si>
    <t>2L76x64x4.8</t>
  </si>
  <si>
    <t>2L3x2.5x0.188</t>
  </si>
  <si>
    <t>2L76x51x13</t>
  </si>
  <si>
    <t>2L3x2x0.500</t>
  </si>
  <si>
    <t>2L76x51x9.5</t>
  </si>
  <si>
    <t>2L3x2x0.375</t>
  </si>
  <si>
    <t>2L76x51x7.9</t>
  </si>
  <si>
    <t>2L3x2x0.313</t>
  </si>
  <si>
    <t>2L76x51x6.4</t>
  </si>
  <si>
    <t>2L3x2x0.250</t>
  </si>
  <si>
    <t>2L76x51x4.8</t>
  </si>
  <si>
    <t>2L3x2x0.188</t>
  </si>
  <si>
    <t>2L64x51x9.5</t>
  </si>
  <si>
    <t>2L2.5x2x0.375</t>
  </si>
  <si>
    <t>2L64x51x7.9</t>
  </si>
  <si>
    <t>2L2.5x2x0.313</t>
  </si>
  <si>
    <t>2L64x51x6.4</t>
  </si>
  <si>
    <t>2L2.5x2x0.250</t>
  </si>
  <si>
    <t>2L64x51x4.8</t>
  </si>
  <si>
    <t>2L2.5x2x0.188</t>
  </si>
  <si>
    <t>2L51x38x6.4</t>
  </si>
  <si>
    <t>2L2x1.5x0.250</t>
  </si>
  <si>
    <t>2L51x38x4.8</t>
  </si>
  <si>
    <t>2L2x1.5x0.188</t>
  </si>
  <si>
    <t>2L51x38x3.2</t>
  </si>
  <si>
    <t>2L2x1.5x0.125</t>
  </si>
  <si>
    <t>Long Legs Back-to-Back</t>
  </si>
  <si>
    <t>Equal Legs Back-to-Back</t>
  </si>
  <si>
    <t>2L203x203x29</t>
  </si>
  <si>
    <t>2L8x8x1.125</t>
  </si>
  <si>
    <t>2L203x203x25</t>
  </si>
  <si>
    <t>2L8x8x1.000</t>
  </si>
  <si>
    <t>2L203x203x22</t>
  </si>
  <si>
    <t>2L8x8x0.875</t>
  </si>
  <si>
    <t>2L203x203x19</t>
  </si>
  <si>
    <t>2L8x8x0.750</t>
  </si>
  <si>
    <t>2L203x203x16</t>
  </si>
  <si>
    <t>2L8x8x0.625</t>
  </si>
  <si>
    <t>2L203x203x14</t>
  </si>
  <si>
    <t>2L8x8x0.563</t>
  </si>
  <si>
    <t>2L203x203x13</t>
  </si>
  <si>
    <t>2L8x8x0.500</t>
  </si>
  <si>
    <t>2L152x152x25</t>
  </si>
  <si>
    <t>2L6x6x1.000</t>
  </si>
  <si>
    <t>2L152x152x22</t>
  </si>
  <si>
    <t>2L6x6x0.875</t>
  </si>
  <si>
    <t>2L152x152x19</t>
  </si>
  <si>
    <t>2L6x6x0.750</t>
  </si>
  <si>
    <t>2L152x152x16</t>
  </si>
  <si>
    <t>2L6x6x0.625</t>
  </si>
  <si>
    <t>2L152x152x14</t>
  </si>
  <si>
    <t>2L6x6x0.563</t>
  </si>
  <si>
    <t>2L152x152x13</t>
  </si>
  <si>
    <t>2L6x6x0.500</t>
  </si>
  <si>
    <t>2L152x152x11</t>
  </si>
  <si>
    <t>2L6x6x0.438</t>
  </si>
  <si>
    <t>2L152x152x9.5</t>
  </si>
  <si>
    <t>2L6x6x0.375</t>
  </si>
  <si>
    <t>2L152x152x7.9</t>
  </si>
  <si>
    <t>2L6x6x0.313</t>
  </si>
  <si>
    <t>2L152x152x6.4</t>
  </si>
  <si>
    <t>2L6x6x0.250</t>
  </si>
  <si>
    <t>2L127x127x22</t>
  </si>
  <si>
    <t>2L5x5x0.875</t>
  </si>
  <si>
    <t>2L127x127x19</t>
  </si>
  <si>
    <t>2L5x5x0.750</t>
  </si>
  <si>
    <t>2L127x127x16</t>
  </si>
  <si>
    <t>2L5x5x0.625</t>
  </si>
  <si>
    <t>2L127x127x13</t>
  </si>
  <si>
    <t>2L5x5x0.500</t>
  </si>
  <si>
    <t>2L127x127x11</t>
  </si>
  <si>
    <t>2L5x5x0.438</t>
  </si>
  <si>
    <t>2L127x127x9.5</t>
  </si>
  <si>
    <t>2L5x5x0.375</t>
  </si>
  <si>
    <t>2L127x127x7.9</t>
  </si>
  <si>
    <t>2L5x5x0.313</t>
  </si>
  <si>
    <t>2L127x127x6.4</t>
  </si>
  <si>
    <t>2L5x5x0.250</t>
  </si>
  <si>
    <t>2L102x102x19</t>
  </si>
  <si>
    <t>2L4x4x0.750</t>
  </si>
  <si>
    <t>2L102x102x16</t>
  </si>
  <si>
    <t>2L4x4x0.625</t>
  </si>
  <si>
    <t>2L102x102x13</t>
  </si>
  <si>
    <t>2L4x4x0.500</t>
  </si>
  <si>
    <t>2L102x102x11</t>
  </si>
  <si>
    <t>2L4x4x0.438</t>
  </si>
  <si>
    <t>2L102x102x9.5</t>
  </si>
  <si>
    <t>2L4x4x0.375</t>
  </si>
  <si>
    <t>2L102x102x7.9</t>
  </si>
  <si>
    <t>2L4x4x0.313</t>
  </si>
  <si>
    <t>2L102x102x6.4</t>
  </si>
  <si>
    <t>2L4x4x0.250</t>
  </si>
  <si>
    <t>2L89x89x13</t>
  </si>
  <si>
    <t>2L3.5x3.5x0.500</t>
  </si>
  <si>
    <t>2L89x89x11</t>
  </si>
  <si>
    <t>2L3.5x3.5x0.438</t>
  </si>
  <si>
    <t>2L89x89x9.5</t>
  </si>
  <si>
    <t>2L3.5x3.5x0.375</t>
  </si>
  <si>
    <t>2L89x89x7.9</t>
  </si>
  <si>
    <t>2L3.5x3.5x0.313</t>
  </si>
  <si>
    <t>2L89x89x6.4</t>
  </si>
  <si>
    <t>2L3.5x3.5x0.250</t>
  </si>
  <si>
    <t>2L3x3x0.500</t>
  </si>
  <si>
    <t>2L76x76x11</t>
  </si>
  <si>
    <t>2L3x3x0.438</t>
  </si>
  <si>
    <t>2L3x3x0.375</t>
  </si>
  <si>
    <t>2L76x76x7.9</t>
  </si>
  <si>
    <t>2L3x3x0.313</t>
  </si>
  <si>
    <t>2L76x76x6.4</t>
  </si>
  <si>
    <t>2L3x3x0.250</t>
  </si>
  <si>
    <t>2L76x76x4.8</t>
  </si>
  <si>
    <t>2L3x3x0.188</t>
  </si>
  <si>
    <t>2L64x64x13</t>
  </si>
  <si>
    <t>2L2.5x2.5x0.500</t>
  </si>
  <si>
    <t>2L64x64x9.5</t>
  </si>
  <si>
    <t>2L2.5x2.5x0.375</t>
  </si>
  <si>
    <t>2L64x64x7.9</t>
  </si>
  <si>
    <t>2L2.5x2.5x0.313</t>
  </si>
  <si>
    <t>2L64x64x6.4</t>
  </si>
  <si>
    <t>2L2.5x2.5x0.250</t>
  </si>
  <si>
    <t>2L64x64x4.8</t>
  </si>
  <si>
    <t>2L2.5x2.5x0.188</t>
  </si>
  <si>
    <t>2L51x51x9.5</t>
  </si>
  <si>
    <t>2L2x2x0.375</t>
  </si>
  <si>
    <t>2L51x51x7.9</t>
  </si>
  <si>
    <t>2L2x2x0.313</t>
  </si>
  <si>
    <t>2L51x51x6.4</t>
  </si>
  <si>
    <t>2L2x2x0.250</t>
  </si>
  <si>
    <t>2L51x51x4.8</t>
  </si>
  <si>
    <t>2L2x2x0.188</t>
  </si>
  <si>
    <t>2L51x51x3.2</t>
  </si>
  <si>
    <t>2L2x2x0.125</t>
  </si>
  <si>
    <t>2L44x44x6.4</t>
  </si>
  <si>
    <t>2L1.75x1.75x0.250</t>
  </si>
  <si>
    <t>2L44x44x4.8</t>
  </si>
  <si>
    <t>2L1.75x1.75x0.188</t>
  </si>
  <si>
    <t>2L44x44x3.2</t>
  </si>
  <si>
    <t>2L1.75x1.75x0.125</t>
  </si>
  <si>
    <t>2L38x38x6.4</t>
  </si>
  <si>
    <t>2L1.5x1.5x0.250</t>
  </si>
  <si>
    <t>2L38x38x4.8</t>
  </si>
  <si>
    <t>2L1.5x1.5x0.188</t>
  </si>
  <si>
    <t>2L38x38x3.2</t>
  </si>
  <si>
    <t>2L1.5x1.5x0.125</t>
  </si>
  <si>
    <t>2L32x32x6.4</t>
  </si>
  <si>
    <t>2L1.25x1.25x0.250</t>
  </si>
  <si>
    <t>2L32x32x4.8</t>
  </si>
  <si>
    <t>2L1.25x1.25x0.188</t>
  </si>
  <si>
    <t>2L32x32x3.2</t>
  </si>
  <si>
    <t>2L1.25x1.25x0.125</t>
  </si>
  <si>
    <t>2L25x25x6.4</t>
  </si>
  <si>
    <t>2L1x1x0.250</t>
  </si>
  <si>
    <t>2L25x25x4.8</t>
  </si>
  <si>
    <t>2L1x1x0.188</t>
  </si>
  <si>
    <t>2L25x25x3.2</t>
  </si>
  <si>
    <t>2L1x1x0.125</t>
  </si>
  <si>
    <t>2L19x19x3.2</t>
  </si>
  <si>
    <t>2L0.75x0.75x0.125</t>
  </si>
  <si>
    <t>2L Brace Capacity Calculation</t>
  </si>
  <si>
    <t>Bracing Members:</t>
  </si>
  <si>
    <r>
      <t>d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</si>
  <si>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w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</si>
  <si>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b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</si>
  <si>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br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</si>
  <si>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color theme="1"/>
        <rFont val="Arial"/>
        <family val="2"/>
      </rPr>
      <t xml:space="preserve">x </t>
    </r>
    <r>
      <rPr>
        <sz val="10"/>
        <rFont val="Arial"/>
        <family val="2"/>
      </rPr>
      <t>=</t>
    </r>
  </si>
  <si>
    <r>
      <t>mm</t>
    </r>
    <r>
      <rPr>
        <vertAlign val="superscript"/>
        <sz val="10"/>
        <color theme="1"/>
        <rFont val="Arial"/>
        <family val="2"/>
      </rPr>
      <t>3</t>
    </r>
  </si>
  <si>
    <r>
      <t>I</t>
    </r>
    <r>
      <rPr>
        <vertAlign val="subscript"/>
        <sz val="10"/>
        <color theme="1"/>
        <rFont val="Arial"/>
        <family val="2"/>
      </rPr>
      <t>x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</si>
  <si>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4</t>
    </r>
  </si>
  <si>
    <r>
      <t>r</t>
    </r>
    <r>
      <rPr>
        <vertAlign val="subscript"/>
        <sz val="10"/>
        <color theme="1"/>
        <rFont val="Arial"/>
        <family val="2"/>
      </rPr>
      <t>x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</si>
  <si>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color theme="1"/>
        <rFont val="Arial"/>
        <family val="2"/>
      </rPr>
      <t xml:space="preserve">y </t>
    </r>
    <r>
      <rPr>
        <sz val="10"/>
        <rFont val="Arial"/>
        <family val="2"/>
      </rPr>
      <t>=</t>
    </r>
  </si>
  <si>
    <r>
      <t>I</t>
    </r>
    <r>
      <rPr>
        <vertAlign val="subscript"/>
        <sz val="10"/>
        <color theme="1"/>
        <rFont val="Arial"/>
        <family val="2"/>
      </rPr>
      <t>y</t>
    </r>
    <r>
      <rPr>
        <sz val="10"/>
        <rFont val="Arial"/>
        <family val="2"/>
      </rPr>
      <t xml:space="preserve"> =</t>
    </r>
  </si>
  <si>
    <r>
      <t>r</t>
    </r>
    <r>
      <rPr>
        <vertAlign val="subscript"/>
        <sz val="10"/>
        <color theme="1"/>
        <rFont val="Arial"/>
        <family val="2"/>
      </rPr>
      <t>y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</si>
  <si>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2</t>
    </r>
  </si>
  <si>
    <r>
      <t>y</t>
    </r>
    <r>
      <rPr>
        <vertAlign val="subscript"/>
        <sz val="10"/>
        <color theme="1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</si>
  <si>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r</t>
    </r>
    <r>
      <rPr>
        <vertAlign val="subscript"/>
        <sz val="10"/>
        <color theme="1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</si>
  <si>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mm</t>
    </r>
    <r>
      <rPr>
        <vertAlign val="superscript"/>
        <sz val="10"/>
        <color theme="1"/>
        <rFont val="Arial"/>
        <family val="2"/>
      </rPr>
      <t>6</t>
    </r>
  </si>
  <si>
    <r>
      <t>t</t>
    </r>
    <r>
      <rPr>
        <vertAlign val="subscript"/>
        <sz val="10"/>
        <color theme="1"/>
        <rFont val="Arial"/>
        <family val="2"/>
      </rPr>
      <t>gp</t>
    </r>
    <r>
      <rPr>
        <sz val="10"/>
        <rFont val="Arial"/>
        <family val="2"/>
      </rPr>
      <t xml:space="preserve"> =</t>
    </r>
  </si>
  <si>
    <r>
      <t>e</t>
    </r>
    <r>
      <rPr>
        <sz val="10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</si>
  <si>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fbr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</si>
  <si>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fbr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</si>
  <si>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f,ecc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</si>
  <si>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fx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</si>
  <si>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fy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</si>
  <si>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</t>
    </r>
    <r>
      <rPr>
        <sz val="10"/>
        <rFont val="Arial"/>
        <family val="2"/>
      </rPr>
      <t xml:space="preserve"> is taken as the lesser of F</t>
    </r>
    <r>
      <rPr>
        <vertAlign val="subscript"/>
        <sz val="10"/>
        <color theme="1"/>
        <rFont val="Arial"/>
        <family val="2"/>
      </rPr>
      <t>ex</t>
    </r>
    <r>
      <rPr>
        <sz val="10"/>
        <rFont val="Arial"/>
        <family val="2"/>
      </rPr>
      <t xml:space="preserve"> and F</t>
    </r>
    <r>
      <rPr>
        <vertAlign val="subscript"/>
        <sz val="10"/>
        <color theme="1"/>
        <rFont val="Arial"/>
        <family val="2"/>
      </rPr>
      <t>eyz</t>
    </r>
    <r>
      <rPr>
        <sz val="10"/>
        <rFont val="Arial"/>
        <family val="2"/>
      </rPr>
      <t>:</t>
    </r>
  </si>
  <si>
    <r>
      <t>T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=</t>
    </r>
  </si>
  <si>
    <r>
      <t>Classification Limit: (b</t>
    </r>
    <r>
      <rPr>
        <b/>
        <vertAlign val="subscript"/>
        <sz val="10"/>
        <color theme="1"/>
        <rFont val="Arial"/>
        <family val="2"/>
      </rPr>
      <t>el</t>
    </r>
    <r>
      <rPr>
        <b/>
        <sz val="10"/>
        <color theme="1"/>
        <rFont val="Arial"/>
        <family val="2"/>
      </rPr>
      <t xml:space="preserve"> / t) &lt;</t>
    </r>
  </si>
  <si>
    <r>
      <t>145 / √F</t>
    </r>
    <r>
      <rPr>
        <b/>
        <vertAlign val="subscript"/>
        <sz val="10"/>
        <color theme="1"/>
        <rFont val="Arial"/>
        <family val="2"/>
      </rPr>
      <t>y</t>
    </r>
  </si>
  <si>
    <r>
      <t>170 / √F</t>
    </r>
    <r>
      <rPr>
        <b/>
        <vertAlign val="subscript"/>
        <sz val="10"/>
        <color theme="1"/>
        <rFont val="Arial"/>
        <family val="2"/>
      </rPr>
      <t>y</t>
    </r>
  </si>
  <si>
    <r>
      <t>200 / √F</t>
    </r>
    <r>
      <rPr>
        <b/>
        <vertAlign val="subscript"/>
        <sz val="10"/>
        <color theme="1"/>
        <rFont val="Arial"/>
        <family val="2"/>
      </rPr>
      <t>y</t>
    </r>
  </si>
  <si>
    <r>
      <t>(b</t>
    </r>
    <r>
      <rPr>
        <vertAlign val="subscript"/>
        <sz val="10"/>
        <color theme="1"/>
        <rFont val="Arial"/>
        <family val="2"/>
      </rPr>
      <t>el</t>
    </r>
    <r>
      <rPr>
        <sz val="10"/>
        <rFont val="Arial"/>
        <family val="2"/>
      </rPr>
      <t xml:space="preserve"> / t) =</t>
    </r>
  </si>
  <si>
    <r>
      <t>M</t>
    </r>
    <r>
      <rPr>
        <vertAlign val="subscript"/>
        <sz val="10"/>
        <color theme="1"/>
        <rFont val="Arial"/>
        <family val="2"/>
      </rPr>
      <t xml:space="preserve">yx </t>
    </r>
    <r>
      <rPr>
        <sz val="10"/>
        <rFont val="Arial"/>
        <family val="2"/>
      </rPr>
      <t>=</t>
    </r>
  </si>
  <si>
    <r>
      <t>M</t>
    </r>
    <r>
      <rPr>
        <vertAlign val="subscript"/>
        <sz val="10"/>
        <color theme="1"/>
        <rFont val="Arial"/>
        <family val="2"/>
      </rPr>
      <t xml:space="preserve">yrx </t>
    </r>
    <r>
      <rPr>
        <sz val="10"/>
        <rFont val="Arial"/>
        <family val="2"/>
      </rPr>
      <t>=</t>
    </r>
  </si>
  <si>
    <t>: elastic modulus</t>
  </si>
  <si>
    <t>: yield stress</t>
  </si>
  <si>
    <t>: shear modulus</t>
  </si>
  <si>
    <t>: ultimate stress</t>
  </si>
  <si>
    <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</si>
  <si>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</si>
  <si>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t>: section depth</t>
  </si>
  <si>
    <t>: section with; excluding gusset pl</t>
  </si>
  <si>
    <t>: web/stem thickness</t>
  </si>
  <si>
    <t>: flanges thickness</t>
  </si>
  <si>
    <t>: distance to section COG</t>
  </si>
  <si>
    <t>: distance to section shear center</t>
  </si>
  <si>
    <t>: radius of gyration, x-axis</t>
  </si>
  <si>
    <t>: moment of intertia, x-axis</t>
  </si>
  <si>
    <t>: section elastic modulus, x-axis</t>
  </si>
  <si>
    <r>
      <t>C</t>
    </r>
    <r>
      <rPr>
        <vertAlign val="subscript"/>
        <sz val="10"/>
        <color theme="1"/>
        <rFont val="Arial"/>
        <family val="2"/>
      </rPr>
      <t>w</t>
    </r>
    <r>
      <rPr>
        <sz val="10"/>
        <color theme="1"/>
        <rFont val="Arial"/>
        <family val="2"/>
      </rPr>
      <t xml:space="preserve"> =</t>
    </r>
  </si>
  <si>
    <t>: area</t>
  </si>
  <si>
    <t>: polar moment of intertia</t>
  </si>
  <si>
    <t>: warping torsional constant</t>
  </si>
  <si>
    <t>Brace Geometry:</t>
  </si>
  <si>
    <r>
      <t>L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</si>
  <si>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</si>
  <si>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z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</si>
  <si>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</si>
  <si>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</si>
  <si>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z</t>
    </r>
    <r>
      <rPr>
        <sz val="10"/>
        <color theme="1"/>
        <rFont val="Arial"/>
        <family val="2"/>
      </rPr>
      <t xml:space="preserve"> =</t>
    </r>
  </si>
  <si>
    <t>: brace length, X-axis buckling</t>
  </si>
  <si>
    <t>: brace length, Y-axis buckling</t>
  </si>
  <si>
    <t>: brace length, Z-axis buckling</t>
  </si>
  <si>
    <t>: effective length, X-axis; pinned at both ends</t>
  </si>
  <si>
    <t>: effective length, Y-axis; pinned at both ends</t>
  </si>
  <si>
    <r>
      <t>(KL/r)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 </t>
    </r>
  </si>
  <si>
    <t>&lt; 200, OK</t>
  </si>
  <si>
    <r>
      <t>(KL/r)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 </t>
    </r>
  </si>
  <si>
    <t>: gusset plate thickness, assumed</t>
  </si>
  <si>
    <r>
      <t>edge</t>
    </r>
    <r>
      <rPr>
        <sz val="10"/>
        <rFont val="Arial"/>
        <family val="2"/>
      </rPr>
      <t xml:space="preserve"> =</t>
    </r>
  </si>
  <si>
    <t>: assumed bolt edge distance to bottom of stem</t>
  </si>
  <si>
    <r>
      <t>: bolt eccentricity; d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- edge - y</t>
    </r>
  </si>
  <si>
    <t>Loading is taken from RISA-3D:</t>
  </si>
  <si>
    <t>: maximum factored tension</t>
  </si>
  <si>
    <t>: maximum factored compression</t>
  </si>
  <si>
    <t>: maximum factored x-axis moment</t>
  </si>
  <si>
    <t>: maximum factored y-axis moment</t>
  </si>
  <si>
    <r>
      <t>: eccentric moment; max(C</t>
    </r>
    <r>
      <rPr>
        <vertAlign val="subscript"/>
        <sz val="10"/>
        <color theme="1"/>
        <rFont val="Arial"/>
        <family val="2"/>
      </rPr>
      <t>fbr</t>
    </r>
    <r>
      <rPr>
        <sz val="10"/>
        <color theme="1"/>
        <rFont val="Arial"/>
        <family val="2"/>
      </rPr>
      <t>, T</t>
    </r>
    <r>
      <rPr>
        <vertAlign val="subscript"/>
        <sz val="10"/>
        <color theme="1"/>
        <rFont val="Arial"/>
        <family val="2"/>
      </rPr>
      <t>fbr</t>
    </r>
    <r>
      <rPr>
        <sz val="10"/>
        <color theme="1"/>
        <rFont val="Arial"/>
        <family val="2"/>
      </rPr>
      <t>) * e</t>
    </r>
  </si>
  <si>
    <r>
      <t>M</t>
    </r>
    <r>
      <rPr>
        <vertAlign val="subscript"/>
        <sz val="10"/>
        <color theme="1"/>
        <rFont val="Arial"/>
        <family val="2"/>
      </rPr>
      <t>fx,total</t>
    </r>
    <r>
      <rPr>
        <sz val="10"/>
        <rFont val="Arial"/>
        <family val="2"/>
      </rPr>
      <t xml:space="preserve"> =</t>
    </r>
  </si>
  <si>
    <t>Section Capacity:</t>
  </si>
  <si>
    <t>i. Determine Euler Buckling Stress for Flexural, Torsional, or Flexural-Torsional Buckling (Cl. 13.3.1.1):</t>
  </si>
  <si>
    <r>
      <t>B) Singly symmetric section, with the y-axis taken as the axis of symmetry, F</t>
    </r>
    <r>
      <rPr>
        <vertAlign val="subscript"/>
        <sz val="10"/>
        <color theme="1"/>
        <rFont val="Arial"/>
        <family val="2"/>
      </rPr>
      <t>e</t>
    </r>
    <r>
      <rPr>
        <sz val="10"/>
        <color theme="1"/>
        <rFont val="Arial"/>
        <family val="2"/>
      </rPr>
      <t xml:space="preserve"> taken as the lesser of F</t>
    </r>
    <r>
      <rPr>
        <vertAlign val="subscript"/>
        <sz val="10"/>
        <color theme="1"/>
        <rFont val="Arial"/>
        <family val="2"/>
      </rPr>
      <t>ex</t>
    </r>
    <r>
      <rPr>
        <sz val="10"/>
        <color theme="1"/>
        <rFont val="Arial"/>
        <family val="2"/>
      </rPr>
      <t xml:space="preserve"> and F</t>
    </r>
    <r>
      <rPr>
        <vertAlign val="subscript"/>
        <sz val="10"/>
        <color theme="1"/>
        <rFont val="Arial"/>
        <family val="2"/>
      </rPr>
      <t>eyz</t>
    </r>
    <r>
      <rPr>
        <sz val="10"/>
        <color theme="1"/>
        <rFont val="Arial"/>
        <family val="2"/>
      </rPr>
      <t>:</t>
    </r>
  </si>
  <si>
    <r>
      <t>F</t>
    </r>
    <r>
      <rPr>
        <vertAlign val="subscript"/>
        <sz val="10"/>
        <color theme="1"/>
        <rFont val="Arial"/>
        <family val="2"/>
      </rPr>
      <t>ex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</si>
  <si>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ey</t>
    </r>
    <r>
      <rPr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</si>
  <si>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ez</t>
    </r>
    <r>
      <rPr>
        <sz val="10"/>
        <color theme="1"/>
        <rFont val="Arial"/>
        <family val="2"/>
      </rPr>
      <t xml:space="preserve"> =</t>
    </r>
  </si>
  <si>
    <r>
      <t>F</t>
    </r>
    <r>
      <rPr>
        <b/>
        <vertAlign val="subscript"/>
        <sz val="10"/>
        <color theme="1"/>
        <rFont val="Arial"/>
        <family val="2"/>
      </rPr>
      <t>e</t>
    </r>
    <r>
      <rPr>
        <b/>
        <sz val="10"/>
        <color theme="1"/>
        <rFont val="Arial"/>
        <family val="2"/>
      </rPr>
      <t xml:space="preserve"> =</t>
    </r>
  </si>
  <si>
    <r>
      <t>F</t>
    </r>
    <r>
      <rPr>
        <vertAlign val="subscript"/>
        <sz val="10"/>
        <color theme="1"/>
        <rFont val="Arial"/>
        <family val="2"/>
      </rPr>
      <t>eyz</t>
    </r>
    <r>
      <rPr>
        <sz val="10"/>
        <color theme="1"/>
        <rFont val="Arial"/>
        <family val="2"/>
      </rPr>
      <t xml:space="preserve"> =</t>
    </r>
  </si>
  <si>
    <t>ii. Determine Factored Axial Compressive Resistance in accordance with Cl 13.3.1:</t>
  </si>
  <si>
    <t>n =</t>
  </si>
  <si>
    <t>: for hot rolled, fabricated steel sections</t>
  </si>
  <si>
    <t>φ =</t>
  </si>
  <si>
    <t>: material resistance factor</t>
  </si>
  <si>
    <t>λ =</t>
  </si>
  <si>
    <r>
      <t>C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=</t>
    </r>
  </si>
  <si>
    <t>: compression resistance</t>
  </si>
  <si>
    <t>iii. Determine Factored Axial Tension Resistance in accordance with Cl 13.2: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</si>
  <si>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rFont val="Arial"/>
        <family val="2"/>
      </rPr>
      <t xml:space="preserve"> = </t>
    </r>
    <r>
      <rPr>
        <sz val="10"/>
        <color theme="1"/>
        <rFont val="Arial"/>
        <family val="2"/>
      </rPr>
      <t>Φ A</t>
    </r>
    <r>
      <rPr>
        <vertAlign val="subscript"/>
        <sz val="10"/>
        <color theme="1"/>
        <rFont val="Arial"/>
        <family val="2"/>
      </rPr>
      <t>g</t>
    </r>
    <r>
      <rPr>
        <sz val="10"/>
        <color theme="1"/>
        <rFont val="Arial"/>
        <family val="2"/>
      </rPr>
      <t xml:space="preserve"> 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=</t>
    </r>
  </si>
  <si>
    <t>Shear block tearout not assessed.  This is a connection limit state that is to be assessed by the connection engineer.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</si>
  <si>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rFont val="Arial"/>
        <family val="2"/>
      </rPr>
      <t xml:space="preserve"> = 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A</t>
    </r>
    <r>
      <rPr>
        <vertAlign val="subscript"/>
        <sz val="10"/>
        <color theme="1"/>
        <rFont val="Arial"/>
        <family val="2"/>
      </rPr>
      <t>ne</t>
    </r>
    <r>
      <rPr>
        <sz val="10"/>
        <color theme="1"/>
        <rFont val="Arial"/>
        <family val="2"/>
      </rPr>
      <t xml:space="preserve"> F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</si>
  <si>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A</t>
    </r>
    <r>
      <rPr>
        <vertAlign val="subscript"/>
        <sz val="10"/>
        <color theme="1"/>
        <rFont val="Arial"/>
        <family val="2"/>
      </rPr>
      <t>ne</t>
    </r>
    <r>
      <rPr>
        <sz val="10"/>
        <color theme="1"/>
        <rFont val="Arial"/>
        <family val="2"/>
      </rPr>
      <t xml:space="preserve"> =</t>
    </r>
  </si>
  <si>
    <r>
      <t>Φ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</si>
  <si>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t>: net effective area.</t>
  </si>
  <si>
    <t>: material resistance factor for rupture</t>
  </si>
  <si>
    <t>: radius of gyration, y-axis; assume 10 mm gusset</t>
  </si>
  <si>
    <t>Legs of Double Angle Sections:</t>
  </si>
  <si>
    <r>
      <t>*b</t>
    </r>
    <r>
      <rPr>
        <vertAlign val="subscript"/>
        <sz val="10"/>
        <color theme="1"/>
        <rFont val="Arial"/>
        <family val="2"/>
      </rPr>
      <t>el</t>
    </r>
    <r>
      <rPr>
        <sz val="10"/>
        <color theme="1"/>
        <rFont val="Arial"/>
        <family val="2"/>
      </rPr>
      <t xml:space="preserve"> = b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- w</t>
    </r>
    <r>
      <rPr>
        <vertAlign val="subscript"/>
        <sz val="10"/>
        <color theme="1"/>
        <rFont val="Arial"/>
        <family val="2"/>
      </rPr>
      <t>br</t>
    </r>
  </si>
  <si>
    <t>Angle legs are class:</t>
  </si>
  <si>
    <t>iv. Class of Section (Table 2)</t>
  </si>
  <si>
    <r>
      <t>: 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</si>
  <si>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r>
      <t>: 0.7S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</si>
  <si>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r>
      <t>ω</t>
    </r>
    <r>
      <rPr>
        <vertAlign val="sub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=</t>
    </r>
  </si>
  <si>
    <t>L =</t>
  </si>
  <si>
    <r>
      <t>β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=</t>
    </r>
  </si>
  <si>
    <t>: 1.0 for T-sections in single curvature, per Cl 13.6e.ii</t>
  </si>
  <si>
    <t>: member unbraced length</t>
  </si>
  <si>
    <t>: asymmetry parameter.  Approximate formula is not valid for WT</t>
  </si>
  <si>
    <r>
      <t>M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</si>
  <si>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&gt; M</t>
    </r>
    <r>
      <rPr>
        <vertAlign val="subscript"/>
        <sz val="10"/>
        <color theme="1"/>
        <rFont val="Arial"/>
        <family val="2"/>
      </rPr>
      <t>yrx</t>
    </r>
    <r>
      <rPr>
        <sz val="10"/>
        <color theme="1"/>
        <rFont val="Arial"/>
        <family val="2"/>
      </rPr>
      <t>?</t>
    </r>
  </si>
  <si>
    <t>: taken = 0 per the CISC Commentary on S16 Cl 13.6e</t>
  </si>
  <si>
    <r>
      <t>r</t>
    </r>
    <r>
      <rPr>
        <vertAlign val="subscript"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</si>
  <si>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u</t>
    </r>
    <r>
      <rPr>
        <sz val="10"/>
        <color theme="1"/>
        <rFont val="Arial"/>
        <family val="2"/>
      </rPr>
      <t xml:space="preserve"> =</t>
    </r>
  </si>
  <si>
    <r>
      <t>L</t>
    </r>
    <r>
      <rPr>
        <vertAlign val="subscript"/>
        <sz val="10"/>
        <color theme="1"/>
        <rFont val="Arial"/>
        <family val="2"/>
      </rPr>
      <t>yr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</si>
  <si>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u, test</t>
    </r>
    <r>
      <rPr>
        <sz val="10"/>
        <color theme="1"/>
        <rFont val="Arial"/>
        <family val="2"/>
      </rPr>
      <t xml:space="preserve"> =</t>
    </r>
  </si>
  <si>
    <r>
      <t>M</t>
    </r>
    <r>
      <rPr>
        <b/>
        <vertAlign val="subscript"/>
        <sz val="10"/>
        <color theme="1"/>
        <rFont val="Arial"/>
        <family val="2"/>
      </rPr>
      <t>r,LTB</t>
    </r>
    <r>
      <rPr>
        <b/>
        <sz val="10"/>
        <color theme="1"/>
        <rFont val="Arial"/>
        <family val="2"/>
      </rPr>
      <t xml:space="preserve"> =</t>
    </r>
  </si>
  <si>
    <r>
      <t>: determined iteratively by setting M</t>
    </r>
    <r>
      <rPr>
        <vertAlign val="subscript"/>
        <sz val="10"/>
        <color theme="1"/>
        <rFont val="Arial"/>
        <family val="2"/>
      </rPr>
      <t>u,test</t>
    </r>
    <r>
      <rPr>
        <sz val="10"/>
        <color theme="1"/>
        <rFont val="Arial"/>
        <family val="2"/>
      </rPr>
      <t xml:space="preserve"> = M</t>
    </r>
    <r>
      <rPr>
        <vertAlign val="subscript"/>
        <sz val="10"/>
        <color theme="1"/>
        <rFont val="Arial"/>
        <family val="2"/>
      </rPr>
      <t>yr</t>
    </r>
  </si>
  <si>
    <t>kN.m</t>
  </si>
  <si>
    <t>v. Bending Resistance - Laterally Unsupported Members (i.e. Bending About Principal Axes) (Cl 13.6e)</t>
  </si>
  <si>
    <t>vi. Bending Resistance - Laterally Unsupported Members (i.e. Bending About Principal Axes) (Cl 13.6e)</t>
  </si>
  <si>
    <t>For singly symmetric sections, bending about the principal Y-axis:</t>
  </si>
  <si>
    <t>For singly symmetric sections, bending about the principal X-axis:</t>
  </si>
  <si>
    <r>
      <t>: φS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</si>
  <si>
    <t>vii. Combined Compression and Flexure - S16 Cl 13.8.4</t>
  </si>
  <si>
    <r>
      <t>d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</si>
  <si>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r>
      <t>b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</si>
  <si>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</si>
  <si>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t>: y; use distance to COG as neutral axis</t>
  </si>
  <si>
    <r>
      <t>: total width of section; 2 * b</t>
    </r>
    <r>
      <rPr>
        <vertAlign val="subscript"/>
        <sz val="10"/>
        <color theme="1"/>
        <rFont val="Arial"/>
        <family val="2"/>
      </rPr>
      <t>br</t>
    </r>
  </si>
  <si>
    <r>
      <t>: t</t>
    </r>
    <r>
      <rPr>
        <vertAlign val="subscript"/>
        <sz val="10"/>
        <color theme="1"/>
        <rFont val="Arial"/>
        <family val="2"/>
      </rPr>
      <t>br</t>
    </r>
  </si>
  <si>
    <t>w =</t>
  </si>
  <si>
    <r>
      <t>: web thickness, use 2*w</t>
    </r>
    <r>
      <rPr>
        <vertAlign val="subscript"/>
        <sz val="10"/>
        <color theme="1"/>
        <rFont val="Arial"/>
        <family val="2"/>
      </rPr>
      <t>br</t>
    </r>
  </si>
  <si>
    <t>k =</t>
  </si>
  <si>
    <r>
      <t>C</t>
    </r>
    <r>
      <rPr>
        <vertAlign val="subscript"/>
        <sz val="10"/>
        <rFont val="Arial"/>
        <family val="2"/>
      </rPr>
      <t>ex</t>
    </r>
    <r>
      <rPr>
        <sz val="10"/>
        <rFont val="Arial"/>
        <family val="2"/>
      </rPr>
      <t xml:space="preserve"> =</t>
    </r>
  </si>
  <si>
    <r>
      <t>ω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</si>
  <si>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U</t>
    </r>
    <r>
      <rPr>
        <vertAlign val="subscript"/>
        <sz val="10"/>
        <rFont val="Arial"/>
        <family val="2"/>
      </rPr>
      <t>1x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</si>
  <si>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rFont val="Arial"/>
        <family val="2"/>
      </rPr>
      <t>ey</t>
    </r>
    <r>
      <rPr>
        <sz val="10"/>
        <rFont val="Arial"/>
        <family val="2"/>
      </rPr>
      <t xml:space="preserve"> =</t>
    </r>
  </si>
  <si>
    <r>
      <t>U</t>
    </r>
    <r>
      <rPr>
        <vertAlign val="subscript"/>
        <sz val="10"/>
        <rFont val="Arial"/>
        <family val="2"/>
      </rPr>
      <t>1y</t>
    </r>
    <r>
      <rPr>
        <sz val="10"/>
        <rFont val="Arial"/>
        <family val="2"/>
      </rPr>
      <t xml:space="preserve"> =</t>
    </r>
  </si>
  <si>
    <t>: negative for single curvature, Cl 13.8.6a</t>
  </si>
  <si>
    <t>: 0.6 - 0.4k</t>
  </si>
  <si>
    <r>
      <t>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</si>
  <si>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</si>
  <si>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ry</t>
    </r>
    <r>
      <rPr>
        <sz val="10"/>
        <color theme="1"/>
        <rFont val="Arial"/>
        <family val="2"/>
      </rPr>
      <t xml:space="preserve"> =</t>
    </r>
  </si>
  <si>
    <r>
      <t>: φM</t>
    </r>
    <r>
      <rPr>
        <vertAlign val="subscript"/>
        <sz val="10"/>
        <color theme="1"/>
        <rFont val="Arial"/>
        <family val="2"/>
      </rPr>
      <t>yx</t>
    </r>
    <r>
      <rPr>
        <sz val="10"/>
        <color theme="1"/>
        <rFont val="Arial"/>
        <family val="2"/>
      </rPr>
      <t xml:space="preserve"> =φS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; Cl.13.5</t>
    </r>
  </si>
  <si>
    <r>
      <t>U</t>
    </r>
    <r>
      <rPr>
        <vertAlign val="subscript"/>
        <sz val="10"/>
        <color theme="1"/>
        <rFont val="Arial"/>
        <family val="2"/>
      </rPr>
      <t>1x</t>
    </r>
    <r>
      <rPr>
        <sz val="10"/>
        <color theme="1"/>
        <rFont val="Arial"/>
        <family val="2"/>
      </rPr>
      <t>, U</t>
    </r>
    <r>
      <rPr>
        <vertAlign val="subscript"/>
        <sz val="10"/>
        <color theme="1"/>
        <rFont val="Arial"/>
        <family val="2"/>
      </rPr>
      <t>1y</t>
    </r>
    <r>
      <rPr>
        <sz val="10"/>
        <color theme="1"/>
        <rFont val="Arial"/>
        <family val="2"/>
      </rPr>
      <t xml:space="preserve"> per Cl 13.8.5, not less than 1.0</t>
    </r>
  </si>
  <si>
    <r>
      <t>M</t>
    </r>
    <r>
      <rPr>
        <vertAlign val="subscript"/>
        <sz val="10"/>
        <color theme="1"/>
        <rFont val="Arial"/>
        <family val="2"/>
      </rPr>
      <t>fx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</si>
  <si>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/ C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</si>
  <si>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fy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ry</t>
    </r>
    <r>
      <rPr>
        <sz val="10"/>
        <color theme="1"/>
        <rFont val="Arial"/>
        <family val="2"/>
      </rPr>
      <t xml:space="preserve"> =</t>
    </r>
  </si>
  <si>
    <r>
      <t>: φAF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 xml:space="preserve"> / (1 + λ</t>
    </r>
    <r>
      <rPr>
        <vertAlign val="superscript"/>
        <sz val="10"/>
        <rFont val="Arial"/>
        <family val="2"/>
      </rPr>
      <t>2n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1/n</t>
    </r>
    <r>
      <rPr>
        <sz val="10"/>
        <rFont val="Arial"/>
        <family val="2"/>
      </rPr>
      <t>; Cl. 13.3.1.1</t>
    </r>
  </si>
  <si>
    <r>
      <t>M</t>
    </r>
    <r>
      <rPr>
        <b/>
        <vertAlign val="subscript"/>
        <sz val="10"/>
        <color theme="1"/>
        <rFont val="Arial"/>
        <family val="2"/>
      </rPr>
      <t xml:space="preserve">ry </t>
    </r>
    <r>
      <rPr>
        <b/>
        <sz val="10"/>
        <rFont val="Arial"/>
        <family val="2"/>
      </rPr>
      <t>=</t>
    </r>
  </si>
  <si>
    <t>&lt; 1.0. OK</t>
  </si>
  <si>
    <r>
      <t>C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/ C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+ U</t>
    </r>
    <r>
      <rPr>
        <b/>
        <vertAlign val="subscript"/>
        <sz val="10"/>
        <color theme="1"/>
        <rFont val="Arial"/>
        <family val="2"/>
      </rPr>
      <t>1x</t>
    </r>
    <r>
      <rPr>
        <b/>
        <sz val="10"/>
        <color theme="1"/>
        <rFont val="Arial"/>
        <family val="2"/>
      </rP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U</t>
    </r>
    <r>
      <rPr>
        <b/>
        <vertAlign val="subscript"/>
        <sz val="10"/>
        <color theme="1"/>
        <rFont val="Arial"/>
        <family val="2"/>
      </rPr>
      <t>1y</t>
    </r>
    <r>
      <rPr>
        <b/>
        <sz val="10"/>
        <color theme="1"/>
        <rFont val="Arial"/>
        <family val="2"/>
      </rPr>
      <t>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</si>
  <si>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r>
      <t>: φAF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; Cl. 13.3</t>
    </r>
  </si>
  <si>
    <r>
      <t>: M</t>
    </r>
    <r>
      <rPr>
        <vertAlign val="subscript"/>
        <sz val="10"/>
        <color theme="1"/>
        <rFont val="Arial"/>
        <family val="2"/>
      </rPr>
      <t>r,LTB</t>
    </r>
  </si>
  <si>
    <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</si>
  <si>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t>viii. Combined Tension and Flexure - S16 Cl 13.9</t>
  </si>
  <si>
    <r>
      <t>T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</si>
  <si>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/ T</t>
    </r>
    <r>
      <rPr>
        <vertAlign val="subscript"/>
        <sz val="10"/>
        <color theme="1"/>
        <rFont val="Arial"/>
        <family val="2"/>
      </rPr>
      <t>r</t>
    </r>
    <r>
      <rPr>
        <sz val="10"/>
        <color theme="1"/>
        <rFont val="Arial"/>
        <family val="2"/>
      </rPr>
      <t xml:space="preserve"> =</t>
    </r>
  </si>
  <si>
    <r>
      <t>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/ T</t>
    </r>
    <r>
      <rPr>
        <b/>
        <vertAlign val="subscript"/>
        <sz val="10"/>
        <color theme="1"/>
        <rFont val="Arial"/>
        <family val="2"/>
      </rPr>
      <t>r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=</t>
    </r>
  </si>
  <si>
    <r>
      <t>: φS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>; Cl. 13.5</t>
    </r>
  </si>
  <si>
    <t>Clause 13.9.3</t>
  </si>
  <si>
    <r>
      <t>*conservatively use 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for all section classes.</t>
    </r>
  </si>
  <si>
    <r>
      <t>M</t>
    </r>
    <r>
      <rPr>
        <b/>
        <vertAlign val="subscript"/>
        <sz val="10"/>
        <color theme="1"/>
        <rFont val="Arial"/>
        <family val="2"/>
      </rPr>
      <t>fx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 xml:space="preserve"> + M</t>
    </r>
    <r>
      <rPr>
        <b/>
        <vertAlign val="subscript"/>
        <sz val="10"/>
        <color theme="1"/>
        <rFont val="Arial"/>
        <family val="2"/>
      </rPr>
      <t>fy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ry</t>
    </r>
    <r>
      <rPr>
        <b/>
        <sz val="10"/>
        <color theme="1"/>
        <rFont val="Arial"/>
        <family val="2"/>
      </rPr>
      <t xml:space="preserve"> - T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>S</t>
    </r>
    <r>
      <rPr>
        <b/>
        <vertAlign val="subscript"/>
        <sz val="10"/>
        <color theme="1"/>
        <rFont val="Arial"/>
        <family val="2"/>
      </rPr>
      <t>x</t>
    </r>
    <r>
      <rPr>
        <b/>
        <sz val="10"/>
        <color theme="1"/>
        <rFont val="Arial"/>
        <family val="2"/>
      </rPr>
      <t xml:space="preserve"> / M</t>
    </r>
    <r>
      <rPr>
        <b/>
        <vertAlign val="subscript"/>
        <sz val="10"/>
        <color theme="1"/>
        <rFont val="Arial"/>
        <family val="2"/>
      </rPr>
      <t>rx</t>
    </r>
    <r>
      <rPr>
        <b/>
        <sz val="10"/>
        <color theme="1"/>
        <rFont val="Arial"/>
        <family val="2"/>
      </rPr>
      <t>A=</t>
    </r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</si>
  <si>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>S</t>
    </r>
    <r>
      <rPr>
        <vertAlign val="subscript"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/ M</t>
    </r>
    <r>
      <rPr>
        <vertAlign val="subscript"/>
        <sz val="10"/>
        <color theme="1"/>
        <rFont val="Arial"/>
        <family val="2"/>
      </rPr>
      <t>rx</t>
    </r>
    <r>
      <rPr>
        <sz val="10"/>
        <color theme="1"/>
        <rFont val="Arial"/>
        <family val="2"/>
      </rPr>
      <t>A =</t>
    </r>
  </si>
  <si>
    <t>: effective length, Z-axis; pinned at both ends</t>
  </si>
  <si>
    <t>: moment of intertia, y-axis</t>
  </si>
  <si>
    <t>Maximum member forces occur in the in-situ condition:</t>
  </si>
  <si>
    <r>
      <t>T</t>
    </r>
    <r>
      <rPr>
        <vertAlign val="subscript"/>
        <sz val="10"/>
        <color theme="1"/>
        <rFont val="Arial"/>
        <family val="2"/>
      </rPr>
      <t>f</t>
    </r>
    <r>
      <rPr>
        <sz val="10"/>
        <rFont val="Arial"/>
        <family val="2"/>
      </rPr>
      <t xml:space="preserve"> =</t>
    </r>
  </si>
  <si>
    <r>
      <t>C</t>
    </r>
    <r>
      <rPr>
        <vertAlign val="subscript"/>
        <sz val="10"/>
        <color theme="1"/>
        <rFont val="Arial"/>
        <family val="2"/>
      </rPr>
      <t>f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</si>
  <si>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color theme="1"/>
        <rFont val="Arial"/>
        <family val="2"/>
      </rPr>
      <t>f,y-y</t>
    </r>
    <r>
      <rPr>
        <sz val="10"/>
        <rFont val="Arial"/>
        <family val="2"/>
      </rPr>
      <t xml:space="preserve"> =</t>
    </r>
  </si>
  <si>
    <t>: maximum factored weak-axis moment</t>
  </si>
  <si>
    <t>: maximum factored strong-axis moment</t>
  </si>
  <si>
    <r>
      <t>M</t>
    </r>
    <r>
      <rPr>
        <vertAlign val="subscript"/>
        <sz val="10"/>
        <color theme="1"/>
        <rFont val="Arial"/>
        <family val="2"/>
      </rPr>
      <t>f,z-z</t>
    </r>
    <r>
      <rPr>
        <sz val="10"/>
        <rFont val="Arial"/>
        <family val="2"/>
      </rPr>
      <t xml:space="preserve"> =</t>
    </r>
  </si>
  <si>
    <t>M91, M92, M99, M100, M148, M149, M157, M158</t>
  </si>
  <si>
    <t>Member M93 has the larger compression force and governs the design:</t>
  </si>
  <si>
    <t>Based on the longest brace length</t>
  </si>
  <si>
    <r>
      <t>: section elastic modulus, y-axis; I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/ (b</t>
    </r>
    <r>
      <rPr>
        <vertAlign val="subscript"/>
        <sz val="10"/>
        <color theme="1"/>
        <rFont val="Arial"/>
        <family val="2"/>
      </rPr>
      <t>br</t>
    </r>
    <r>
      <rPr>
        <sz val="10"/>
        <color theme="1"/>
        <rFont val="Arial"/>
        <family val="2"/>
      </rPr>
      <t xml:space="preserve"> + t</t>
    </r>
    <r>
      <rPr>
        <vertAlign val="subscript"/>
        <sz val="10"/>
        <color theme="1"/>
        <rFont val="Arial"/>
        <family val="2"/>
      </rPr>
      <t>gp</t>
    </r>
    <r>
      <rPr>
        <sz val="10"/>
        <color theme="1"/>
        <rFont val="Arial"/>
        <family val="2"/>
      </rPr>
      <t>/2)</t>
    </r>
  </si>
  <si>
    <t>350W</t>
  </si>
  <si>
    <r>
      <t>: total factored x-axis moment; M</t>
    </r>
    <r>
      <rPr>
        <vertAlign val="subscript"/>
        <sz val="10"/>
        <color theme="1"/>
        <rFont val="Arial"/>
        <family val="2"/>
      </rPr>
      <t>fx</t>
    </r>
    <r>
      <rPr>
        <sz val="10"/>
        <color theme="1"/>
        <rFont val="Arial"/>
        <family val="2"/>
      </rPr>
      <t xml:space="preserve"> + M</t>
    </r>
    <r>
      <rPr>
        <vertAlign val="subscript"/>
        <sz val="10"/>
        <color theme="1"/>
        <rFont val="Arial"/>
        <family val="2"/>
      </rPr>
      <t>f,ecc</t>
    </r>
  </si>
  <si>
    <t>Maximum member forces occur in the transportation condition:</t>
  </si>
  <si>
    <r>
      <t>: bolt eccentricity; t</t>
    </r>
    <r>
      <rPr>
        <vertAlign val="subscript"/>
        <sz val="10"/>
        <color theme="1"/>
        <rFont val="Arial"/>
        <family val="2"/>
      </rPr>
      <t>gp</t>
    </r>
    <r>
      <rPr>
        <sz val="10"/>
        <color theme="1"/>
        <rFont val="Arial"/>
        <family val="2"/>
      </rPr>
      <t xml:space="preserve"> / 2 + y</t>
    </r>
  </si>
  <si>
    <t>M82, M83, M84, M86, M87, M88, M110, M163, M164, M165, M166, M167, M174</t>
  </si>
  <si>
    <t>Member M91 has the largest compression force and governs the design:</t>
  </si>
  <si>
    <t>WT100x13.5</t>
  </si>
  <si>
    <t>Member M93 has the largest compression force and governs the design:</t>
  </si>
  <si>
    <t>NOTE: Small additional eccentricity due to member vertical deflection is negligible, by engineering judgement. OK.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</si>
</sst>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Spranq Eco Sans"/>
      <family val="2"/>
    </font>
    <font>
      <sz val="10"/>
      <color theme="1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i/>
      <u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i/>
      <u/>
      <sz val="10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71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0" fontId="1" fillId="0" borderId="0"/>
  </cellStyleXfs>
  <cellXfs count="56">
    <xf numFmtId="0" fontId="0" fillId="0" borderId="0" xfId="0"/>
    <xf numFmtId="0" fontId="5" fillId="2" borderId="0" xfId="369" applyFont="1" applyFill="1" applyAlignment="1">
      <alignment horizontal="center"/>
    </xf>
    <xf numFmtId="0" fontId="2" fillId="0" borderId="0" xfId="369"/>
    <xf numFmtId="0" fontId="8" fillId="2" borderId="0" xfId="369" applyFont="1" applyFill="1" applyAlignment="1">
      <alignment horizontal="left"/>
    </xf>
    <xf numFmtId="0" fontId="9" fillId="0" borderId="0" xfId="369" applyFont="1"/>
    <xf numFmtId="0" fontId="5" fillId="0" borderId="0" xfId="369" applyFont="1"/>
    <xf numFmtId="0" fontId="5" fillId="2" borderId="0" xfId="369" applyFont="1" applyFill="1"/>
    <xf numFmtId="0" fontId="9" fillId="2" borderId="0" xfId="369" applyFont="1" applyFill="1"/>
    <xf numFmtId="0" fontId="11" fillId="0" borderId="0" xfId="0" applyFont="1"/>
    <xf numFmtId="0" fontId="7" fillId="0" borderId="0" xfId="1" applyFont="1"/>
    <xf numFmtId="0" fontId="13" fillId="0" borderId="0" xfId="1" applyFont="1"/>
    <xf numFmtId="0" fontId="7" fillId="0" borderId="0" xfId="1" applyFont="1" applyAlignment="1">
      <alignment horizontal="right"/>
    </xf>
    <xf numFmtId="1" fontId="7" fillId="0" borderId="0" xfId="1" applyNumberFormat="1" applyFont="1"/>
    <xf numFmtId="164" fontId="7" fillId="0" borderId="0" xfId="1" applyNumberFormat="1" applyFont="1"/>
    <xf numFmtId="165" fontId="7" fillId="0" borderId="0" xfId="1" applyNumberFormat="1" applyFont="1"/>
    <xf numFmtId="0" fontId="17" fillId="0" borderId="0" xfId="1" applyFont="1"/>
    <xf numFmtId="0" fontId="14" fillId="0" borderId="0" xfId="1" applyFont="1"/>
    <xf numFmtId="0" fontId="18" fillId="0" borderId="0" xfId="1" applyFont="1"/>
    <xf numFmtId="0" fontId="18" fillId="0" borderId="0" xfId="1" applyFont="1" applyAlignment="1">
      <alignment horizontal="right"/>
    </xf>
    <xf numFmtId="1" fontId="18" fillId="0" borderId="0" xfId="1" applyNumberFormat="1" applyFont="1"/>
    <xf numFmtId="0" fontId="7" fillId="0" borderId="4" xfId="1" applyFont="1" applyBorder="1"/>
    <xf numFmtId="2" fontId="18" fillId="0" borderId="5" xfId="1" applyNumberFormat="1" applyFont="1" applyBorder="1" applyAlignment="1">
      <alignment horizontal="center"/>
    </xf>
    <xf numFmtId="2" fontId="7" fillId="0" borderId="6" xfId="1" applyNumberFormat="1" applyFont="1" applyBorder="1" applyAlignment="1">
      <alignment horizontal="center"/>
    </xf>
    <xf numFmtId="0" fontId="18" fillId="0" borderId="3" xfId="1" applyFont="1" applyBorder="1" applyAlignment="1">
      <alignment horizontal="center"/>
    </xf>
    <xf numFmtId="0" fontId="18" fillId="0" borderId="2" xfId="1" applyFont="1" applyBorder="1" applyAlignment="1">
      <alignment horizontal="center"/>
    </xf>
    <xf numFmtId="2" fontId="18" fillId="0" borderId="0" xfId="1" applyNumberFormat="1" applyFont="1"/>
    <xf numFmtId="1" fontId="0" fillId="0" borderId="0" xfId="0" applyNumberFormat="1"/>
    <xf numFmtId="2" fontId="0" fillId="0" borderId="0" xfId="0" applyNumberFormat="1"/>
    <xf numFmtId="0" fontId="20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12" fillId="0" borderId="0" xfId="0" applyFont="1" applyAlignment="1">
      <alignment horizontal="right"/>
    </xf>
    <xf numFmtId="0" fontId="7" fillId="0" borderId="0" xfId="1" applyFont="1" applyAlignment="1">
      <alignment horizontal="center"/>
    </xf>
    <xf numFmtId="0" fontId="20" fillId="0" borderId="0" xfId="1" applyFont="1" applyAlignment="1">
      <alignment horizontal="right"/>
    </xf>
    <xf numFmtId="0" fontId="7" fillId="0" borderId="0" xfId="1" applyFont="1" applyAlignment="1">
      <alignment horizontal="left" vertical="top"/>
    </xf>
    <xf numFmtId="0" fontId="7" fillId="0" borderId="0" xfId="1" applyFont="1" applyAlignment="1">
      <alignment vertical="top"/>
    </xf>
    <xf numFmtId="1" fontId="7" fillId="0" borderId="0" xfId="1" applyNumberFormat="1" applyFont="1" applyAlignment="1">
      <alignment horizontal="center"/>
    </xf>
    <xf numFmtId="164" fontId="7" fillId="0" borderId="0" xfId="1" applyNumberFormat="1" applyFont="1" applyAlignment="1">
      <alignment horizontal="center"/>
    </xf>
    <xf numFmtId="165" fontId="7" fillId="0" borderId="0" xfId="1" applyNumberFormat="1" applyFont="1" applyAlignment="1">
      <alignment horizontal="center"/>
    </xf>
    <xf numFmtId="0" fontId="7" fillId="3" borderId="1" xfId="1" applyFont="1" applyFill="1" applyBorder="1" applyAlignment="1">
      <alignment horizontal="center"/>
    </xf>
    <xf numFmtId="11" fontId="7" fillId="3" borderId="1" xfId="1" applyNumberFormat="1" applyFont="1" applyFill="1" applyBorder="1" applyAlignment="1">
      <alignment horizontal="center"/>
    </xf>
    <xf numFmtId="1" fontId="7" fillId="3" borderId="1" xfId="1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/>
    </xf>
    <xf numFmtId="164" fontId="7" fillId="3" borderId="1" xfId="1" applyNumberFormat="1" applyFont="1" applyFill="1" applyBorder="1" applyAlignment="1">
      <alignment horizontal="center"/>
    </xf>
    <xf numFmtId="0" fontId="18" fillId="0" borderId="0" xfId="1" applyFont="1" applyAlignment="1">
      <alignment horizontal="left"/>
    </xf>
    <xf numFmtId="2" fontId="7" fillId="3" borderId="1" xfId="1" applyNumberFormat="1" applyFont="1" applyFill="1" applyBorder="1" applyAlignment="1">
      <alignment horizontal="center"/>
    </xf>
    <xf numFmtId="0" fontId="18" fillId="0" borderId="0" xfId="1" applyFont="1" applyAlignment="1">
      <alignment horizontal="center"/>
    </xf>
    <xf numFmtId="0" fontId="18" fillId="0" borderId="0" xfId="1" quotePrefix="1" applyFont="1" applyAlignment="1">
      <alignment horizontal="right"/>
    </xf>
    <xf numFmtId="2" fontId="7" fillId="0" borderId="0" xfId="1" applyNumberFormat="1" applyFont="1" applyAlignment="1">
      <alignment horizontal="center"/>
    </xf>
    <xf numFmtId="0" fontId="0" fillId="0" borderId="0" xfId="0" applyAlignment="1">
      <alignment horizontal="right"/>
    </xf>
    <xf numFmtId="2" fontId="18" fillId="0" borderId="0" xfId="1" applyNumberFormat="1" applyFont="1" applyAlignment="1">
      <alignment horizontal="center"/>
    </xf>
    <xf numFmtId="0" fontId="0" fillId="0" borderId="0" xfId="0" applyAlignment="1">
      <alignment horizontal="left" indent="1"/>
    </xf>
    <xf numFmtId="2" fontId="18" fillId="3" borderId="1" xfId="1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3" fillId="0" borderId="0" xfId="0" applyFont="1"/>
    <xf numFmtId="0" fontId="24" fillId="0" borderId="0" xfId="370" applyFont="1"/>
    <xf numFmtId="0" fontId="7" fillId="0" borderId="0" xfId="1" applyFont="1" applyAlignment="1">
      <alignment horizontal="left" vertical="top" wrapText="1"/>
    </xf>
  </cellXfs>
  <cellStyles count="371">
    <cellStyle name="Normal" xfId="0" builtinId="0"/>
    <cellStyle name="Normal 10" xfId="370" xr:uid="{F1EE59F4-A005-4D3A-A62D-00EC02281EEB}"/>
    <cellStyle name="Normal 2" xfId="2" xr:uid="{00000000-0005-0000-0000-000001000000}"/>
    <cellStyle name="Normal 2 10" xfId="3" xr:uid="{00000000-0005-0000-0000-000002000000}"/>
    <cellStyle name="Normal 2 10 2" xfId="4" xr:uid="{00000000-0005-0000-0000-000003000000}"/>
    <cellStyle name="Normal 2 11" xfId="5" xr:uid="{00000000-0005-0000-0000-000004000000}"/>
    <cellStyle name="Normal 2 11 2" xfId="6" xr:uid="{00000000-0005-0000-0000-000005000000}"/>
    <cellStyle name="Normal 2 12" xfId="7" xr:uid="{00000000-0005-0000-0000-000006000000}"/>
    <cellStyle name="Normal 2 13" xfId="8" xr:uid="{00000000-0005-0000-0000-000007000000}"/>
    <cellStyle name="Normal 2 2" xfId="9" xr:uid="{00000000-0005-0000-0000-000008000000}"/>
    <cellStyle name="Normal 2 2 10" xfId="10" xr:uid="{00000000-0005-0000-0000-000009000000}"/>
    <cellStyle name="Normal 2 2 10 2" xfId="11" xr:uid="{00000000-0005-0000-0000-00000A000000}"/>
    <cellStyle name="Normal 2 2 11" xfId="12" xr:uid="{00000000-0005-0000-0000-00000B000000}"/>
    <cellStyle name="Normal 2 2 11 2" xfId="13" xr:uid="{00000000-0005-0000-0000-00000C000000}"/>
    <cellStyle name="Normal 2 2 12" xfId="14" xr:uid="{00000000-0005-0000-0000-00000D000000}"/>
    <cellStyle name="Normal 2 2 12 2" xfId="15" xr:uid="{00000000-0005-0000-0000-00000E000000}"/>
    <cellStyle name="Normal 2 2 13" xfId="16" xr:uid="{00000000-0005-0000-0000-00000F000000}"/>
    <cellStyle name="Normal 2 2 2" xfId="17" xr:uid="{00000000-0005-0000-0000-000010000000}"/>
    <cellStyle name="Normal 2 2 2 10" xfId="18" xr:uid="{00000000-0005-0000-0000-000011000000}"/>
    <cellStyle name="Normal 2 2 2 2" xfId="19" xr:uid="{00000000-0005-0000-0000-000012000000}"/>
    <cellStyle name="Normal 2 2 2 2 2" xfId="20" xr:uid="{00000000-0005-0000-0000-000013000000}"/>
    <cellStyle name="Normal 2 2 2 2 2 2" xfId="21" xr:uid="{00000000-0005-0000-0000-000014000000}"/>
    <cellStyle name="Normal 2 2 2 2 2 2 2" xfId="22" xr:uid="{00000000-0005-0000-0000-000015000000}"/>
    <cellStyle name="Normal 2 2 2 2 2 2 2 2" xfId="23" xr:uid="{00000000-0005-0000-0000-000016000000}"/>
    <cellStyle name="Normal 2 2 2 2 2 2 2 2 2" xfId="24" xr:uid="{00000000-0005-0000-0000-000017000000}"/>
    <cellStyle name="Normal 2 2 2 2 2 2 2 3" xfId="25" xr:uid="{00000000-0005-0000-0000-000018000000}"/>
    <cellStyle name="Normal 2 2 2 2 2 2 2 3 2" xfId="26" xr:uid="{00000000-0005-0000-0000-000019000000}"/>
    <cellStyle name="Normal 2 2 2 2 2 2 2 4" xfId="27" xr:uid="{00000000-0005-0000-0000-00001A000000}"/>
    <cellStyle name="Normal 2 2 2 2 2 2 3" xfId="28" xr:uid="{00000000-0005-0000-0000-00001B000000}"/>
    <cellStyle name="Normal 2 2 2 2 2 2 3 2" xfId="29" xr:uid="{00000000-0005-0000-0000-00001C000000}"/>
    <cellStyle name="Normal 2 2 2 2 2 2 4" xfId="30" xr:uid="{00000000-0005-0000-0000-00001D000000}"/>
    <cellStyle name="Normal 2 2 2 2 2 2 4 2" xfId="31" xr:uid="{00000000-0005-0000-0000-00001E000000}"/>
    <cellStyle name="Normal 2 2 2 2 2 2 5" xfId="32" xr:uid="{00000000-0005-0000-0000-00001F000000}"/>
    <cellStyle name="Normal 2 2 2 2 2 2 5 2" xfId="33" xr:uid="{00000000-0005-0000-0000-000020000000}"/>
    <cellStyle name="Normal 2 2 2 2 2 2 6" xfId="34" xr:uid="{00000000-0005-0000-0000-000021000000}"/>
    <cellStyle name="Normal 2 2 2 2 2 3" xfId="35" xr:uid="{00000000-0005-0000-0000-000022000000}"/>
    <cellStyle name="Normal 2 2 2 2 2 3 2" xfId="36" xr:uid="{00000000-0005-0000-0000-000023000000}"/>
    <cellStyle name="Normal 2 2 2 2 2 3 2 2" xfId="37" xr:uid="{00000000-0005-0000-0000-000024000000}"/>
    <cellStyle name="Normal 2 2 2 2 2 3 3" xfId="38" xr:uid="{00000000-0005-0000-0000-000025000000}"/>
    <cellStyle name="Normal 2 2 2 2 2 3 3 2" xfId="39" xr:uid="{00000000-0005-0000-0000-000026000000}"/>
    <cellStyle name="Normal 2 2 2 2 2 3 4" xfId="40" xr:uid="{00000000-0005-0000-0000-000027000000}"/>
    <cellStyle name="Normal 2 2 2 2 2 4" xfId="41" xr:uid="{00000000-0005-0000-0000-000028000000}"/>
    <cellStyle name="Normal 2 2 2 2 2 4 2" xfId="42" xr:uid="{00000000-0005-0000-0000-000029000000}"/>
    <cellStyle name="Normal 2 2 2 2 2 5" xfId="43" xr:uid="{00000000-0005-0000-0000-00002A000000}"/>
    <cellStyle name="Normal 2 2 2 2 2 5 2" xfId="44" xr:uid="{00000000-0005-0000-0000-00002B000000}"/>
    <cellStyle name="Normal 2 2 2 2 2 6" xfId="45" xr:uid="{00000000-0005-0000-0000-00002C000000}"/>
    <cellStyle name="Normal 2 2 2 2 2 6 2" xfId="46" xr:uid="{00000000-0005-0000-0000-00002D000000}"/>
    <cellStyle name="Normal 2 2 2 2 2 7" xfId="47" xr:uid="{00000000-0005-0000-0000-00002E000000}"/>
    <cellStyle name="Normal 2 2 2 2 3" xfId="48" xr:uid="{00000000-0005-0000-0000-00002F000000}"/>
    <cellStyle name="Normal 2 2 2 2 3 2" xfId="49" xr:uid="{00000000-0005-0000-0000-000030000000}"/>
    <cellStyle name="Normal 2 2 2 2 3 2 2" xfId="50" xr:uid="{00000000-0005-0000-0000-000031000000}"/>
    <cellStyle name="Normal 2 2 2 2 3 2 2 2" xfId="51" xr:uid="{00000000-0005-0000-0000-000032000000}"/>
    <cellStyle name="Normal 2 2 2 2 3 2 3" xfId="52" xr:uid="{00000000-0005-0000-0000-000033000000}"/>
    <cellStyle name="Normal 2 2 2 2 3 2 3 2" xfId="53" xr:uid="{00000000-0005-0000-0000-000034000000}"/>
    <cellStyle name="Normal 2 2 2 2 3 2 4" xfId="54" xr:uid="{00000000-0005-0000-0000-000035000000}"/>
    <cellStyle name="Normal 2 2 2 2 3 3" xfId="55" xr:uid="{00000000-0005-0000-0000-000036000000}"/>
    <cellStyle name="Normal 2 2 2 2 3 3 2" xfId="56" xr:uid="{00000000-0005-0000-0000-000037000000}"/>
    <cellStyle name="Normal 2 2 2 2 3 4" xfId="57" xr:uid="{00000000-0005-0000-0000-000038000000}"/>
    <cellStyle name="Normal 2 2 2 2 3 4 2" xfId="58" xr:uid="{00000000-0005-0000-0000-000039000000}"/>
    <cellStyle name="Normal 2 2 2 2 3 5" xfId="59" xr:uid="{00000000-0005-0000-0000-00003A000000}"/>
    <cellStyle name="Normal 2 2 2 2 3 5 2" xfId="60" xr:uid="{00000000-0005-0000-0000-00003B000000}"/>
    <cellStyle name="Normal 2 2 2 2 3 6" xfId="61" xr:uid="{00000000-0005-0000-0000-00003C000000}"/>
    <cellStyle name="Normal 2 2 2 2 4" xfId="62" xr:uid="{00000000-0005-0000-0000-00003D000000}"/>
    <cellStyle name="Normal 2 2 2 2 4 2" xfId="63" xr:uid="{00000000-0005-0000-0000-00003E000000}"/>
    <cellStyle name="Normal 2 2 2 2 4 2 2" xfId="64" xr:uid="{00000000-0005-0000-0000-00003F000000}"/>
    <cellStyle name="Normal 2 2 2 2 4 3" xfId="65" xr:uid="{00000000-0005-0000-0000-000040000000}"/>
    <cellStyle name="Normal 2 2 2 2 4 3 2" xfId="66" xr:uid="{00000000-0005-0000-0000-000041000000}"/>
    <cellStyle name="Normal 2 2 2 2 4 4" xfId="67" xr:uid="{00000000-0005-0000-0000-000042000000}"/>
    <cellStyle name="Normal 2 2 2 2 5" xfId="68" xr:uid="{00000000-0005-0000-0000-000043000000}"/>
    <cellStyle name="Normal 2 2 2 2 5 2" xfId="69" xr:uid="{00000000-0005-0000-0000-000044000000}"/>
    <cellStyle name="Normal 2 2 2 2 6" xfId="70" xr:uid="{00000000-0005-0000-0000-000045000000}"/>
    <cellStyle name="Normal 2 2 2 2 6 2" xfId="71" xr:uid="{00000000-0005-0000-0000-000046000000}"/>
    <cellStyle name="Normal 2 2 2 2 7" xfId="72" xr:uid="{00000000-0005-0000-0000-000047000000}"/>
    <cellStyle name="Normal 2 2 2 2 7 2" xfId="73" xr:uid="{00000000-0005-0000-0000-000048000000}"/>
    <cellStyle name="Normal 2 2 2 2 8" xfId="74" xr:uid="{00000000-0005-0000-0000-000049000000}"/>
    <cellStyle name="Normal 2 2 2 2 8 2" xfId="75" xr:uid="{00000000-0005-0000-0000-00004A000000}"/>
    <cellStyle name="Normal 2 2 2 2 9" xfId="76" xr:uid="{00000000-0005-0000-0000-00004B000000}"/>
    <cellStyle name="Normal 2 2 2 3" xfId="77" xr:uid="{00000000-0005-0000-0000-00004C000000}"/>
    <cellStyle name="Normal 2 2 2 3 2" xfId="78" xr:uid="{00000000-0005-0000-0000-00004D000000}"/>
    <cellStyle name="Normal 2 2 2 3 2 2" xfId="79" xr:uid="{00000000-0005-0000-0000-00004E000000}"/>
    <cellStyle name="Normal 2 2 2 3 2 2 2" xfId="80" xr:uid="{00000000-0005-0000-0000-00004F000000}"/>
    <cellStyle name="Normal 2 2 2 3 2 2 2 2" xfId="81" xr:uid="{00000000-0005-0000-0000-000050000000}"/>
    <cellStyle name="Normal 2 2 2 3 2 2 3" xfId="82" xr:uid="{00000000-0005-0000-0000-000051000000}"/>
    <cellStyle name="Normal 2 2 2 3 2 2 3 2" xfId="83" xr:uid="{00000000-0005-0000-0000-000052000000}"/>
    <cellStyle name="Normal 2 2 2 3 2 2 4" xfId="84" xr:uid="{00000000-0005-0000-0000-000053000000}"/>
    <cellStyle name="Normal 2 2 2 3 2 3" xfId="85" xr:uid="{00000000-0005-0000-0000-000054000000}"/>
    <cellStyle name="Normal 2 2 2 3 2 3 2" xfId="86" xr:uid="{00000000-0005-0000-0000-000055000000}"/>
    <cellStyle name="Normal 2 2 2 3 2 4" xfId="87" xr:uid="{00000000-0005-0000-0000-000056000000}"/>
    <cellStyle name="Normal 2 2 2 3 2 4 2" xfId="88" xr:uid="{00000000-0005-0000-0000-000057000000}"/>
    <cellStyle name="Normal 2 2 2 3 2 5" xfId="89" xr:uid="{00000000-0005-0000-0000-000058000000}"/>
    <cellStyle name="Normal 2 2 2 3 2 5 2" xfId="90" xr:uid="{00000000-0005-0000-0000-000059000000}"/>
    <cellStyle name="Normal 2 2 2 3 2 6" xfId="91" xr:uid="{00000000-0005-0000-0000-00005A000000}"/>
    <cellStyle name="Normal 2 2 2 3 3" xfId="92" xr:uid="{00000000-0005-0000-0000-00005B000000}"/>
    <cellStyle name="Normal 2 2 2 3 3 2" xfId="93" xr:uid="{00000000-0005-0000-0000-00005C000000}"/>
    <cellStyle name="Normal 2 2 2 3 3 2 2" xfId="94" xr:uid="{00000000-0005-0000-0000-00005D000000}"/>
    <cellStyle name="Normal 2 2 2 3 3 3" xfId="95" xr:uid="{00000000-0005-0000-0000-00005E000000}"/>
    <cellStyle name="Normal 2 2 2 3 3 3 2" xfId="96" xr:uid="{00000000-0005-0000-0000-00005F000000}"/>
    <cellStyle name="Normal 2 2 2 3 3 4" xfId="97" xr:uid="{00000000-0005-0000-0000-000060000000}"/>
    <cellStyle name="Normal 2 2 2 3 4" xfId="98" xr:uid="{00000000-0005-0000-0000-000061000000}"/>
    <cellStyle name="Normal 2 2 2 3 4 2" xfId="99" xr:uid="{00000000-0005-0000-0000-000062000000}"/>
    <cellStyle name="Normal 2 2 2 3 5" xfId="100" xr:uid="{00000000-0005-0000-0000-000063000000}"/>
    <cellStyle name="Normal 2 2 2 3 5 2" xfId="101" xr:uid="{00000000-0005-0000-0000-000064000000}"/>
    <cellStyle name="Normal 2 2 2 3 6" xfId="102" xr:uid="{00000000-0005-0000-0000-000065000000}"/>
    <cellStyle name="Normal 2 2 2 3 6 2" xfId="103" xr:uid="{00000000-0005-0000-0000-000066000000}"/>
    <cellStyle name="Normal 2 2 2 3 7" xfId="104" xr:uid="{00000000-0005-0000-0000-000067000000}"/>
    <cellStyle name="Normal 2 2 2 4" xfId="105" xr:uid="{00000000-0005-0000-0000-000068000000}"/>
    <cellStyle name="Normal 2 2 2 4 2" xfId="106" xr:uid="{00000000-0005-0000-0000-000069000000}"/>
    <cellStyle name="Normal 2 2 2 4 2 2" xfId="107" xr:uid="{00000000-0005-0000-0000-00006A000000}"/>
    <cellStyle name="Normal 2 2 2 4 2 2 2" xfId="108" xr:uid="{00000000-0005-0000-0000-00006B000000}"/>
    <cellStyle name="Normal 2 2 2 4 2 3" xfId="109" xr:uid="{00000000-0005-0000-0000-00006C000000}"/>
    <cellStyle name="Normal 2 2 2 4 2 3 2" xfId="110" xr:uid="{00000000-0005-0000-0000-00006D000000}"/>
    <cellStyle name="Normal 2 2 2 4 2 4" xfId="111" xr:uid="{00000000-0005-0000-0000-00006E000000}"/>
    <cellStyle name="Normal 2 2 2 4 3" xfId="112" xr:uid="{00000000-0005-0000-0000-00006F000000}"/>
    <cellStyle name="Normal 2 2 2 4 3 2" xfId="113" xr:uid="{00000000-0005-0000-0000-000070000000}"/>
    <cellStyle name="Normal 2 2 2 4 4" xfId="114" xr:uid="{00000000-0005-0000-0000-000071000000}"/>
    <cellStyle name="Normal 2 2 2 4 4 2" xfId="115" xr:uid="{00000000-0005-0000-0000-000072000000}"/>
    <cellStyle name="Normal 2 2 2 4 5" xfId="116" xr:uid="{00000000-0005-0000-0000-000073000000}"/>
    <cellStyle name="Normal 2 2 2 4 5 2" xfId="117" xr:uid="{00000000-0005-0000-0000-000074000000}"/>
    <cellStyle name="Normal 2 2 2 4 6" xfId="118" xr:uid="{00000000-0005-0000-0000-000075000000}"/>
    <cellStyle name="Normal 2 2 2 5" xfId="119" xr:uid="{00000000-0005-0000-0000-000076000000}"/>
    <cellStyle name="Normal 2 2 2 5 2" xfId="120" xr:uid="{00000000-0005-0000-0000-000077000000}"/>
    <cellStyle name="Normal 2 2 2 5 2 2" xfId="121" xr:uid="{00000000-0005-0000-0000-000078000000}"/>
    <cellStyle name="Normal 2 2 2 5 3" xfId="122" xr:uid="{00000000-0005-0000-0000-000079000000}"/>
    <cellStyle name="Normal 2 2 2 5 3 2" xfId="123" xr:uid="{00000000-0005-0000-0000-00007A000000}"/>
    <cellStyle name="Normal 2 2 2 5 4" xfId="124" xr:uid="{00000000-0005-0000-0000-00007B000000}"/>
    <cellStyle name="Normal 2 2 2 6" xfId="125" xr:uid="{00000000-0005-0000-0000-00007C000000}"/>
    <cellStyle name="Normal 2 2 2 6 2" xfId="126" xr:uid="{00000000-0005-0000-0000-00007D000000}"/>
    <cellStyle name="Normal 2 2 2 7" xfId="127" xr:uid="{00000000-0005-0000-0000-00007E000000}"/>
    <cellStyle name="Normal 2 2 2 7 2" xfId="128" xr:uid="{00000000-0005-0000-0000-00007F000000}"/>
    <cellStyle name="Normal 2 2 2 8" xfId="129" xr:uid="{00000000-0005-0000-0000-000080000000}"/>
    <cellStyle name="Normal 2 2 2 8 2" xfId="130" xr:uid="{00000000-0005-0000-0000-000081000000}"/>
    <cellStyle name="Normal 2 2 2 9" xfId="131" xr:uid="{00000000-0005-0000-0000-000082000000}"/>
    <cellStyle name="Normal 2 2 2 9 2" xfId="132" xr:uid="{00000000-0005-0000-0000-000083000000}"/>
    <cellStyle name="Normal 2 2 3" xfId="133" xr:uid="{00000000-0005-0000-0000-000084000000}"/>
    <cellStyle name="Normal 2 2 3 2" xfId="134" xr:uid="{00000000-0005-0000-0000-000085000000}"/>
    <cellStyle name="Normal 2 2 3 2 2" xfId="135" xr:uid="{00000000-0005-0000-0000-000086000000}"/>
    <cellStyle name="Normal 2 2 3 2 2 2" xfId="136" xr:uid="{00000000-0005-0000-0000-000087000000}"/>
    <cellStyle name="Normal 2 2 3 2 2 2 2" xfId="137" xr:uid="{00000000-0005-0000-0000-000088000000}"/>
    <cellStyle name="Normal 2 2 3 2 2 2 2 2" xfId="138" xr:uid="{00000000-0005-0000-0000-000089000000}"/>
    <cellStyle name="Normal 2 2 3 2 2 2 3" xfId="139" xr:uid="{00000000-0005-0000-0000-00008A000000}"/>
    <cellStyle name="Normal 2 2 3 2 2 2 3 2" xfId="140" xr:uid="{00000000-0005-0000-0000-00008B000000}"/>
    <cellStyle name="Normal 2 2 3 2 2 2 4" xfId="141" xr:uid="{00000000-0005-0000-0000-00008C000000}"/>
    <cellStyle name="Normal 2 2 3 2 2 3" xfId="142" xr:uid="{00000000-0005-0000-0000-00008D000000}"/>
    <cellStyle name="Normal 2 2 3 2 2 3 2" xfId="143" xr:uid="{00000000-0005-0000-0000-00008E000000}"/>
    <cellStyle name="Normal 2 2 3 2 2 4" xfId="144" xr:uid="{00000000-0005-0000-0000-00008F000000}"/>
    <cellStyle name="Normal 2 2 3 2 2 4 2" xfId="145" xr:uid="{00000000-0005-0000-0000-000090000000}"/>
    <cellStyle name="Normal 2 2 3 2 2 5" xfId="146" xr:uid="{00000000-0005-0000-0000-000091000000}"/>
    <cellStyle name="Normal 2 2 3 2 2 5 2" xfId="147" xr:uid="{00000000-0005-0000-0000-000092000000}"/>
    <cellStyle name="Normal 2 2 3 2 2 6" xfId="148" xr:uid="{00000000-0005-0000-0000-000093000000}"/>
    <cellStyle name="Normal 2 2 3 2 3" xfId="149" xr:uid="{00000000-0005-0000-0000-000094000000}"/>
    <cellStyle name="Normal 2 2 3 2 3 2" xfId="150" xr:uid="{00000000-0005-0000-0000-000095000000}"/>
    <cellStyle name="Normal 2 2 3 2 3 2 2" xfId="151" xr:uid="{00000000-0005-0000-0000-000096000000}"/>
    <cellStyle name="Normal 2 2 3 2 3 3" xfId="152" xr:uid="{00000000-0005-0000-0000-000097000000}"/>
    <cellStyle name="Normal 2 2 3 2 3 3 2" xfId="153" xr:uid="{00000000-0005-0000-0000-000098000000}"/>
    <cellStyle name="Normal 2 2 3 2 3 4" xfId="154" xr:uid="{00000000-0005-0000-0000-000099000000}"/>
    <cellStyle name="Normal 2 2 3 2 4" xfId="155" xr:uid="{00000000-0005-0000-0000-00009A000000}"/>
    <cellStyle name="Normal 2 2 3 2 4 2" xfId="156" xr:uid="{00000000-0005-0000-0000-00009B000000}"/>
    <cellStyle name="Normal 2 2 3 2 5" xfId="157" xr:uid="{00000000-0005-0000-0000-00009C000000}"/>
    <cellStyle name="Normal 2 2 3 2 5 2" xfId="158" xr:uid="{00000000-0005-0000-0000-00009D000000}"/>
    <cellStyle name="Normal 2 2 3 2 6" xfId="159" xr:uid="{00000000-0005-0000-0000-00009E000000}"/>
    <cellStyle name="Normal 2 2 3 2 6 2" xfId="160" xr:uid="{00000000-0005-0000-0000-00009F000000}"/>
    <cellStyle name="Normal 2 2 3 2 7" xfId="161" xr:uid="{00000000-0005-0000-0000-0000A0000000}"/>
    <cellStyle name="Normal 2 2 3 3" xfId="162" xr:uid="{00000000-0005-0000-0000-0000A1000000}"/>
    <cellStyle name="Normal 2 2 3 3 2" xfId="163" xr:uid="{00000000-0005-0000-0000-0000A2000000}"/>
    <cellStyle name="Normal 2 2 3 3 2 2" xfId="164" xr:uid="{00000000-0005-0000-0000-0000A3000000}"/>
    <cellStyle name="Normal 2 2 3 3 2 2 2" xfId="165" xr:uid="{00000000-0005-0000-0000-0000A4000000}"/>
    <cellStyle name="Normal 2 2 3 3 2 3" xfId="166" xr:uid="{00000000-0005-0000-0000-0000A5000000}"/>
    <cellStyle name="Normal 2 2 3 3 2 3 2" xfId="167" xr:uid="{00000000-0005-0000-0000-0000A6000000}"/>
    <cellStyle name="Normal 2 2 3 3 2 4" xfId="168" xr:uid="{00000000-0005-0000-0000-0000A7000000}"/>
    <cellStyle name="Normal 2 2 3 3 3" xfId="169" xr:uid="{00000000-0005-0000-0000-0000A8000000}"/>
    <cellStyle name="Normal 2 2 3 3 3 2" xfId="170" xr:uid="{00000000-0005-0000-0000-0000A9000000}"/>
    <cellStyle name="Normal 2 2 3 3 4" xfId="171" xr:uid="{00000000-0005-0000-0000-0000AA000000}"/>
    <cellStyle name="Normal 2 2 3 3 4 2" xfId="172" xr:uid="{00000000-0005-0000-0000-0000AB000000}"/>
    <cellStyle name="Normal 2 2 3 3 5" xfId="173" xr:uid="{00000000-0005-0000-0000-0000AC000000}"/>
    <cellStyle name="Normal 2 2 3 3 5 2" xfId="174" xr:uid="{00000000-0005-0000-0000-0000AD000000}"/>
    <cellStyle name="Normal 2 2 3 3 6" xfId="175" xr:uid="{00000000-0005-0000-0000-0000AE000000}"/>
    <cellStyle name="Normal 2 2 3 4" xfId="176" xr:uid="{00000000-0005-0000-0000-0000AF000000}"/>
    <cellStyle name="Normal 2 2 3 4 2" xfId="177" xr:uid="{00000000-0005-0000-0000-0000B0000000}"/>
    <cellStyle name="Normal 2 2 3 4 2 2" xfId="178" xr:uid="{00000000-0005-0000-0000-0000B1000000}"/>
    <cellStyle name="Normal 2 2 3 4 3" xfId="179" xr:uid="{00000000-0005-0000-0000-0000B2000000}"/>
    <cellStyle name="Normal 2 2 3 4 3 2" xfId="180" xr:uid="{00000000-0005-0000-0000-0000B3000000}"/>
    <cellStyle name="Normal 2 2 3 4 4" xfId="181" xr:uid="{00000000-0005-0000-0000-0000B4000000}"/>
    <cellStyle name="Normal 2 2 3 5" xfId="182" xr:uid="{00000000-0005-0000-0000-0000B5000000}"/>
    <cellStyle name="Normal 2 2 3 5 2" xfId="183" xr:uid="{00000000-0005-0000-0000-0000B6000000}"/>
    <cellStyle name="Normal 2 2 3 6" xfId="184" xr:uid="{00000000-0005-0000-0000-0000B7000000}"/>
    <cellStyle name="Normal 2 2 3 6 2" xfId="185" xr:uid="{00000000-0005-0000-0000-0000B8000000}"/>
    <cellStyle name="Normal 2 2 3 7" xfId="186" xr:uid="{00000000-0005-0000-0000-0000B9000000}"/>
    <cellStyle name="Normal 2 2 3 7 2" xfId="187" xr:uid="{00000000-0005-0000-0000-0000BA000000}"/>
    <cellStyle name="Normal 2 2 3 8" xfId="188" xr:uid="{00000000-0005-0000-0000-0000BB000000}"/>
    <cellStyle name="Normal 2 2 3 8 2" xfId="189" xr:uid="{00000000-0005-0000-0000-0000BC000000}"/>
    <cellStyle name="Normal 2 2 3 9" xfId="190" xr:uid="{00000000-0005-0000-0000-0000BD000000}"/>
    <cellStyle name="Normal 2 2 4" xfId="191" xr:uid="{00000000-0005-0000-0000-0000BE000000}"/>
    <cellStyle name="Normal 2 2 4 2" xfId="192" xr:uid="{00000000-0005-0000-0000-0000BF000000}"/>
    <cellStyle name="Normal 2 2 4 2 2" xfId="193" xr:uid="{00000000-0005-0000-0000-0000C0000000}"/>
    <cellStyle name="Normal 2 2 4 2 2 2" xfId="194" xr:uid="{00000000-0005-0000-0000-0000C1000000}"/>
    <cellStyle name="Normal 2 2 4 2 2 2 2" xfId="195" xr:uid="{00000000-0005-0000-0000-0000C2000000}"/>
    <cellStyle name="Normal 2 2 4 2 2 3" xfId="196" xr:uid="{00000000-0005-0000-0000-0000C3000000}"/>
    <cellStyle name="Normal 2 2 4 2 2 3 2" xfId="197" xr:uid="{00000000-0005-0000-0000-0000C4000000}"/>
    <cellStyle name="Normal 2 2 4 2 2 4" xfId="198" xr:uid="{00000000-0005-0000-0000-0000C5000000}"/>
    <cellStyle name="Normal 2 2 4 2 3" xfId="199" xr:uid="{00000000-0005-0000-0000-0000C6000000}"/>
    <cellStyle name="Normal 2 2 4 2 3 2" xfId="200" xr:uid="{00000000-0005-0000-0000-0000C7000000}"/>
    <cellStyle name="Normal 2 2 4 2 4" xfId="201" xr:uid="{00000000-0005-0000-0000-0000C8000000}"/>
    <cellStyle name="Normal 2 2 4 2 4 2" xfId="202" xr:uid="{00000000-0005-0000-0000-0000C9000000}"/>
    <cellStyle name="Normal 2 2 4 2 5" xfId="203" xr:uid="{00000000-0005-0000-0000-0000CA000000}"/>
    <cellStyle name="Normal 2 2 4 2 5 2" xfId="204" xr:uid="{00000000-0005-0000-0000-0000CB000000}"/>
    <cellStyle name="Normal 2 2 4 2 6" xfId="205" xr:uid="{00000000-0005-0000-0000-0000CC000000}"/>
    <cellStyle name="Normal 2 2 4 3" xfId="206" xr:uid="{00000000-0005-0000-0000-0000CD000000}"/>
    <cellStyle name="Normal 2 2 4 3 2" xfId="207" xr:uid="{00000000-0005-0000-0000-0000CE000000}"/>
    <cellStyle name="Normal 2 2 4 3 2 2" xfId="208" xr:uid="{00000000-0005-0000-0000-0000CF000000}"/>
    <cellStyle name="Normal 2 2 4 3 3" xfId="209" xr:uid="{00000000-0005-0000-0000-0000D0000000}"/>
    <cellStyle name="Normal 2 2 4 3 3 2" xfId="210" xr:uid="{00000000-0005-0000-0000-0000D1000000}"/>
    <cellStyle name="Normal 2 2 4 3 4" xfId="211" xr:uid="{00000000-0005-0000-0000-0000D2000000}"/>
    <cellStyle name="Normal 2 2 4 4" xfId="212" xr:uid="{00000000-0005-0000-0000-0000D3000000}"/>
    <cellStyle name="Normal 2 2 4 4 2" xfId="213" xr:uid="{00000000-0005-0000-0000-0000D4000000}"/>
    <cellStyle name="Normal 2 2 4 5" xfId="214" xr:uid="{00000000-0005-0000-0000-0000D5000000}"/>
    <cellStyle name="Normal 2 2 4 5 2" xfId="215" xr:uid="{00000000-0005-0000-0000-0000D6000000}"/>
    <cellStyle name="Normal 2 2 4 6" xfId="216" xr:uid="{00000000-0005-0000-0000-0000D7000000}"/>
    <cellStyle name="Normal 2 2 4 6 2" xfId="217" xr:uid="{00000000-0005-0000-0000-0000D8000000}"/>
    <cellStyle name="Normal 2 2 4 7" xfId="218" xr:uid="{00000000-0005-0000-0000-0000D9000000}"/>
    <cellStyle name="Normal 2 2 5" xfId="219" xr:uid="{00000000-0005-0000-0000-0000DA000000}"/>
    <cellStyle name="Normal 2 2 5 2" xfId="220" xr:uid="{00000000-0005-0000-0000-0000DB000000}"/>
    <cellStyle name="Normal 2 2 5 2 2" xfId="221" xr:uid="{00000000-0005-0000-0000-0000DC000000}"/>
    <cellStyle name="Normal 2 2 5 2 2 2" xfId="222" xr:uid="{00000000-0005-0000-0000-0000DD000000}"/>
    <cellStyle name="Normal 2 2 5 2 2 2 2" xfId="223" xr:uid="{00000000-0005-0000-0000-0000DE000000}"/>
    <cellStyle name="Normal 2 2 5 2 2 3" xfId="224" xr:uid="{00000000-0005-0000-0000-0000DF000000}"/>
    <cellStyle name="Normal 2 2 5 2 2 3 2" xfId="225" xr:uid="{00000000-0005-0000-0000-0000E0000000}"/>
    <cellStyle name="Normal 2 2 5 2 2 4" xfId="226" xr:uid="{00000000-0005-0000-0000-0000E1000000}"/>
    <cellStyle name="Normal 2 2 5 2 3" xfId="227" xr:uid="{00000000-0005-0000-0000-0000E2000000}"/>
    <cellStyle name="Normal 2 2 5 2 3 2" xfId="228" xr:uid="{00000000-0005-0000-0000-0000E3000000}"/>
    <cellStyle name="Normal 2 2 5 2 4" xfId="229" xr:uid="{00000000-0005-0000-0000-0000E4000000}"/>
    <cellStyle name="Normal 2 2 5 2 4 2" xfId="230" xr:uid="{00000000-0005-0000-0000-0000E5000000}"/>
    <cellStyle name="Normal 2 2 5 2 5" xfId="231" xr:uid="{00000000-0005-0000-0000-0000E6000000}"/>
    <cellStyle name="Normal 2 2 5 2 5 2" xfId="232" xr:uid="{00000000-0005-0000-0000-0000E7000000}"/>
    <cellStyle name="Normal 2 2 5 2 6" xfId="233" xr:uid="{00000000-0005-0000-0000-0000E8000000}"/>
    <cellStyle name="Normal 2 2 5 3" xfId="234" xr:uid="{00000000-0005-0000-0000-0000E9000000}"/>
    <cellStyle name="Normal 2 2 5 3 2" xfId="235" xr:uid="{00000000-0005-0000-0000-0000EA000000}"/>
    <cellStyle name="Normal 2 2 5 3 2 2" xfId="236" xr:uid="{00000000-0005-0000-0000-0000EB000000}"/>
    <cellStyle name="Normal 2 2 5 3 3" xfId="237" xr:uid="{00000000-0005-0000-0000-0000EC000000}"/>
    <cellStyle name="Normal 2 2 5 3 3 2" xfId="238" xr:uid="{00000000-0005-0000-0000-0000ED000000}"/>
    <cellStyle name="Normal 2 2 5 3 4" xfId="239" xr:uid="{00000000-0005-0000-0000-0000EE000000}"/>
    <cellStyle name="Normal 2 2 5 4" xfId="240" xr:uid="{00000000-0005-0000-0000-0000EF000000}"/>
    <cellStyle name="Normal 2 2 5 4 2" xfId="241" xr:uid="{00000000-0005-0000-0000-0000F0000000}"/>
    <cellStyle name="Normal 2 2 5 5" xfId="242" xr:uid="{00000000-0005-0000-0000-0000F1000000}"/>
    <cellStyle name="Normal 2 2 5 5 2" xfId="243" xr:uid="{00000000-0005-0000-0000-0000F2000000}"/>
    <cellStyle name="Normal 2 2 5 6" xfId="244" xr:uid="{00000000-0005-0000-0000-0000F3000000}"/>
    <cellStyle name="Normal 2 2 5 6 2" xfId="245" xr:uid="{00000000-0005-0000-0000-0000F4000000}"/>
    <cellStyle name="Normal 2 2 5 7" xfId="246" xr:uid="{00000000-0005-0000-0000-0000F5000000}"/>
    <cellStyle name="Normal 2 2 6" xfId="247" xr:uid="{00000000-0005-0000-0000-0000F6000000}"/>
    <cellStyle name="Normal 2 2 6 2" xfId="248" xr:uid="{00000000-0005-0000-0000-0000F7000000}"/>
    <cellStyle name="Normal 2 2 6 2 2" xfId="249" xr:uid="{00000000-0005-0000-0000-0000F8000000}"/>
    <cellStyle name="Normal 2 2 6 2 2 2" xfId="250" xr:uid="{00000000-0005-0000-0000-0000F9000000}"/>
    <cellStyle name="Normal 2 2 6 2 3" xfId="251" xr:uid="{00000000-0005-0000-0000-0000FA000000}"/>
    <cellStyle name="Normal 2 2 6 2 3 2" xfId="252" xr:uid="{00000000-0005-0000-0000-0000FB000000}"/>
    <cellStyle name="Normal 2 2 6 2 4" xfId="253" xr:uid="{00000000-0005-0000-0000-0000FC000000}"/>
    <cellStyle name="Normal 2 2 6 3" xfId="254" xr:uid="{00000000-0005-0000-0000-0000FD000000}"/>
    <cellStyle name="Normal 2 2 6 3 2" xfId="255" xr:uid="{00000000-0005-0000-0000-0000FE000000}"/>
    <cellStyle name="Normal 2 2 6 4" xfId="256" xr:uid="{00000000-0005-0000-0000-0000FF000000}"/>
    <cellStyle name="Normal 2 2 6 4 2" xfId="257" xr:uid="{00000000-0005-0000-0000-000000010000}"/>
    <cellStyle name="Normal 2 2 6 5" xfId="258" xr:uid="{00000000-0005-0000-0000-000001010000}"/>
    <cellStyle name="Normal 2 2 6 5 2" xfId="259" xr:uid="{00000000-0005-0000-0000-000002010000}"/>
    <cellStyle name="Normal 2 2 6 6" xfId="260" xr:uid="{00000000-0005-0000-0000-000003010000}"/>
    <cellStyle name="Normal 2 2 7" xfId="261" xr:uid="{00000000-0005-0000-0000-000004010000}"/>
    <cellStyle name="Normal 2 2 7 2" xfId="262" xr:uid="{00000000-0005-0000-0000-000005010000}"/>
    <cellStyle name="Normal 2 2 7 2 2" xfId="263" xr:uid="{00000000-0005-0000-0000-000006010000}"/>
    <cellStyle name="Normal 2 2 7 3" xfId="264" xr:uid="{00000000-0005-0000-0000-000007010000}"/>
    <cellStyle name="Normal 2 2 7 3 2" xfId="265" xr:uid="{00000000-0005-0000-0000-000008010000}"/>
    <cellStyle name="Normal 2 2 7 4" xfId="266" xr:uid="{00000000-0005-0000-0000-000009010000}"/>
    <cellStyle name="Normal 2 2 8" xfId="267" xr:uid="{00000000-0005-0000-0000-00000A010000}"/>
    <cellStyle name="Normal 2 2 8 2" xfId="268" xr:uid="{00000000-0005-0000-0000-00000B010000}"/>
    <cellStyle name="Normal 2 2 9" xfId="269" xr:uid="{00000000-0005-0000-0000-00000C010000}"/>
    <cellStyle name="Normal 2 2 9 2" xfId="270" xr:uid="{00000000-0005-0000-0000-00000D010000}"/>
    <cellStyle name="Normal 2 3" xfId="271" xr:uid="{00000000-0005-0000-0000-00000E010000}"/>
    <cellStyle name="Normal 2 3 2" xfId="272" xr:uid="{00000000-0005-0000-0000-00000F010000}"/>
    <cellStyle name="Normal 2 3 2 2" xfId="273" xr:uid="{00000000-0005-0000-0000-000010010000}"/>
    <cellStyle name="Normal 2 3 2 2 2" xfId="274" xr:uid="{00000000-0005-0000-0000-000011010000}"/>
    <cellStyle name="Normal 2 3 2 2 2 2" xfId="275" xr:uid="{00000000-0005-0000-0000-000012010000}"/>
    <cellStyle name="Normal 2 3 2 2 3" xfId="276" xr:uid="{00000000-0005-0000-0000-000013010000}"/>
    <cellStyle name="Normal 2 3 2 2 3 2" xfId="277" xr:uid="{00000000-0005-0000-0000-000014010000}"/>
    <cellStyle name="Normal 2 3 2 2 4" xfId="278" xr:uid="{00000000-0005-0000-0000-000015010000}"/>
    <cellStyle name="Normal 2 3 2 3" xfId="279" xr:uid="{00000000-0005-0000-0000-000016010000}"/>
    <cellStyle name="Normal 2 3 2 3 2" xfId="280" xr:uid="{00000000-0005-0000-0000-000017010000}"/>
    <cellStyle name="Normal 2 3 2 4" xfId="281" xr:uid="{00000000-0005-0000-0000-000018010000}"/>
    <cellStyle name="Normal 2 3 2 4 2" xfId="282" xr:uid="{00000000-0005-0000-0000-000019010000}"/>
    <cellStyle name="Normal 2 3 2 5" xfId="283" xr:uid="{00000000-0005-0000-0000-00001A010000}"/>
    <cellStyle name="Normal 2 3 2 5 2" xfId="284" xr:uid="{00000000-0005-0000-0000-00001B010000}"/>
    <cellStyle name="Normal 2 3 2 6" xfId="285" xr:uid="{00000000-0005-0000-0000-00001C010000}"/>
    <cellStyle name="Normal 2 3 3" xfId="286" xr:uid="{00000000-0005-0000-0000-00001D010000}"/>
    <cellStyle name="Normal 2 3 3 2" xfId="287" xr:uid="{00000000-0005-0000-0000-00001E010000}"/>
    <cellStyle name="Normal 2 3 3 2 2" xfId="288" xr:uid="{00000000-0005-0000-0000-00001F010000}"/>
    <cellStyle name="Normal 2 3 3 3" xfId="289" xr:uid="{00000000-0005-0000-0000-000020010000}"/>
    <cellStyle name="Normal 2 3 3 3 2" xfId="290" xr:uid="{00000000-0005-0000-0000-000021010000}"/>
    <cellStyle name="Normal 2 3 3 4" xfId="291" xr:uid="{00000000-0005-0000-0000-000022010000}"/>
    <cellStyle name="Normal 2 3 4" xfId="292" xr:uid="{00000000-0005-0000-0000-000023010000}"/>
    <cellStyle name="Normal 2 3 4 2" xfId="293" xr:uid="{00000000-0005-0000-0000-000024010000}"/>
    <cellStyle name="Normal 2 3 5" xfId="294" xr:uid="{00000000-0005-0000-0000-000025010000}"/>
    <cellStyle name="Normal 2 3 5 2" xfId="295" xr:uid="{00000000-0005-0000-0000-000026010000}"/>
    <cellStyle name="Normal 2 3 6" xfId="296" xr:uid="{00000000-0005-0000-0000-000027010000}"/>
    <cellStyle name="Normal 2 3 6 2" xfId="297" xr:uid="{00000000-0005-0000-0000-000028010000}"/>
    <cellStyle name="Normal 2 3 7" xfId="298" xr:uid="{00000000-0005-0000-0000-000029010000}"/>
    <cellStyle name="Normal 2 4" xfId="299" xr:uid="{00000000-0005-0000-0000-00002A010000}"/>
    <cellStyle name="Normal 2 4 2" xfId="300" xr:uid="{00000000-0005-0000-0000-00002B010000}"/>
    <cellStyle name="Normal 2 4 2 2" xfId="301" xr:uid="{00000000-0005-0000-0000-00002C010000}"/>
    <cellStyle name="Normal 2 4 2 2 2" xfId="302" xr:uid="{00000000-0005-0000-0000-00002D010000}"/>
    <cellStyle name="Normal 2 4 2 2 2 2" xfId="303" xr:uid="{00000000-0005-0000-0000-00002E010000}"/>
    <cellStyle name="Normal 2 4 2 2 3" xfId="304" xr:uid="{00000000-0005-0000-0000-00002F010000}"/>
    <cellStyle name="Normal 2 4 2 2 3 2" xfId="305" xr:uid="{00000000-0005-0000-0000-000030010000}"/>
    <cellStyle name="Normal 2 4 2 2 4" xfId="306" xr:uid="{00000000-0005-0000-0000-000031010000}"/>
    <cellStyle name="Normal 2 4 2 3" xfId="307" xr:uid="{00000000-0005-0000-0000-000032010000}"/>
    <cellStyle name="Normal 2 4 2 3 2" xfId="308" xr:uid="{00000000-0005-0000-0000-000033010000}"/>
    <cellStyle name="Normal 2 4 2 4" xfId="309" xr:uid="{00000000-0005-0000-0000-000034010000}"/>
    <cellStyle name="Normal 2 4 2 4 2" xfId="310" xr:uid="{00000000-0005-0000-0000-000035010000}"/>
    <cellStyle name="Normal 2 4 2 5" xfId="311" xr:uid="{00000000-0005-0000-0000-000036010000}"/>
    <cellStyle name="Normal 2 4 2 5 2" xfId="312" xr:uid="{00000000-0005-0000-0000-000037010000}"/>
    <cellStyle name="Normal 2 4 2 6" xfId="313" xr:uid="{00000000-0005-0000-0000-000038010000}"/>
    <cellStyle name="Normal 2 4 3" xfId="314" xr:uid="{00000000-0005-0000-0000-000039010000}"/>
    <cellStyle name="Normal 2 4 3 2" xfId="315" xr:uid="{00000000-0005-0000-0000-00003A010000}"/>
    <cellStyle name="Normal 2 4 3 2 2" xfId="316" xr:uid="{00000000-0005-0000-0000-00003B010000}"/>
    <cellStyle name="Normal 2 4 3 3" xfId="317" xr:uid="{00000000-0005-0000-0000-00003C010000}"/>
    <cellStyle name="Normal 2 4 3 3 2" xfId="318" xr:uid="{00000000-0005-0000-0000-00003D010000}"/>
    <cellStyle name="Normal 2 4 3 4" xfId="319" xr:uid="{00000000-0005-0000-0000-00003E010000}"/>
    <cellStyle name="Normal 2 4 4" xfId="320" xr:uid="{00000000-0005-0000-0000-00003F010000}"/>
    <cellStyle name="Normal 2 4 4 2" xfId="321" xr:uid="{00000000-0005-0000-0000-000040010000}"/>
    <cellStyle name="Normal 2 4 5" xfId="322" xr:uid="{00000000-0005-0000-0000-000041010000}"/>
    <cellStyle name="Normal 2 4 5 2" xfId="323" xr:uid="{00000000-0005-0000-0000-000042010000}"/>
    <cellStyle name="Normal 2 4 6" xfId="324" xr:uid="{00000000-0005-0000-0000-000043010000}"/>
    <cellStyle name="Normal 2 4 6 2" xfId="325" xr:uid="{00000000-0005-0000-0000-000044010000}"/>
    <cellStyle name="Normal 2 4 7" xfId="326" xr:uid="{00000000-0005-0000-0000-000045010000}"/>
    <cellStyle name="Normal 2 5" xfId="327" xr:uid="{00000000-0005-0000-0000-000046010000}"/>
    <cellStyle name="Normal 2 5 2" xfId="328" xr:uid="{00000000-0005-0000-0000-000047010000}"/>
    <cellStyle name="Normal 2 5 2 2" xfId="329" xr:uid="{00000000-0005-0000-0000-000048010000}"/>
    <cellStyle name="Normal 2 5 2 2 2" xfId="330" xr:uid="{00000000-0005-0000-0000-000049010000}"/>
    <cellStyle name="Normal 2 5 2 3" xfId="331" xr:uid="{00000000-0005-0000-0000-00004A010000}"/>
    <cellStyle name="Normal 2 5 2 3 2" xfId="332" xr:uid="{00000000-0005-0000-0000-00004B010000}"/>
    <cellStyle name="Normal 2 5 2 4" xfId="333" xr:uid="{00000000-0005-0000-0000-00004C010000}"/>
    <cellStyle name="Normal 2 5 3" xfId="334" xr:uid="{00000000-0005-0000-0000-00004D010000}"/>
    <cellStyle name="Normal 2 5 3 2" xfId="335" xr:uid="{00000000-0005-0000-0000-00004E010000}"/>
    <cellStyle name="Normal 2 5 4" xfId="336" xr:uid="{00000000-0005-0000-0000-00004F010000}"/>
    <cellStyle name="Normal 2 5 4 2" xfId="337" xr:uid="{00000000-0005-0000-0000-000050010000}"/>
    <cellStyle name="Normal 2 5 5" xfId="338" xr:uid="{00000000-0005-0000-0000-000051010000}"/>
    <cellStyle name="Normal 2 5 5 2" xfId="339" xr:uid="{00000000-0005-0000-0000-000052010000}"/>
    <cellStyle name="Normal 2 5 6" xfId="340" xr:uid="{00000000-0005-0000-0000-000053010000}"/>
    <cellStyle name="Normal 2 6" xfId="341" xr:uid="{00000000-0005-0000-0000-000054010000}"/>
    <cellStyle name="Normal 2 6 2" xfId="342" xr:uid="{00000000-0005-0000-0000-000055010000}"/>
    <cellStyle name="Normal 2 6 2 2" xfId="343" xr:uid="{00000000-0005-0000-0000-000056010000}"/>
    <cellStyle name="Normal 2 6 3" xfId="344" xr:uid="{00000000-0005-0000-0000-000057010000}"/>
    <cellStyle name="Normal 2 6 3 2" xfId="345" xr:uid="{00000000-0005-0000-0000-000058010000}"/>
    <cellStyle name="Normal 2 6 4" xfId="346" xr:uid="{00000000-0005-0000-0000-000059010000}"/>
    <cellStyle name="Normal 2 7" xfId="347" xr:uid="{00000000-0005-0000-0000-00005A010000}"/>
    <cellStyle name="Normal 2 7 2" xfId="348" xr:uid="{00000000-0005-0000-0000-00005B010000}"/>
    <cellStyle name="Normal 2 8" xfId="349" xr:uid="{00000000-0005-0000-0000-00005C010000}"/>
    <cellStyle name="Normal 2 8 2" xfId="350" xr:uid="{00000000-0005-0000-0000-00005D010000}"/>
    <cellStyle name="Normal 2 9" xfId="351" xr:uid="{00000000-0005-0000-0000-00005E010000}"/>
    <cellStyle name="Normal 2 9 2" xfId="352" xr:uid="{00000000-0005-0000-0000-00005F010000}"/>
    <cellStyle name="Normal 3" xfId="353" xr:uid="{00000000-0005-0000-0000-000060010000}"/>
    <cellStyle name="Normal 4" xfId="354" xr:uid="{00000000-0005-0000-0000-000061010000}"/>
    <cellStyle name="Normal 5" xfId="355" xr:uid="{00000000-0005-0000-0000-000062010000}"/>
    <cellStyle name="Normal 5 2" xfId="356" xr:uid="{00000000-0005-0000-0000-000063010000}"/>
    <cellStyle name="Normal 5 2 2" xfId="357" xr:uid="{00000000-0005-0000-0000-000064010000}"/>
    <cellStyle name="Normal 5 3" xfId="358" xr:uid="{00000000-0005-0000-0000-000065010000}"/>
    <cellStyle name="Normal 5 3 2" xfId="359" xr:uid="{00000000-0005-0000-0000-000066010000}"/>
    <cellStyle name="Normal 5 4" xfId="360" xr:uid="{00000000-0005-0000-0000-000067010000}"/>
    <cellStyle name="Normal 6" xfId="361" xr:uid="{00000000-0005-0000-0000-000068010000}"/>
    <cellStyle name="Normal 7" xfId="362" xr:uid="{00000000-0005-0000-0000-000069010000}"/>
    <cellStyle name="Normal 7 2" xfId="363" xr:uid="{00000000-0005-0000-0000-00006A010000}"/>
    <cellStyle name="Normal 8" xfId="1" xr:uid="{00000000-0005-0000-0000-00006B010000}"/>
    <cellStyle name="Normal 9" xfId="369" xr:uid="{F7B3579E-D49E-44CA-9E60-5EC538EB70A0}"/>
    <cellStyle name="Percent 2" xfId="364" xr:uid="{00000000-0005-0000-0000-00006D010000}"/>
    <cellStyle name="Percent 3" xfId="365" xr:uid="{00000000-0005-0000-0000-00006E010000}"/>
    <cellStyle name="Percent 3 2" xfId="366" xr:uid="{00000000-0005-0000-0000-00006F010000}"/>
    <cellStyle name="Percent 4" xfId="367" xr:uid="{00000000-0005-0000-0000-000070010000}"/>
    <cellStyle name="Percent 4 2" xfId="368" xr:uid="{00000000-0005-0000-0000-00007101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7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6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417130</xdr:colOff>
      <xdr:row>5</xdr:row>
      <xdr:rowOff>21223</xdr:rowOff>
    </xdr:from>
    <xdr:to>
      <xdr:col>7</xdr:col>
      <xdr:colOff>723899</xdr:colOff>
      <xdr:row>21</xdr:row>
      <xdr:rowOff>84740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572AAE-AF0F-409B-8FD2-E69FE01D6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30" y="926098"/>
          <a:ext cx="5088319" cy="29591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26276</xdr:colOff>
      <xdr:row>84</xdr:row>
      <xdr:rowOff>32844</xdr:rowOff>
    </xdr:from>
    <xdr:to>
      <xdr:col>6</xdr:col>
      <xdr:colOff>608287</xdr:colOff>
      <xdr:row>87</xdr:row>
      <xdr:rowOff>152288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29FCEF-2F23-40F6-844B-5FD797047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5276" y="22845219"/>
          <a:ext cx="1191611" cy="66236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139</xdr:row>
      <xdr:rowOff>1</xdr:rowOff>
    </xdr:from>
    <xdr:to>
      <xdr:col>7</xdr:col>
      <xdr:colOff>561975</xdr:colOff>
      <xdr:row>151</xdr:row>
      <xdr:rowOff>113886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A24FDEC-54F2-4429-A71F-D6ED50208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62132" y="2586037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168</xdr:row>
      <xdr:rowOff>8285</xdr:rowOff>
    </xdr:from>
    <xdr:to>
      <xdr:col>3</xdr:col>
      <xdr:colOff>238125</xdr:colOff>
      <xdr:row>170</xdr:row>
      <xdr:rowOff>174966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E5BFE6-C20D-42A6-A6DC-6BF8FDA36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589" y="31231235"/>
          <a:ext cx="945461" cy="5286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172</xdr:row>
      <xdr:rowOff>8284</xdr:rowOff>
    </xdr:from>
    <xdr:to>
      <xdr:col>3</xdr:col>
      <xdr:colOff>251465</xdr:colOff>
      <xdr:row>175</xdr:row>
      <xdr:rowOff>1550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BCBBD6C-BD70-4871-9678-3DF28D4AA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0310" y="31955134"/>
          <a:ext cx="967080" cy="53619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221</xdr:row>
      <xdr:rowOff>24308</xdr:rowOff>
    </xdr:from>
    <xdr:to>
      <xdr:col>5</xdr:col>
      <xdr:colOff>57150</xdr:colOff>
      <xdr:row>224</xdr:row>
      <xdr:rowOff>113727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52CA59A-9FFD-4EF1-8BDF-ACC0EBE59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8515" y="41038958"/>
          <a:ext cx="2377635" cy="6323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237</xdr:row>
      <xdr:rowOff>100220</xdr:rowOff>
    </xdr:from>
    <xdr:to>
      <xdr:col>9</xdr:col>
      <xdr:colOff>66675</xdr:colOff>
      <xdr:row>243</xdr:row>
      <xdr:rowOff>30819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299482-82ED-49A5-A688-3507E2408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28701" y="4410572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252</xdr:row>
      <xdr:rowOff>54101</xdr:rowOff>
    </xdr:from>
    <xdr:to>
      <xdr:col>9</xdr:col>
      <xdr:colOff>638175</xdr:colOff>
      <xdr:row>262</xdr:row>
      <xdr:rowOff>162870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5A2D0A3-AC5A-45D0-B950-D8601252D6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8147" r="18557"/>
        <a:stretch>
          <a:fillRect/>
        </a:stretch>
      </xdr:blipFill>
      <xdr:spPr>
        <a:xfrm>
          <a:off x="4108044" y="46850426"/>
          <a:ext cx="3121431" cy="19947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278</xdr:row>
      <xdr:rowOff>86725</xdr:rowOff>
    </xdr:from>
    <xdr:to>
      <xdr:col>9</xdr:col>
      <xdr:colOff>114301</xdr:colOff>
      <xdr:row>293</xdr:row>
      <xdr:rowOff>127927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42B439A-C470-4163-BE0D-B1ACE2646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98079" y="5170270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306</xdr:row>
      <xdr:rowOff>49697</xdr:rowOff>
    </xdr:from>
    <xdr:to>
      <xdr:col>8</xdr:col>
      <xdr:colOff>590551</xdr:colOff>
      <xdr:row>319</xdr:row>
      <xdr:rowOff>5319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916224-3516-45D8-8F35-9FD91891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66581" y="56847272"/>
          <a:ext cx="5415170" cy="23082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415</xdr:row>
      <xdr:rowOff>22413</xdr:rowOff>
    </xdr:from>
    <xdr:to>
      <xdr:col>8</xdr:col>
      <xdr:colOff>352426</xdr:colOff>
      <xdr:row>422</xdr:row>
      <xdr:rowOff>119685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63FCE4F-CB98-43BC-A9C5-A56025C1DF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48294"/>
        <a:stretch>
          <a:fillRect/>
        </a:stretch>
      </xdr:blipFill>
      <xdr:spPr>
        <a:xfrm>
          <a:off x="962026" y="7717491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440</xdr:row>
      <xdr:rowOff>66748</xdr:rowOff>
    </xdr:from>
    <xdr:to>
      <xdr:col>7</xdr:col>
      <xdr:colOff>552451</xdr:colOff>
      <xdr:row>445</xdr:row>
      <xdr:rowOff>136793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A99EC65-8924-4E87-9BCE-B5D85DAD4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67387" y="8186744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47625</xdr:colOff>
      <xdr:row>26</xdr:row>
      <xdr:rowOff>66675</xdr:rowOff>
    </xdr:from>
    <xdr:to>
      <xdr:col>10</xdr:col>
      <xdr:colOff>628650</xdr:colOff>
      <xdr:row>43</xdr:row>
      <xdr:rowOff>157200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077083-5438-18DA-030B-138AD9866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7625" y="4772025"/>
          <a:ext cx="7886700" cy="31671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26276</xdr:colOff>
      <xdr:row>84</xdr:row>
      <xdr:rowOff>32844</xdr:rowOff>
    </xdr:from>
    <xdr:to>
      <xdr:col>6</xdr:col>
      <xdr:colOff>608287</xdr:colOff>
      <xdr:row>87</xdr:row>
      <xdr:rowOff>152287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AF6A84-488C-4255-8E10-EB865F9C3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5276" y="15482394"/>
          <a:ext cx="1267811" cy="6814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140</xdr:row>
      <xdr:rowOff>1</xdr:rowOff>
    </xdr:from>
    <xdr:to>
      <xdr:col>7</xdr:col>
      <xdr:colOff>561975</xdr:colOff>
      <xdr:row>152</xdr:row>
      <xdr:rowOff>113886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EA7D1C-57EF-47ED-8A07-EA957190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2132" y="2586037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169</xdr:row>
      <xdr:rowOff>8285</xdr:rowOff>
    </xdr:from>
    <xdr:to>
      <xdr:col>3</xdr:col>
      <xdr:colOff>238125</xdr:colOff>
      <xdr:row>172</xdr:row>
      <xdr:rowOff>1784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9C2572-4A7D-4BBF-898C-2E1B91FE2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89" y="31231235"/>
          <a:ext cx="945461" cy="5286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173</xdr:row>
      <xdr:rowOff>8284</xdr:rowOff>
    </xdr:from>
    <xdr:to>
      <xdr:col>3</xdr:col>
      <xdr:colOff>251465</xdr:colOff>
      <xdr:row>176</xdr:row>
      <xdr:rowOff>1550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4A9D7B-A86D-4C91-9878-7DA971F58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310" y="31955134"/>
          <a:ext cx="967080" cy="53619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226</xdr:row>
      <xdr:rowOff>24308</xdr:rowOff>
    </xdr:from>
    <xdr:to>
      <xdr:col>5</xdr:col>
      <xdr:colOff>57150</xdr:colOff>
      <xdr:row>229</xdr:row>
      <xdr:rowOff>113726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E0A351A-92B3-428A-8FDC-0A599537A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515" y="41038958"/>
          <a:ext cx="2377635" cy="6323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244</xdr:row>
      <xdr:rowOff>100220</xdr:rowOff>
    </xdr:from>
    <xdr:to>
      <xdr:col>9</xdr:col>
      <xdr:colOff>66675</xdr:colOff>
      <xdr:row>250</xdr:row>
      <xdr:rowOff>30819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45D974-CF6E-4725-9871-F0A45BCBE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8701" y="4410572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259</xdr:row>
      <xdr:rowOff>54101</xdr:rowOff>
    </xdr:from>
    <xdr:to>
      <xdr:col>9</xdr:col>
      <xdr:colOff>638175</xdr:colOff>
      <xdr:row>270</xdr:row>
      <xdr:rowOff>944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4882164-892B-482B-80C4-2EE4467C07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147" r="18557"/>
        <a:stretch>
          <a:fillRect/>
        </a:stretch>
      </xdr:blipFill>
      <xdr:spPr>
        <a:xfrm>
          <a:off x="4108044" y="46850426"/>
          <a:ext cx="3121431" cy="199471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285</xdr:row>
      <xdr:rowOff>86725</xdr:rowOff>
    </xdr:from>
    <xdr:to>
      <xdr:col>9</xdr:col>
      <xdr:colOff>114301</xdr:colOff>
      <xdr:row>300</xdr:row>
      <xdr:rowOff>127927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D89C4CD-72C1-4887-A192-0C2F943C7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8079" y="5170270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319</xdr:row>
      <xdr:rowOff>49697</xdr:rowOff>
    </xdr:from>
    <xdr:to>
      <xdr:col>8</xdr:col>
      <xdr:colOff>590551</xdr:colOff>
      <xdr:row>332</xdr:row>
      <xdr:rowOff>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754AF67-E067-4A6B-AC7B-BBC9C1657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6581" y="56847272"/>
          <a:ext cx="5415170" cy="23082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429</xdr:row>
      <xdr:rowOff>22413</xdr:rowOff>
    </xdr:from>
    <xdr:to>
      <xdr:col>8</xdr:col>
      <xdr:colOff>352426</xdr:colOff>
      <xdr:row>436</xdr:row>
      <xdr:rowOff>119685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E22A689-8804-4A94-A450-95D2BA55AF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48294"/>
        <a:stretch>
          <a:fillRect/>
        </a:stretch>
      </xdr:blipFill>
      <xdr:spPr>
        <a:xfrm>
          <a:off x="962026" y="7717491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454</xdr:row>
      <xdr:rowOff>66748</xdr:rowOff>
    </xdr:from>
    <xdr:to>
      <xdr:col>7</xdr:col>
      <xdr:colOff>552451</xdr:colOff>
      <xdr:row>459</xdr:row>
      <xdr:rowOff>136793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96F25EF-973B-4EBF-87CF-7AC8BD39E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7387" y="8186744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480391</xdr:colOff>
      <xdr:row>5</xdr:row>
      <xdr:rowOff>8283</xdr:rowOff>
    </xdr:from>
    <xdr:to>
      <xdr:col>7</xdr:col>
      <xdr:colOff>149086</xdr:colOff>
      <xdr:row>20</xdr:row>
      <xdr:rowOff>167165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3365583-070C-2DC2-AC37-F48F6C4D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70891" y="919370"/>
          <a:ext cx="4456043" cy="2892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152400</xdr:colOff>
      <xdr:row>26</xdr:row>
      <xdr:rowOff>66675</xdr:rowOff>
    </xdr:from>
    <xdr:to>
      <xdr:col>10</xdr:col>
      <xdr:colOff>552450</xdr:colOff>
      <xdr:row>47</xdr:row>
      <xdr:rowOff>13793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3B0CD7-95E2-1589-DFCF-6EB63ACC9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2400" y="4772025"/>
          <a:ext cx="7705725" cy="374759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26276</xdr:colOff>
      <xdr:row>84</xdr:row>
      <xdr:rowOff>32844</xdr:rowOff>
    </xdr:from>
    <xdr:to>
      <xdr:col>6</xdr:col>
      <xdr:colOff>608287</xdr:colOff>
      <xdr:row>87</xdr:row>
      <xdr:rowOff>185418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D953BF-3DC3-4F12-99BE-A2D1AEE14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5276" y="15463344"/>
          <a:ext cx="1267811" cy="68141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33132</xdr:colOff>
      <xdr:row>140</xdr:row>
      <xdr:rowOff>1</xdr:rowOff>
    </xdr:from>
    <xdr:to>
      <xdr:col>7</xdr:col>
      <xdr:colOff>561975</xdr:colOff>
      <xdr:row>153</xdr:row>
      <xdr:rowOff>47626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8FCBC5-D620-4C77-8A13-1C7CE9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2132" y="25841326"/>
          <a:ext cx="2071893" cy="236178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16564</xdr:colOff>
      <xdr:row>169</xdr:row>
      <xdr:rowOff>8285</xdr:rowOff>
    </xdr:from>
    <xdr:to>
      <xdr:col>3</xdr:col>
      <xdr:colOff>238125</xdr:colOff>
      <xdr:row>172</xdr:row>
      <xdr:rowOff>51480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644EED-DF32-46DB-B750-003DF56B4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8589" y="31212185"/>
          <a:ext cx="945461" cy="53642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8285</xdr:colOff>
      <xdr:row>173</xdr:row>
      <xdr:rowOff>8284</xdr:rowOff>
    </xdr:from>
    <xdr:to>
      <xdr:col>3</xdr:col>
      <xdr:colOff>251465</xdr:colOff>
      <xdr:row>176</xdr:row>
      <xdr:rowOff>51246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CDD8315-4A01-473A-82A7-771836736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0310" y="31936084"/>
          <a:ext cx="967080" cy="53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146490</xdr:colOff>
      <xdr:row>226</xdr:row>
      <xdr:rowOff>24308</xdr:rowOff>
    </xdr:from>
    <xdr:to>
      <xdr:col>5</xdr:col>
      <xdr:colOff>57150</xdr:colOff>
      <xdr:row>229</xdr:row>
      <xdr:rowOff>113727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075196-A69E-4405-80DA-8278C72A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515" y="41019908"/>
          <a:ext cx="2377635" cy="63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66676</xdr:colOff>
      <xdr:row>244</xdr:row>
      <xdr:rowOff>100220</xdr:rowOff>
    </xdr:from>
    <xdr:to>
      <xdr:col>9</xdr:col>
      <xdr:colOff>66675</xdr:colOff>
      <xdr:row>250</xdr:row>
      <xdr:rowOff>130210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84F6BF-7C4D-4BA4-9175-770F09AD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8701" y="44086670"/>
          <a:ext cx="5629274" cy="101644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</xdr:col>
      <xdr:colOff>679044</xdr:colOff>
      <xdr:row>259</xdr:row>
      <xdr:rowOff>54101</xdr:rowOff>
    </xdr:from>
    <xdr:to>
      <xdr:col>9</xdr:col>
      <xdr:colOff>638175</xdr:colOff>
      <xdr:row>270</xdr:row>
      <xdr:rowOff>96608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C6C3463-F60B-466B-86BC-92B3DBEBC4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8147" r="18557"/>
        <a:stretch>
          <a:fillRect/>
        </a:stretch>
      </xdr:blipFill>
      <xdr:spPr>
        <a:xfrm>
          <a:off x="4108044" y="46831376"/>
          <a:ext cx="3121431" cy="199471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36054</xdr:colOff>
      <xdr:row>285</xdr:row>
      <xdr:rowOff>86725</xdr:rowOff>
    </xdr:from>
    <xdr:to>
      <xdr:col>9</xdr:col>
      <xdr:colOff>114301</xdr:colOff>
      <xdr:row>302</xdr:row>
      <xdr:rowOff>45101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41DE7BA-251E-432F-BC88-BAB326CA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98079" y="51683650"/>
          <a:ext cx="5707522" cy="275582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4556</xdr:colOff>
      <xdr:row>319</xdr:row>
      <xdr:rowOff>49697</xdr:rowOff>
    </xdr:from>
    <xdr:to>
      <xdr:col>8</xdr:col>
      <xdr:colOff>590551</xdr:colOff>
      <xdr:row>332</xdr:row>
      <xdr:rowOff>5320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7B9000-304F-4AF3-AF45-E04B0913C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6581" y="56828222"/>
          <a:ext cx="5415170" cy="230829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1</xdr:colOff>
      <xdr:row>428</xdr:row>
      <xdr:rowOff>22413</xdr:rowOff>
    </xdr:from>
    <xdr:to>
      <xdr:col>8</xdr:col>
      <xdr:colOff>352426</xdr:colOff>
      <xdr:row>435</xdr:row>
      <xdr:rowOff>119685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B649057-E6C0-46D4-B255-1CF1BB1878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48294"/>
        <a:stretch>
          <a:fillRect/>
        </a:stretch>
      </xdr:blipFill>
      <xdr:spPr>
        <a:xfrm>
          <a:off x="962026" y="77155863"/>
          <a:ext cx="5181600" cy="13640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5362</xdr:colOff>
      <xdr:row>453</xdr:row>
      <xdr:rowOff>66748</xdr:rowOff>
    </xdr:from>
    <xdr:to>
      <xdr:col>7</xdr:col>
      <xdr:colOff>552451</xdr:colOff>
      <xdr:row>458</xdr:row>
      <xdr:rowOff>136793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5CC4DED-F821-4E38-BCBA-1DDCAFAB5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7387" y="81848398"/>
          <a:ext cx="4557114" cy="9749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496956</xdr:colOff>
      <xdr:row>5</xdr:row>
      <xdr:rowOff>8282</xdr:rowOff>
    </xdr:from>
    <xdr:to>
      <xdr:col>7</xdr:col>
      <xdr:colOff>728869</xdr:colOff>
      <xdr:row>20</xdr:row>
      <xdr:rowOff>109771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4D97103-BB6E-B0CC-1A6A-AB3C877A2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7456" y="919369"/>
          <a:ext cx="5019261" cy="2834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24848</xdr:colOff>
      <xdr:row>26</xdr:row>
      <xdr:rowOff>91109</xdr:rowOff>
    </xdr:from>
    <xdr:to>
      <xdr:col>10</xdr:col>
      <xdr:colOff>588066</xdr:colOff>
      <xdr:row>41</xdr:row>
      <xdr:rowOff>149016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3683B2B-3BA0-7E3C-6243-4507ED188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5348" y="4828761"/>
          <a:ext cx="7686261" cy="279116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DNET.COM\CA_Projects\CA_F3KY\215_STRUCTURAL\215E_ENGINEERING_DESIGN_DATA\215E_014_R_Proj_Calculations_Sketches\F3KY-215-CAL-031%20CWA%20240%20Tray%20Waterfall%20Pile%20and%20Steel%20Design\Working\F3KY-215-CAL-031_0_01.xlsm" TargetMode="External"/><Relationship Id="rId1" Type="http://schemas.openxmlformats.org/officeDocument/2006/relationships/externalLinkPath" Target="F3KY-215-CAL-031_0_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P, RH, TofC"/>
      <sheetName val="1. Risk &amp; Uncert"/>
      <sheetName val="2. Comp F I"/>
      <sheetName val="3. Desc of Calc"/>
      <sheetName val="4. Basis of Design"/>
      <sheetName val="5. Anal &amp; Design Phil"/>
      <sheetName val="6. Load Development"/>
      <sheetName val="6.2 SLD Screenshots"/>
      <sheetName val="7. Load Combinations"/>
      <sheetName val="8.0 Analysis Inputs"/>
      <sheetName val="9.0 Pile Design"/>
      <sheetName val="10.0 Steel Design"/>
      <sheetName val="11.0 Connections"/>
      <sheetName val="12. APPENDIX"/>
      <sheetName val="SLS_Rxns"/>
      <sheetName val="ULS_Rxn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S1" t="str">
            <v>-</v>
          </cell>
        </row>
        <row r="2">
          <cell r="AS2" t="str">
            <v>Y</v>
          </cell>
        </row>
        <row r="3">
          <cell r="AS3" t="str">
            <v>N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C662-5E8C-4934-A676-584715FE98DF}">
  <sheetPr>
    <pageSetUpPr fitToPage="1"/>
  </sheetPr>
  <dimension ref="A1:L458"/>
  <sheetViews>
    <sheetView tabSelected="1" view="pageBreakPreview" topLeftCell="A372" zoomScaleNormal="100" zoomScaleSheetLayoutView="100" workbookViewId="0">
      <selection activeCell="E398" sqref="E398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355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t="s">
        <v>536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11">
      <c r="A17"/>
      <c r="B17" s="8"/>
      <c r="C17"/>
      <c r="D17"/>
      <c r="E17"/>
      <c r="F17"/>
      <c r="G17"/>
      <c r="H17"/>
      <c r="I17"/>
      <c r="J17"/>
      <c r="K17"/>
    </row>
    <row r="18" spans="1:11">
      <c r="A18"/>
      <c r="B18" s="8"/>
      <c r="C18"/>
      <c r="D18"/>
      <c r="E18"/>
      <c r="F18"/>
      <c r="G18"/>
      <c r="H18"/>
      <c r="I18"/>
      <c r="J18"/>
      <c r="K18"/>
    </row>
    <row r="19" spans="1:11">
      <c r="A19"/>
      <c r="B19" s="8"/>
      <c r="C19"/>
      <c r="D19"/>
      <c r="E19"/>
      <c r="F19"/>
      <c r="G19"/>
      <c r="H19"/>
      <c r="I19"/>
      <c r="J19"/>
      <c r="K19"/>
    </row>
    <row r="20" spans="1:11">
      <c r="A20"/>
      <c r="B20" s="8"/>
      <c r="C20"/>
      <c r="D20"/>
      <c r="E20"/>
      <c r="F20"/>
      <c r="G20"/>
      <c r="H20"/>
      <c r="I20"/>
      <c r="J20"/>
      <c r="K20"/>
    </row>
    <row r="21" spans="1:11">
      <c r="A21"/>
      <c r="B21" s="8"/>
      <c r="C21"/>
      <c r="D21"/>
      <c r="E21"/>
      <c r="F21"/>
      <c r="G21"/>
      <c r="H21"/>
      <c r="I21"/>
      <c r="J21"/>
      <c r="K21"/>
    </row>
    <row r="22" spans="1:11">
      <c r="A22"/>
      <c r="B22" s="8"/>
      <c r="C22"/>
      <c r="D22"/>
      <c r="E22"/>
      <c r="F22"/>
      <c r="G22"/>
      <c r="H22"/>
      <c r="I22"/>
      <c r="J22"/>
      <c r="K22"/>
    </row>
    <row r="23" spans="1:11">
      <c r="A23"/>
      <c r="B23" s="8"/>
      <c r="C23"/>
      <c r="D23"/>
      <c r="E23"/>
      <c r="F23"/>
      <c r="G23"/>
      <c r="H23"/>
      <c r="I23"/>
      <c r="J23"/>
      <c r="K23"/>
    </row>
    <row r="24" spans="1:11">
      <c r="A24"/>
      <c r="B24" s="8"/>
      <c r="C24"/>
      <c r="D24"/>
      <c r="E24"/>
      <c r="F24"/>
      <c r="G24"/>
      <c r="H24"/>
      <c r="I24"/>
      <c r="J24"/>
      <c r="K24"/>
    </row>
    <row r="25" spans="1:11">
      <c r="A25"/>
      <c r="B25" s="8"/>
      <c r="C25" s="8"/>
      <c r="D25"/>
      <c r="E25"/>
      <c r="F25"/>
      <c r="G25"/>
      <c r="H25"/>
      <c r="I25"/>
      <c r="J25"/>
      <c r="K25"/>
    </row>
    <row r="26" spans="1:11">
      <c r="A26"/>
      <c r="B26" s="53" t="s">
        <v>529</v>
      </c>
      <c r="C26" s="8"/>
      <c r="D26"/>
      <c r="E26"/>
      <c r="F26"/>
      <c r="G26"/>
      <c r="H26"/>
      <c r="I26"/>
      <c r="J26"/>
      <c r="K26"/>
    </row>
    <row r="46" spans="2:6">
      <c r="B46" s="9" t="s">
        <v>545</v>
      </c>
    </row>
    <row r="48" spans="2:6" ht="15.75">
      <c r="C48" s="11" t="s">
        <v>530</v>
      </c>
      <c r="D48" s="42">
        <v>140</v>
      </c>
      <c r="E48" s="9" t="s">
        <v>12</v>
      </c>
      <c r="F48" s="9" t="s">
        <v>428</v>
      </c>
    </row>
    <row r="49" spans="2:6" ht="15.75">
      <c r="C49" s="11" t="s">
        <v>531</v>
      </c>
      <c r="D49" s="42">
        <v>165</v>
      </c>
      <c r="E49" s="9" t="s">
        <v>12</v>
      </c>
      <c r="F49" s="9" t="s">
        <v>429</v>
      </c>
    </row>
    <row r="50" spans="2:6" ht="15.75">
      <c r="C50" s="11" t="s">
        <v>532</v>
      </c>
      <c r="D50" s="42">
        <v>0.23</v>
      </c>
      <c r="E50" s="9" t="s">
        <v>25</v>
      </c>
      <c r="F50" s="9" t="s">
        <v>533</v>
      </c>
    </row>
    <row r="51" spans="2:6" ht="15.75">
      <c r="C51" s="11" t="s">
        <v>535</v>
      </c>
      <c r="D51" s="42">
        <v>0.20200000000000001</v>
      </c>
      <c r="E51" s="9" t="s">
        <v>25</v>
      </c>
      <c r="F51" s="9" t="s">
        <v>534</v>
      </c>
    </row>
    <row r="62" spans="2:6">
      <c r="B62" s="10" t="s">
        <v>0</v>
      </c>
    </row>
    <row r="63" spans="2:6">
      <c r="D63" s="31"/>
      <c r="F63" s="29"/>
    </row>
    <row r="64" spans="2:6">
      <c r="C64" s="11" t="s">
        <v>4</v>
      </c>
      <c r="D64" s="38" t="s">
        <v>32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300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38" t="s">
        <v>163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f>VLOOKUP(WT,'2L_Database'!$B$79:$AE$218,5,FALSE)</f>
        <v>102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f>VLOOKUP(WT,'2L_Database'!$B$79:$AE$218,6,FALSE)</f>
        <v>76.2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5">
        <f>VLOOKUP(WT,'2L_Database'!$B$79:$AE$218,7,FALSE)</f>
        <v>12.7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5">
        <f>VLOOKUP(WT,'2L_Database'!$B$79:$AE$218,7,FALSE)</f>
        <v>12.7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f>VLOOKUP(WT,'2L_Database'!$B$79:$AE$218,18,FALSE)</f>
        <v>33.9</v>
      </c>
      <c r="E80" s="9" t="s">
        <v>7</v>
      </c>
      <c r="F80" s="29" t="s">
        <v>399</v>
      </c>
      <c r="I80" s="11"/>
      <c r="J80" s="12"/>
    </row>
    <row r="81" spans="3:12" ht="15.75">
      <c r="C81" s="11" t="s">
        <v>370</v>
      </c>
      <c r="D81" s="36">
        <f>VLOOKUP(WT,'2L_Database'!$B$79:$AE$218,25,FALSE)</f>
        <v>27.5</v>
      </c>
      <c r="E81" s="9" t="s">
        <v>7</v>
      </c>
      <c r="F81" s="29" t="s">
        <v>400</v>
      </c>
      <c r="I81" s="11"/>
      <c r="J81" s="12"/>
    </row>
    <row r="82" spans="3:12" ht="15.75">
      <c r="C82" s="11" t="s">
        <v>365</v>
      </c>
      <c r="D82" s="36">
        <f>VLOOKUP(WT,'2L_Database'!$B$79:$AE$218,17,FALSE)</f>
        <v>31.8</v>
      </c>
      <c r="E82" s="9" t="s">
        <v>7</v>
      </c>
      <c r="F82" s="29" t="s">
        <v>401</v>
      </c>
      <c r="I82" s="11"/>
      <c r="J82" s="12"/>
    </row>
    <row r="83" spans="3:12" ht="15.75">
      <c r="C83" s="11" t="s">
        <v>368</v>
      </c>
      <c r="D83" s="36">
        <f>VLOOKUP(WT,'2L_Database'!$B$79:$AE$218,21,FALSE)</f>
        <v>34</v>
      </c>
      <c r="E83" s="9" t="s">
        <v>7</v>
      </c>
      <c r="F83" s="29" t="s">
        <v>458</v>
      </c>
      <c r="I83" s="11"/>
      <c r="J83" s="12"/>
    </row>
    <row r="84" spans="3:12">
      <c r="C84" s="11"/>
      <c r="D84" s="31"/>
      <c r="F84" s="29"/>
      <c r="I84" s="11"/>
      <c r="J84" s="12"/>
    </row>
    <row r="85" spans="3:12" ht="15.75">
      <c r="C85" s="11" t="s">
        <v>371</v>
      </c>
      <c r="D85" s="36">
        <f>SQRT(y0.br^2+rx.br^2+ry.br^2)</f>
        <v>54.069307374886911</v>
      </c>
      <c r="E85" s="9" t="s">
        <v>7</v>
      </c>
      <c r="F85" s="11"/>
      <c r="I85" s="11"/>
      <c r="J85" s="12"/>
    </row>
    <row r="86" spans="3:12">
      <c r="C86" s="11" t="s">
        <v>11</v>
      </c>
      <c r="D86" s="37">
        <f>(rx.br^2+ry.br^2)/r0.br^2</f>
        <v>0.74131945038293257</v>
      </c>
      <c r="F86" s="11"/>
      <c r="I86" s="11"/>
      <c r="J86" s="12"/>
    </row>
    <row r="87" spans="3:12">
      <c r="C87" s="11"/>
      <c r="D87" s="31"/>
      <c r="F87" s="11"/>
      <c r="I87" s="11"/>
      <c r="J87" s="12"/>
    </row>
    <row r="88" spans="3:12" ht="15" customHeight="1">
      <c r="C88" s="11"/>
      <c r="D88" s="31"/>
      <c r="F88" s="11"/>
      <c r="I88" s="11"/>
      <c r="J88" s="12"/>
    </row>
    <row r="89" spans="3:12" ht="15" customHeight="1">
      <c r="C89" s="11"/>
      <c r="D89" s="31"/>
      <c r="F89" s="11"/>
      <c r="I89" s="11"/>
      <c r="J89" s="12"/>
    </row>
    <row r="90" spans="3:12" ht="15" customHeight="1">
      <c r="C90" s="11" t="s">
        <v>8</v>
      </c>
      <c r="D90" s="35">
        <f>VLOOKUP(WT,'2L_Database'!$B$79:$AE$218,14,FALSE)</f>
        <v>4200</v>
      </c>
      <c r="E90" s="34" t="s">
        <v>369</v>
      </c>
      <c r="F90" s="29" t="s">
        <v>405</v>
      </c>
      <c r="I90" s="11"/>
      <c r="J90" s="12"/>
    </row>
    <row r="91" spans="3:12" ht="15" customHeight="1">
      <c r="C91" s="11" t="s">
        <v>363</v>
      </c>
      <c r="D91" s="35">
        <f>VLOOKUP(WT,'2L_Database'!$B$79:$AE$218,15,FALSE)*1000000</f>
        <v>4250000</v>
      </c>
      <c r="E91" s="34" t="s">
        <v>364</v>
      </c>
      <c r="F91" s="29" t="s">
        <v>402</v>
      </c>
      <c r="I91" s="11"/>
      <c r="J91" s="12"/>
    </row>
    <row r="92" spans="3:12" ht="15.75">
      <c r="C92" s="11" t="s">
        <v>361</v>
      </c>
      <c r="D92" s="35">
        <f>VLOOKUP(WT,'2L_Database'!$B$79:$AE$218,16,FALSE)*1000</f>
        <v>62400</v>
      </c>
      <c r="E92" s="34" t="s">
        <v>362</v>
      </c>
      <c r="F92" s="29" t="s">
        <v>403</v>
      </c>
      <c r="I92" s="11"/>
      <c r="J92" s="12"/>
    </row>
    <row r="93" spans="3:12" ht="15.75">
      <c r="C93" s="11" t="s">
        <v>367</v>
      </c>
      <c r="D93" s="39">
        <v>3581000</v>
      </c>
      <c r="E93" s="34" t="s">
        <v>364</v>
      </c>
      <c r="F93" s="29" t="s">
        <v>528</v>
      </c>
      <c r="L93" s="54">
        <f>Iy.br/107</f>
        <v>33467.289719626169</v>
      </c>
    </row>
    <row r="94" spans="3:12" ht="15.75">
      <c r="C94" s="11" t="s">
        <v>366</v>
      </c>
      <c r="D94" s="35">
        <f>Iy.br/(b.br+D112/2)</f>
        <v>44100.985221674877</v>
      </c>
      <c r="E94" s="34" t="s">
        <v>362</v>
      </c>
      <c r="F94" s="29" t="s">
        <v>539</v>
      </c>
    </row>
    <row r="95" spans="3:12">
      <c r="C95" s="11"/>
      <c r="D95" s="31"/>
      <c r="E95" s="34"/>
      <c r="F95" s="29"/>
    </row>
    <row r="96" spans="3:12">
      <c r="C96" s="11" t="s">
        <v>10</v>
      </c>
      <c r="D96" s="35">
        <f>VLOOKUP(WT,'2L_Database'!$B$79:$AE$218,26,FALSE)*1000</f>
        <v>226000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f>VLOOKUP(WT,'2L_Database'!$B$79:$AE$218,27,FALSE)*1000000000</f>
        <v>138000000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538</v>
      </c>
    </row>
    <row r="101" spans="3:11">
      <c r="D101" s="31"/>
    </row>
    <row r="102" spans="3:11" ht="15.75">
      <c r="C102" s="11" t="s">
        <v>409</v>
      </c>
      <c r="D102" s="40">
        <v>3400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3400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3400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106.91823899371069</v>
      </c>
      <c r="E109" s="9" t="s">
        <v>421</v>
      </c>
    </row>
    <row r="110" spans="3:11" ht="15.75">
      <c r="C110" s="11" t="s">
        <v>422</v>
      </c>
      <c r="D110" s="35">
        <f>Ky.br*Ly.br/ry.br</f>
        <v>100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10</v>
      </c>
      <c r="E112" s="9" t="s">
        <v>7</v>
      </c>
      <c r="F112" s="9" t="s">
        <v>423</v>
      </c>
    </row>
    <row r="113" spans="2:7">
      <c r="C113" s="11" t="s">
        <v>424</v>
      </c>
      <c r="D113" s="38">
        <v>40</v>
      </c>
      <c r="E113" s="9" t="s">
        <v>7</v>
      </c>
      <c r="F113" s="9" t="s">
        <v>425</v>
      </c>
    </row>
    <row r="114" spans="2:7" ht="15.75">
      <c r="C114" s="11" t="s">
        <v>374</v>
      </c>
      <c r="D114" s="41">
        <f>d.br-D113-y.br</f>
        <v>28.1</v>
      </c>
      <c r="E114" s="9" t="s">
        <v>7</v>
      </c>
      <c r="F114" s="9" t="s">
        <v>426</v>
      </c>
    </row>
    <row r="115" spans="2:7">
      <c r="D115" s="31"/>
    </row>
    <row r="116" spans="2:7">
      <c r="D116" s="31"/>
    </row>
    <row r="117" spans="2:7">
      <c r="D117" s="31"/>
    </row>
    <row r="118" spans="2:7">
      <c r="D118" s="31"/>
    </row>
    <row r="119" spans="2:7">
      <c r="D119" s="31"/>
    </row>
    <row r="120" spans="2:7">
      <c r="B120" s="10" t="s">
        <v>31</v>
      </c>
      <c r="D120" s="31"/>
    </row>
    <row r="121" spans="2:7">
      <c r="B121" s="9" t="s">
        <v>427</v>
      </c>
      <c r="D121" s="31"/>
    </row>
    <row r="122" spans="2:7">
      <c r="D122" s="31"/>
    </row>
    <row r="123" spans="2:7" ht="15.75">
      <c r="C123" s="11" t="s">
        <v>375</v>
      </c>
      <c r="D123" s="42">
        <f>D48</f>
        <v>140</v>
      </c>
      <c r="E123" s="9" t="s">
        <v>12</v>
      </c>
      <c r="F123" s="9" t="s">
        <v>428</v>
      </c>
    </row>
    <row r="124" spans="2:7" ht="15.75">
      <c r="C124" s="11" t="s">
        <v>376</v>
      </c>
      <c r="D124" s="42">
        <f>D49</f>
        <v>165</v>
      </c>
      <c r="E124" s="9" t="s">
        <v>12</v>
      </c>
      <c r="F124" s="9" t="s">
        <v>429</v>
      </c>
    </row>
    <row r="125" spans="2:7" ht="15.75">
      <c r="C125" s="11" t="s">
        <v>378</v>
      </c>
      <c r="D125" s="42">
        <f>D51</f>
        <v>0.20200000000000001</v>
      </c>
      <c r="E125" s="9" t="s">
        <v>25</v>
      </c>
      <c r="F125" s="9" t="s">
        <v>430</v>
      </c>
    </row>
    <row r="126" spans="2:7" ht="15.75">
      <c r="C126" s="11" t="s">
        <v>379</v>
      </c>
      <c r="D126" s="42">
        <f>D50</f>
        <v>0.23</v>
      </c>
      <c r="E126" s="9" t="s">
        <v>25</v>
      </c>
      <c r="F126" s="9" t="s">
        <v>431</v>
      </c>
    </row>
    <row r="127" spans="2:7">
      <c r="D127" s="31"/>
      <c r="E127" s="11"/>
      <c r="F127" s="11"/>
      <c r="G127"/>
    </row>
    <row r="128" spans="2:7" ht="15.75">
      <c r="C128" s="11" t="s">
        <v>377</v>
      </c>
      <c r="D128" s="36">
        <f>MAX(D123:D124)*D114/1000</f>
        <v>4.6364999999999998</v>
      </c>
      <c r="E128" s="9" t="s">
        <v>25</v>
      </c>
      <c r="F128" s="29" t="s">
        <v>432</v>
      </c>
      <c r="G128"/>
    </row>
    <row r="129" spans="2:7">
      <c r="D129" s="31"/>
      <c r="E129" s="11"/>
      <c r="F129" s="11"/>
      <c r="G129"/>
    </row>
    <row r="130" spans="2:7" ht="15.75">
      <c r="C130" s="11" t="s">
        <v>433</v>
      </c>
      <c r="D130" s="36">
        <f>D125+D128</f>
        <v>4.8384999999999998</v>
      </c>
      <c r="E130" s="9" t="s">
        <v>25</v>
      </c>
      <c r="F130" s="29" t="s">
        <v>541</v>
      </c>
      <c r="G130"/>
    </row>
    <row r="131" spans="2:7">
      <c r="E131" s="11"/>
      <c r="F131" s="11"/>
      <c r="G131"/>
    </row>
    <row r="132" spans="2:7">
      <c r="E132" s="11"/>
      <c r="F132" s="11"/>
      <c r="G132"/>
    </row>
    <row r="133" spans="2:7">
      <c r="E133" s="11"/>
      <c r="F133" s="11"/>
      <c r="G133"/>
    </row>
    <row r="134" spans="2:7">
      <c r="B134" s="10" t="s">
        <v>434</v>
      </c>
      <c r="E134" s="11"/>
      <c r="F134" s="11"/>
      <c r="G134"/>
    </row>
    <row r="135" spans="2:7">
      <c r="E135" s="11"/>
      <c r="F135" s="11"/>
      <c r="G135"/>
    </row>
    <row r="136" spans="2:7">
      <c r="C136" s="15" t="s">
        <v>435</v>
      </c>
      <c r="E136" s="11"/>
      <c r="F136" s="11"/>
      <c r="G136"/>
    </row>
    <row r="137" spans="2:7" ht="15.75">
      <c r="C137" s="9" t="s">
        <v>436</v>
      </c>
      <c r="E137" s="11"/>
      <c r="F137" s="11"/>
      <c r="G137"/>
    </row>
    <row r="138" spans="2:7">
      <c r="E138" s="11"/>
      <c r="F138" s="11"/>
      <c r="G138"/>
    </row>
    <row r="139" spans="2:7">
      <c r="E139" s="11"/>
      <c r="F139" s="11"/>
      <c r="G139"/>
    </row>
    <row r="140" spans="2:7" ht="15.75">
      <c r="C140" s="11" t="s">
        <v>437</v>
      </c>
      <c r="D140" s="12">
        <f>((PI())^2*E.br)/(Kx.br*Lx.br/rx.br)^2</f>
        <v>172.67368087469902</v>
      </c>
      <c r="E140" s="9" t="s">
        <v>3</v>
      </c>
      <c r="F140" s="11"/>
      <c r="G140"/>
    </row>
    <row r="141" spans="2:7">
      <c r="E141" s="11"/>
      <c r="F141" s="11"/>
      <c r="G141"/>
    </row>
    <row r="142" spans="2:7" ht="15" customHeight="1">
      <c r="C142" s="11" t="s">
        <v>438</v>
      </c>
      <c r="D142" s="12">
        <f>((PI())^2*E.br)/(Ky.br*Ly.br/ry.br)^2</f>
        <v>197.39208802178717</v>
      </c>
      <c r="E142" s="9" t="s">
        <v>3</v>
      </c>
      <c r="F142" s="11"/>
      <c r="G142"/>
    </row>
    <row r="143" spans="2:7" ht="15" customHeight="1">
      <c r="E143" s="11"/>
      <c r="F143" s="11"/>
      <c r="G143"/>
    </row>
    <row r="144" spans="2:7" ht="15" customHeight="1">
      <c r="C144" s="11" t="s">
        <v>439</v>
      </c>
      <c r="D144" s="12">
        <f>(((PI()^2*E.br*Cw.br)/(Kz.br*Lz.br)^2)+G.br*J.br)*(1/(A.br*(r0.br^2)))</f>
        <v>1419.1749707006745</v>
      </c>
      <c r="E144" s="9" t="s">
        <v>3</v>
      </c>
      <c r="F144" s="11"/>
      <c r="G144"/>
    </row>
    <row r="145" spans="3:7" ht="15" customHeight="1">
      <c r="E145" s="11"/>
      <c r="F145" s="11"/>
      <c r="G145"/>
    </row>
    <row r="146" spans="3:7" ht="15.75">
      <c r="C146" s="11" t="s">
        <v>441</v>
      </c>
      <c r="D146" s="13">
        <f>((Fey.br+Fez.br)/(2*Omega.br))*(1-SQRT(1-((4*Fey.br*Fez.br*Omega.br)/((Fey.br+Fez.br)^2))))</f>
        <v>189.81108825123312</v>
      </c>
      <c r="E146" s="9" t="s">
        <v>3</v>
      </c>
      <c r="F146" s="11"/>
      <c r="G146"/>
    </row>
    <row r="147" spans="3:7">
      <c r="E147" s="11"/>
      <c r="F147" s="11"/>
      <c r="G147"/>
    </row>
    <row r="148" spans="3:7">
      <c r="E148" s="11"/>
      <c r="F148" s="11"/>
      <c r="G148"/>
    </row>
    <row r="149" spans="3:7">
      <c r="E149" s="11"/>
      <c r="F149" s="11"/>
      <c r="G149"/>
    </row>
    <row r="150" spans="3:7">
      <c r="E150" s="11"/>
      <c r="F150" s="11"/>
      <c r="G150"/>
    </row>
    <row r="151" spans="3:7">
      <c r="E151" s="11"/>
      <c r="F151" s="11"/>
      <c r="G151"/>
    </row>
    <row r="152" spans="3:7">
      <c r="E152" s="11"/>
      <c r="F152" s="11"/>
      <c r="G152"/>
    </row>
    <row r="153" spans="3:7">
      <c r="E153" s="11"/>
      <c r="F153" s="11"/>
      <c r="G153"/>
    </row>
    <row r="154" spans="3:7">
      <c r="E154" s="11"/>
      <c r="F154" s="11"/>
      <c r="G154"/>
    </row>
    <row r="155" spans="3:7" ht="15.75">
      <c r="C155" s="9" t="s">
        <v>380</v>
      </c>
      <c r="E155" s="11"/>
      <c r="F155" s="11"/>
      <c r="G155"/>
    </row>
    <row r="156" spans="3:7">
      <c r="E156" s="11"/>
      <c r="F156" s="11"/>
      <c r="G156"/>
    </row>
    <row r="157" spans="3:7">
      <c r="C157" s="43" t="str">
        <f>IF(Fex.br&lt;Feyz.br,"Fex Governs", "Feyz Governs")</f>
        <v>Fex Governs</v>
      </c>
      <c r="G157"/>
    </row>
    <row r="158" spans="3:7" ht="15">
      <c r="C158" s="18" t="s">
        <v>440</v>
      </c>
      <c r="D158" s="19">
        <f>MIN(Feyz.br,Fex.br)</f>
        <v>172.67368087469902</v>
      </c>
      <c r="E158" s="17" t="s">
        <v>3</v>
      </c>
      <c r="F158" s="11"/>
      <c r="G158"/>
    </row>
    <row r="159" spans="3:7">
      <c r="E159" s="11"/>
      <c r="F159" s="11"/>
      <c r="G159"/>
    </row>
    <row r="160" spans="3:7">
      <c r="E160" s="11"/>
      <c r="F160" s="11"/>
      <c r="G160"/>
    </row>
    <row r="161" spans="3:7">
      <c r="E161" s="11"/>
      <c r="F161" s="11"/>
      <c r="G161"/>
    </row>
    <row r="162" spans="3:7">
      <c r="C162" s="15" t="s">
        <v>442</v>
      </c>
      <c r="E162" s="11"/>
      <c r="F162" s="11"/>
      <c r="G162"/>
    </row>
    <row r="163" spans="3:7">
      <c r="E163" s="11"/>
      <c r="F163" s="11"/>
      <c r="G163"/>
    </row>
    <row r="164" spans="3:7">
      <c r="C164" s="11" t="s">
        <v>443</v>
      </c>
      <c r="D164" s="9">
        <v>1.34</v>
      </c>
      <c r="E164" s="11"/>
      <c r="F164" s="29" t="s">
        <v>444</v>
      </c>
      <c r="G164"/>
    </row>
    <row r="165" spans="3:7">
      <c r="C165" s="11" t="s">
        <v>447</v>
      </c>
      <c r="D165" s="14">
        <f>SQRT(Fy.br/Fe.br)</f>
        <v>1.3180975533390562</v>
      </c>
      <c r="E165" s="11"/>
      <c r="F165" s="11"/>
      <c r="G165"/>
    </row>
    <row r="166" spans="3:7">
      <c r="E166" s="11"/>
      <c r="F166" s="11"/>
      <c r="G166"/>
    </row>
    <row r="167" spans="3:7" ht="15">
      <c r="C167" s="18" t="s">
        <v>448</v>
      </c>
      <c r="D167" s="19">
        <f>PHI.br*A.br*Fy.br*(1+Lambda.br^(2*n.br))^(-1/n.br)/1000</f>
        <v>487.87576719791275</v>
      </c>
      <c r="E167" s="17" t="s">
        <v>12</v>
      </c>
      <c r="F167" s="29" t="s">
        <v>449</v>
      </c>
      <c r="G167"/>
    </row>
    <row r="168" spans="3:7">
      <c r="E168" s="11"/>
      <c r="F168" s="11"/>
      <c r="G168"/>
    </row>
    <row r="169" spans="3:7">
      <c r="E169" s="11"/>
      <c r="F169" s="11"/>
      <c r="G169"/>
    </row>
    <row r="170" spans="3:7">
      <c r="E170" s="11"/>
      <c r="F170" s="11"/>
      <c r="G170"/>
    </row>
    <row r="171" spans="3:7">
      <c r="E171" s="11"/>
      <c r="F171" s="11"/>
      <c r="G171"/>
    </row>
    <row r="172" spans="3:7">
      <c r="E172" s="11"/>
      <c r="F172" s="11"/>
      <c r="G172"/>
    </row>
    <row r="173" spans="3:7">
      <c r="E173" s="11"/>
      <c r="F173" s="11"/>
      <c r="G173"/>
    </row>
    <row r="174" spans="3:7">
      <c r="E174" s="11"/>
      <c r="F174" s="11"/>
      <c r="G174"/>
    </row>
    <row r="175" spans="3:7">
      <c r="E175" s="11"/>
      <c r="F175" s="11"/>
      <c r="G175"/>
    </row>
    <row r="176" spans="3:7">
      <c r="E176" s="11"/>
      <c r="F176" s="11"/>
      <c r="G176"/>
    </row>
    <row r="179" spans="3:11">
      <c r="C179" s="15" t="s">
        <v>450</v>
      </c>
    </row>
    <row r="180" spans="3:11">
      <c r="C180" s="9" t="s">
        <v>13</v>
      </c>
    </row>
    <row r="182" spans="3:11" ht="15.75">
      <c r="C182" s="11" t="s">
        <v>14</v>
      </c>
      <c r="D182" s="11" t="s">
        <v>451</v>
      </c>
      <c r="E182" s="12">
        <f>PHI.br*A.br*Fy.br/1000</f>
        <v>1134</v>
      </c>
      <c r="F182" s="9" t="s">
        <v>12</v>
      </c>
    </row>
    <row r="184" spans="3:11">
      <c r="C184" s="11" t="s">
        <v>15</v>
      </c>
      <c r="D184" s="55" t="s">
        <v>452</v>
      </c>
      <c r="E184" s="55"/>
      <c r="F184" s="55"/>
      <c r="G184" s="55"/>
      <c r="H184" s="55"/>
      <c r="I184" s="55"/>
      <c r="J184" s="55"/>
      <c r="K184" s="55"/>
    </row>
    <row r="185" spans="3:11">
      <c r="D185" s="55"/>
      <c r="E185" s="55"/>
      <c r="F185" s="55"/>
      <c r="G185" s="55"/>
      <c r="H185" s="55"/>
      <c r="I185" s="55"/>
      <c r="J185" s="55"/>
      <c r="K185" s="55"/>
    </row>
    <row r="187" spans="3:11" ht="15.75">
      <c r="C187" s="11" t="s">
        <v>16</v>
      </c>
      <c r="D187" s="11" t="s">
        <v>453</v>
      </c>
      <c r="E187" s="12">
        <f>PHIu.br*Ane.br*Fu.br/1000</f>
        <v>1063.125</v>
      </c>
      <c r="F187" s="9" t="s">
        <v>12</v>
      </c>
    </row>
    <row r="188" spans="3:11" ht="15.75">
      <c r="D188" s="11" t="s">
        <v>454</v>
      </c>
      <c r="E188" s="9">
        <f>0.75*A.br</f>
        <v>3150</v>
      </c>
      <c r="F188" s="9" t="s">
        <v>369</v>
      </c>
      <c r="G188" s="9" t="s">
        <v>456</v>
      </c>
    </row>
    <row r="189" spans="3:11" ht="15.75">
      <c r="D189" s="11" t="s">
        <v>455</v>
      </c>
      <c r="E189" s="9">
        <v>0.75</v>
      </c>
      <c r="G189" s="9" t="s">
        <v>457</v>
      </c>
    </row>
    <row r="191" spans="3:11">
      <c r="C191" s="29" t="s">
        <v>18</v>
      </c>
    </row>
    <row r="192" spans="3:11">
      <c r="C192" s="9" t="str">
        <f>IF(E182&lt;E187,"Sentence (i) Governs - Gross Section Yielding","Sentence (iii) Governs - Rupture Due to Shear Lag")</f>
        <v>Sentence (iii) Governs - Rupture Due to Shear Lag</v>
      </c>
    </row>
    <row r="194" spans="3:8" ht="15">
      <c r="D194" s="18" t="s">
        <v>381</v>
      </c>
      <c r="E194" s="19">
        <f>MIN(E182,E187)</f>
        <v>1063.125</v>
      </c>
      <c r="F194" s="17" t="s">
        <v>12</v>
      </c>
    </row>
    <row r="199" spans="3:8">
      <c r="C199" s="15" t="s">
        <v>462</v>
      </c>
    </row>
    <row r="200" spans="3:8">
      <c r="C200" s="9" t="s">
        <v>19</v>
      </c>
    </row>
    <row r="202" spans="3:8">
      <c r="D202" s="28" t="s">
        <v>459</v>
      </c>
    </row>
    <row r="203" spans="3:8" ht="15" thickBot="1"/>
    <row r="204" spans="3:8">
      <c r="D204" s="17"/>
      <c r="E204" s="17"/>
      <c r="F204" s="23" t="s">
        <v>20</v>
      </c>
      <c r="G204" s="23" t="s">
        <v>21</v>
      </c>
      <c r="H204" s="23" t="s">
        <v>22</v>
      </c>
    </row>
    <row r="205" spans="3:8" ht="15.75" thickBot="1">
      <c r="D205" s="17"/>
      <c r="E205" s="18" t="s">
        <v>382</v>
      </c>
      <c r="F205" s="24" t="s">
        <v>383</v>
      </c>
      <c r="G205" s="24" t="s">
        <v>384</v>
      </c>
      <c r="H205" s="24" t="s">
        <v>385</v>
      </c>
    </row>
    <row r="206" spans="3:8" ht="16.5" thickBot="1">
      <c r="C206"/>
      <c r="D206" s="20" t="s">
        <v>386</v>
      </c>
      <c r="E206" s="21">
        <f>(b.br-w.br)/t.br</f>
        <v>5</v>
      </c>
      <c r="F206" s="22">
        <f>145/SQRT(Fy.br)</f>
        <v>8.3715789032495724</v>
      </c>
      <c r="G206" s="22">
        <f>170/SQRT(Fy.br)</f>
        <v>9.8149545762236379</v>
      </c>
      <c r="H206" s="22">
        <f>200/SQRT(Fy.br)</f>
        <v>11.547005383792515</v>
      </c>
    </row>
    <row r="208" spans="3:8" ht="15.75">
      <c r="D208" s="9" t="s">
        <v>460</v>
      </c>
    </row>
    <row r="210" spans="3:7">
      <c r="C210"/>
      <c r="D210" s="16"/>
      <c r="E210" s="46" t="s">
        <v>461</v>
      </c>
      <c r="F210" s="45">
        <f>IF(E206&lt;F206,1,IF(E206&lt;G206,2,IF(E206&lt;H206,3,4)))</f>
        <v>1</v>
      </c>
    </row>
    <row r="215" spans="3:7">
      <c r="C215" s="15" t="s">
        <v>481</v>
      </c>
    </row>
    <row r="216" spans="3:7">
      <c r="C216" s="9" t="s">
        <v>484</v>
      </c>
    </row>
    <row r="217" spans="3:7">
      <c r="D217" s="31"/>
    </row>
    <row r="218" spans="3:7" ht="15.75">
      <c r="C218" s="11" t="s">
        <v>387</v>
      </c>
      <c r="D218" s="47">
        <f>Sx.br*Fy.br/10^6</f>
        <v>18.72</v>
      </c>
      <c r="E218" s="9" t="s">
        <v>23</v>
      </c>
      <c r="G218" s="9" t="s">
        <v>463</v>
      </c>
    </row>
    <row r="219" spans="3:7">
      <c r="D219" s="31"/>
    </row>
    <row r="220" spans="3:7" ht="15.75">
      <c r="C220" s="11" t="s">
        <v>388</v>
      </c>
      <c r="D220" s="47">
        <f>0.7*Sx.br*Fy.br/10^6</f>
        <v>13.103999999999999</v>
      </c>
      <c r="E220" s="9" t="s">
        <v>23</v>
      </c>
      <c r="G220" s="9" t="s">
        <v>464</v>
      </c>
    </row>
    <row r="226" spans="3:9">
      <c r="D226" s="31"/>
    </row>
    <row r="227" spans="3:9" ht="15.75">
      <c r="C227" s="11" t="s">
        <v>465</v>
      </c>
      <c r="D227" s="31">
        <v>1</v>
      </c>
      <c r="G227" s="9" t="s">
        <v>468</v>
      </c>
      <c r="H227" s="25"/>
      <c r="I227" s="17"/>
    </row>
    <row r="228" spans="3:9">
      <c r="C228" s="11" t="s">
        <v>466</v>
      </c>
      <c r="D228" s="35">
        <f>MAX(D102:D104)</f>
        <v>3400</v>
      </c>
      <c r="E228" s="9" t="s">
        <v>7</v>
      </c>
      <c r="G228" s="9" t="s">
        <v>469</v>
      </c>
      <c r="H228" s="25"/>
      <c r="I228" s="17"/>
    </row>
    <row r="229" spans="3:9" ht="15.75">
      <c r="C229" s="11" t="s">
        <v>467</v>
      </c>
      <c r="D229" s="31">
        <v>0</v>
      </c>
      <c r="G229" s="9" t="s">
        <v>470</v>
      </c>
      <c r="H229" s="25"/>
      <c r="I229" s="17"/>
    </row>
    <row r="230" spans="3:9" ht="15.75">
      <c r="C230" s="11" t="s">
        <v>404</v>
      </c>
      <c r="D230" s="31">
        <v>0</v>
      </c>
      <c r="G230" s="9" t="s">
        <v>473</v>
      </c>
      <c r="H230" s="25"/>
      <c r="I230" s="17"/>
    </row>
    <row r="231" spans="3:9">
      <c r="C231" s="11"/>
      <c r="H231" s="25"/>
      <c r="I231" s="17"/>
    </row>
    <row r="232" spans="3:9" ht="15.75">
      <c r="C232" s="11" t="s">
        <v>471</v>
      </c>
      <c r="D232" s="36">
        <f>D227*PI()^2*E.br*Iy.br/2/(D228^2)*(D229+SQRT(D229^2+4*(G.br*J.br*D228^2/PI()^2/E.br/Iy.br+D230/Iy.br)))/1000000</f>
        <v>103.15438547051005</v>
      </c>
      <c r="E232" s="9" t="s">
        <v>480</v>
      </c>
      <c r="H232" s="25"/>
      <c r="I232" s="17"/>
    </row>
    <row r="233" spans="3:9">
      <c r="C233" s="11"/>
      <c r="H233" s="25"/>
      <c r="I233" s="17"/>
    </row>
    <row r="234" spans="3:9" ht="15.75">
      <c r="C234" s="11" t="s">
        <v>472</v>
      </c>
      <c r="D234" s="17" t="b">
        <f>D232&gt;D220</f>
        <v>1</v>
      </c>
      <c r="E234" s="17" t="str">
        <f>IF(D234,"Use 13.6e.i","Use 13.6e.ii")</f>
        <v>Use 13.6e.i</v>
      </c>
      <c r="H234" s="25"/>
      <c r="I234" s="17"/>
    </row>
    <row r="235" spans="3:9">
      <c r="C235" s="11"/>
      <c r="D235" s="17"/>
      <c r="E235" s="17"/>
      <c r="H235" s="25"/>
      <c r="I235" s="17"/>
    </row>
    <row r="236" spans="3:9">
      <c r="C236" s="11"/>
      <c r="D236" s="17"/>
      <c r="E236" s="17"/>
      <c r="H236" s="25"/>
      <c r="I236" s="17"/>
    </row>
    <row r="237" spans="3:9">
      <c r="H237" s="25"/>
      <c r="I237" s="17"/>
    </row>
    <row r="238" spans="3:9">
      <c r="C238" s="11"/>
      <c r="H238" s="25"/>
      <c r="I238" s="17"/>
    </row>
    <row r="239" spans="3:9">
      <c r="C239" s="11"/>
      <c r="H239" s="25"/>
      <c r="I239" s="17"/>
    </row>
    <row r="240" spans="3:9">
      <c r="C240" s="11"/>
      <c r="H240" s="25"/>
      <c r="I240" s="17"/>
    </row>
    <row r="241" spans="3:9">
      <c r="C241" s="11"/>
      <c r="H241" s="25"/>
      <c r="I241" s="17"/>
    </row>
    <row r="242" spans="3:9">
      <c r="C242" s="11"/>
      <c r="H242" s="25"/>
      <c r="I242" s="17"/>
    </row>
    <row r="243" spans="3:9">
      <c r="C243" s="11"/>
      <c r="H243" s="25"/>
      <c r="I243" s="17"/>
    </row>
    <row r="244" spans="3:9">
      <c r="C244" s="11"/>
      <c r="H244" s="25"/>
      <c r="I244" s="17"/>
    </row>
    <row r="245" spans="3:9">
      <c r="C245" s="11"/>
      <c r="H245" s="25"/>
      <c r="I245" s="17"/>
    </row>
    <row r="246" spans="3:9">
      <c r="H246" s="25"/>
      <c r="I246" s="17"/>
    </row>
    <row r="247" spans="3:9">
      <c r="H247" s="25"/>
      <c r="I247" s="17"/>
    </row>
    <row r="248" spans="3:9" ht="15.75">
      <c r="C248" s="11" t="s">
        <v>487</v>
      </c>
      <c r="D248" s="35">
        <f>y.br</f>
        <v>33.9</v>
      </c>
      <c r="E248" s="9" t="s">
        <v>7</v>
      </c>
      <c r="G248" s="9" t="s">
        <v>490</v>
      </c>
      <c r="H248" s="25"/>
      <c r="I248" s="17"/>
    </row>
    <row r="249" spans="3:9" ht="15.75">
      <c r="C249" s="11" t="s">
        <v>488</v>
      </c>
      <c r="D249" s="35">
        <f>2*b.br</f>
        <v>152.4</v>
      </c>
      <c r="E249" s="9" t="s">
        <v>7</v>
      </c>
      <c r="G249" s="9" t="s">
        <v>491</v>
      </c>
      <c r="H249" s="25"/>
      <c r="I249" s="17"/>
    </row>
    <row r="250" spans="3:9" ht="15.75">
      <c r="C250" s="11" t="s">
        <v>489</v>
      </c>
      <c r="D250" s="35">
        <f>t.br</f>
        <v>12.7</v>
      </c>
      <c r="E250" s="9" t="s">
        <v>7</v>
      </c>
      <c r="G250" s="9" t="s">
        <v>492</v>
      </c>
      <c r="H250" s="25"/>
      <c r="I250" s="17"/>
    </row>
    <row r="251" spans="3:9" ht="15.75">
      <c r="C251" s="11" t="s">
        <v>493</v>
      </c>
      <c r="D251" s="35">
        <f>2*w.br</f>
        <v>25.4</v>
      </c>
      <c r="E251" s="9" t="s">
        <v>7</v>
      </c>
      <c r="G251" s="9" t="s">
        <v>494</v>
      </c>
      <c r="H251" s="25"/>
      <c r="I251" s="17"/>
    </row>
    <row r="252" spans="3:9">
      <c r="C252" s="11"/>
      <c r="D252" s="35"/>
      <c r="H252" s="25"/>
      <c r="I252" s="17"/>
    </row>
    <row r="253" spans="3:9" ht="15.75">
      <c r="C253" s="11" t="s">
        <v>474</v>
      </c>
      <c r="D253" s="36">
        <f>D249/SQRT(12*(1+D248*D251/(3*D249*D250)))</f>
        <v>41.05516511788916</v>
      </c>
      <c r="E253" s="9" t="s">
        <v>7</v>
      </c>
      <c r="H253" s="25"/>
      <c r="I253" s="17"/>
    </row>
    <row r="254" spans="3:9" ht="15.75">
      <c r="C254" s="11" t="s">
        <v>475</v>
      </c>
      <c r="D254" s="35">
        <f>1.1*D253*SQRT(E.br/Fy.br)</f>
        <v>1166.0437857007894</v>
      </c>
      <c r="E254" s="9" t="s">
        <v>7</v>
      </c>
      <c r="H254" s="25"/>
      <c r="I254" s="17"/>
    </row>
    <row r="255" spans="3:9">
      <c r="C255" s="11"/>
      <c r="H255" s="25"/>
      <c r="I255" s="17"/>
    </row>
    <row r="256" spans="3:9" ht="15.75">
      <c r="C256" s="11" t="s">
        <v>476</v>
      </c>
      <c r="D256" s="40">
        <v>26764.737414466788</v>
      </c>
      <c r="E256" s="9" t="s">
        <v>7</v>
      </c>
      <c r="H256" s="25"/>
      <c r="I256" s="17"/>
    </row>
    <row r="257" spans="3:9" ht="15.75">
      <c r="C257" s="11" t="s">
        <v>477</v>
      </c>
      <c r="D257" s="47">
        <f>D227*PI()^2*E.br*Iy.br/2/(D256^2)*(D229+SQRT(D229^2+4*(G.br*J.br*D256^2/PI()^2/E.br/Iy.br+D230/Iy.br)))/1000000</f>
        <v>13.103992210667515</v>
      </c>
      <c r="E257" s="9" t="s">
        <v>480</v>
      </c>
      <c r="H257" s="25"/>
      <c r="I257" s="17"/>
    </row>
    <row r="258" spans="3:9">
      <c r="C258" s="11"/>
      <c r="H258" s="25"/>
      <c r="I258" s="17"/>
    </row>
    <row r="259" spans="3:9">
      <c r="C259" s="11"/>
      <c r="H259" s="25"/>
      <c r="I259" s="17"/>
    </row>
    <row r="260" spans="3:9">
      <c r="H260" s="25"/>
      <c r="I260" s="17"/>
    </row>
    <row r="261" spans="3:9">
      <c r="C261" s="11"/>
      <c r="H261" s="25"/>
      <c r="I261" s="17"/>
    </row>
    <row r="262" spans="3:9">
      <c r="C262" s="11"/>
      <c r="H262" s="25"/>
      <c r="I262" s="17"/>
    </row>
    <row r="263" spans="3:9">
      <c r="C263" s="11"/>
      <c r="H263" s="25"/>
      <c r="I263" s="17"/>
    </row>
    <row r="264" spans="3:9">
      <c r="C264" s="11"/>
      <c r="H264" s="25"/>
      <c r="I264" s="17"/>
    </row>
    <row r="265" spans="3:9">
      <c r="C265" s="11"/>
      <c r="H265" s="25"/>
      <c r="I265" s="17"/>
    </row>
    <row r="266" spans="3:9" ht="15.75">
      <c r="C266" s="18" t="s">
        <v>478</v>
      </c>
      <c r="D266" s="49">
        <f>PHI.br*(Mrx.br-(Mrx.br-D220)*((D228-D254)/(D256-D254)))</f>
        <v>16.406910761099716</v>
      </c>
      <c r="E266" s="17" t="s">
        <v>480</v>
      </c>
      <c r="G266" s="9" t="s">
        <v>479</v>
      </c>
      <c r="H266" s="25"/>
      <c r="I266" s="17"/>
    </row>
    <row r="267" spans="3:9">
      <c r="H267" s="25"/>
      <c r="I267" s="17"/>
    </row>
    <row r="268" spans="3:9">
      <c r="H268" s="25"/>
      <c r="I268" s="17"/>
    </row>
    <row r="269" spans="3:9">
      <c r="D269" s="17"/>
      <c r="H269" s="25"/>
      <c r="I269" s="17"/>
    </row>
    <row r="270" spans="3:9">
      <c r="C270" s="15" t="s">
        <v>482</v>
      </c>
      <c r="H270" s="25"/>
      <c r="I270" s="17"/>
    </row>
    <row r="271" spans="3:9">
      <c r="C271" s="9" t="s">
        <v>483</v>
      </c>
      <c r="H271" s="25"/>
      <c r="I271" s="17"/>
    </row>
    <row r="274" spans="3:9" ht="15.75">
      <c r="C274" s="18" t="s">
        <v>512</v>
      </c>
      <c r="D274" s="49">
        <f>PHI.br*D94*Fy.br/10^6</f>
        <v>11.907266009852217</v>
      </c>
      <c r="E274" s="17" t="s">
        <v>23</v>
      </c>
      <c r="G274" s="9" t="s">
        <v>485</v>
      </c>
    </row>
    <row r="275" spans="3:9">
      <c r="C275" s="11"/>
      <c r="H275" s="25"/>
      <c r="I275" s="17"/>
    </row>
    <row r="276" spans="3:9">
      <c r="C276" s="11"/>
      <c r="H276" s="25"/>
      <c r="I276" s="17"/>
    </row>
    <row r="277" spans="3:9">
      <c r="C277" s="11"/>
      <c r="H277" s="25"/>
      <c r="I277" s="17"/>
    </row>
    <row r="278" spans="3:9">
      <c r="C278" s="15" t="s">
        <v>486</v>
      </c>
      <c r="H278" s="25"/>
      <c r="I278" s="17"/>
    </row>
    <row r="279" spans="3:9">
      <c r="C279" s="11"/>
      <c r="H279" s="25"/>
      <c r="I279" s="17"/>
    </row>
    <row r="280" spans="3:9">
      <c r="C280" s="11"/>
      <c r="H280" s="25"/>
      <c r="I280" s="17"/>
    </row>
    <row r="281" spans="3:9">
      <c r="C281" s="11"/>
      <c r="H281" s="25"/>
      <c r="I281" s="17"/>
    </row>
    <row r="282" spans="3:9">
      <c r="C282" s="11"/>
      <c r="H282" s="25"/>
      <c r="I282" s="17"/>
    </row>
    <row r="283" spans="3:9">
      <c r="C283" s="11"/>
      <c r="H283" s="25"/>
      <c r="I283" s="17"/>
    </row>
    <row r="284" spans="3:9">
      <c r="C284" s="11"/>
      <c r="H284" s="25"/>
      <c r="I284" s="17"/>
    </row>
    <row r="285" spans="3:9">
      <c r="C285" s="11"/>
      <c r="H285" s="25"/>
      <c r="I285" s="17"/>
    </row>
    <row r="286" spans="3:9">
      <c r="C286" s="11"/>
      <c r="H286" s="25"/>
      <c r="I286" s="17"/>
    </row>
    <row r="287" spans="3:9">
      <c r="C287" s="11"/>
      <c r="H287" s="25"/>
      <c r="I287" s="17"/>
    </row>
    <row r="288" spans="3:9">
      <c r="C288" s="11"/>
      <c r="H288" s="25"/>
      <c r="I288" s="17"/>
    </row>
    <row r="289" spans="3:9">
      <c r="C289" s="11"/>
      <c r="H289" s="25"/>
      <c r="I289" s="17"/>
    </row>
    <row r="290" spans="3:9">
      <c r="C290" s="11"/>
      <c r="H290" s="25"/>
      <c r="I290" s="17"/>
    </row>
    <row r="291" spans="3:9">
      <c r="C291" s="11"/>
      <c r="H291" s="25"/>
      <c r="I291" s="17"/>
    </row>
    <row r="292" spans="3:9">
      <c r="C292" s="11"/>
      <c r="H292" s="25"/>
      <c r="I292" s="17"/>
    </row>
    <row r="293" spans="3:9">
      <c r="C293" s="11"/>
      <c r="H293" s="25"/>
      <c r="I293" s="17"/>
    </row>
    <row r="294" spans="3:9">
      <c r="C294" s="11"/>
      <c r="H294" s="25"/>
      <c r="I294" s="17"/>
    </row>
    <row r="295" spans="3:9">
      <c r="C295" s="11"/>
      <c r="H295" s="25"/>
      <c r="I295" s="17"/>
    </row>
    <row r="296" spans="3:9">
      <c r="C296" s="11"/>
      <c r="H296" s="25"/>
      <c r="I296" s="17"/>
    </row>
    <row r="297" spans="3:9" ht="15.75">
      <c r="C297" s="48" t="s">
        <v>496</v>
      </c>
      <c r="D297" s="26">
        <f>PI()^2*E.br*Ix.br/Lx.br^2/1000</f>
        <v>725.70620596245283</v>
      </c>
      <c r="E297" t="s">
        <v>12</v>
      </c>
      <c r="H297" s="25"/>
      <c r="I297" s="17"/>
    </row>
    <row r="298" spans="3:9">
      <c r="C298" s="48" t="s">
        <v>495</v>
      </c>
      <c r="D298">
        <v>-1</v>
      </c>
      <c r="F298" t="s">
        <v>501</v>
      </c>
      <c r="H298" s="25"/>
      <c r="I298" s="17"/>
    </row>
    <row r="299" spans="3:9" ht="15.75">
      <c r="C299" s="48" t="s">
        <v>497</v>
      </c>
      <c r="D299">
        <f>0.6-0.4*D298</f>
        <v>1</v>
      </c>
      <c r="F299" t="s">
        <v>502</v>
      </c>
      <c r="H299" s="25"/>
      <c r="I299" s="17"/>
    </row>
    <row r="300" spans="3:9" ht="15.75">
      <c r="C300" s="48" t="s">
        <v>498</v>
      </c>
      <c r="D300" s="27">
        <f>D299/(1-Cf.br/D297)</f>
        <v>1.2942717563055635</v>
      </c>
      <c r="F300"/>
      <c r="H300" s="25"/>
      <c r="I300" s="17"/>
    </row>
    <row r="301" spans="3:9">
      <c r="C301"/>
      <c r="D301"/>
      <c r="F301"/>
      <c r="H301" s="25"/>
      <c r="I301" s="17"/>
    </row>
    <row r="302" spans="3:9" ht="15.75">
      <c r="C302" s="48" t="s">
        <v>499</v>
      </c>
      <c r="D302" s="26">
        <f>PI()^2*E.br*Iy.br/Ly.br^2/1000</f>
        <v>611.47151142389259</v>
      </c>
      <c r="E302" t="s">
        <v>12</v>
      </c>
      <c r="H302" s="25"/>
      <c r="I302" s="17"/>
    </row>
    <row r="303" spans="3:9">
      <c r="C303" s="48" t="s">
        <v>495</v>
      </c>
      <c r="D303">
        <v>-1</v>
      </c>
      <c r="F303" t="s">
        <v>501</v>
      </c>
      <c r="H303" s="25"/>
      <c r="I303" s="17"/>
    </row>
    <row r="304" spans="3:9" ht="15.75">
      <c r="C304" s="48" t="s">
        <v>497</v>
      </c>
      <c r="D304">
        <f>0.6-0.4*D303</f>
        <v>1</v>
      </c>
      <c r="F304" t="s">
        <v>502</v>
      </c>
      <c r="H304" s="25"/>
      <c r="I304" s="17"/>
    </row>
    <row r="305" spans="1:11" ht="15.75">
      <c r="C305" s="48" t="s">
        <v>500</v>
      </c>
      <c r="D305" s="27">
        <f>D304/(1-Cf.br/D302)</f>
        <v>1.3695644532252012</v>
      </c>
      <c r="F305"/>
      <c r="H305" s="25"/>
      <c r="I305" s="17"/>
    </row>
    <row r="306" spans="1:11">
      <c r="C306" s="11"/>
      <c r="H306" s="25"/>
      <c r="I306" s="17"/>
    </row>
    <row r="307" spans="1:11">
      <c r="C307" s="11"/>
      <c r="H307" s="25"/>
      <c r="I307" s="17"/>
    </row>
    <row r="308" spans="1:11">
      <c r="C308" s="11"/>
      <c r="H308" s="25"/>
      <c r="I308" s="17"/>
    </row>
    <row r="309" spans="1:11">
      <c r="C309" s="11"/>
      <c r="H309" s="25"/>
      <c r="I309" s="17"/>
    </row>
    <row r="310" spans="1:11">
      <c r="C310" s="11"/>
      <c r="H310" s="25"/>
      <c r="I310" s="17"/>
    </row>
    <row r="311" spans="1:11">
      <c r="C311" s="11"/>
      <c r="H311" s="25"/>
      <c r="I311" s="17"/>
    </row>
    <row r="312" spans="1:11">
      <c r="C312" s="11"/>
      <c r="H312" s="25"/>
      <c r="I312" s="17"/>
    </row>
    <row r="314" spans="1:11">
      <c r="A314"/>
      <c r="B314"/>
      <c r="C314"/>
      <c r="D314"/>
      <c r="E314"/>
      <c r="F314"/>
      <c r="G314"/>
      <c r="H314"/>
      <c r="I314"/>
      <c r="J314"/>
      <c r="K314"/>
    </row>
    <row r="315" spans="1:11">
      <c r="A315"/>
      <c r="B315"/>
      <c r="C315"/>
      <c r="D315"/>
      <c r="E315"/>
      <c r="F315"/>
      <c r="G315"/>
      <c r="H315"/>
      <c r="I315"/>
      <c r="J315"/>
      <c r="K315"/>
    </row>
    <row r="316" spans="1:11">
      <c r="A316"/>
      <c r="B316"/>
      <c r="C316"/>
      <c r="D316"/>
      <c r="E316"/>
      <c r="F316"/>
      <c r="G316"/>
      <c r="H316"/>
      <c r="I316"/>
      <c r="J316"/>
      <c r="K316"/>
    </row>
    <row r="317" spans="1:11">
      <c r="A317"/>
      <c r="B317"/>
      <c r="C317"/>
      <c r="D317"/>
      <c r="E317"/>
      <c r="F317"/>
      <c r="G317"/>
      <c r="H317"/>
      <c r="I317"/>
      <c r="J317"/>
      <c r="K317"/>
    </row>
    <row r="318" spans="1:11">
      <c r="A318"/>
      <c r="B318"/>
      <c r="C318"/>
      <c r="D318"/>
      <c r="E318"/>
      <c r="F318"/>
      <c r="G318"/>
      <c r="H318"/>
      <c r="I318"/>
      <c r="J318"/>
      <c r="K318"/>
    </row>
    <row r="319" spans="1:11">
      <c r="A319"/>
      <c r="B319"/>
      <c r="C319"/>
      <c r="D319"/>
      <c r="E319"/>
      <c r="F319"/>
      <c r="G319"/>
      <c r="H319"/>
      <c r="I319"/>
      <c r="J319"/>
      <c r="K319"/>
    </row>
    <row r="320" spans="1:11">
      <c r="A320"/>
      <c r="B320"/>
      <c r="C320"/>
      <c r="D320"/>
      <c r="E320"/>
      <c r="F320"/>
      <c r="G320"/>
      <c r="H320"/>
      <c r="I320"/>
      <c r="J320"/>
      <c r="K320"/>
    </row>
    <row r="321" spans="1:11">
      <c r="A321"/>
      <c r="B321"/>
      <c r="C321"/>
      <c r="D321"/>
      <c r="E321"/>
      <c r="F321"/>
      <c r="G321"/>
      <c r="H321"/>
      <c r="I321"/>
      <c r="J321"/>
      <c r="K321"/>
    </row>
    <row r="322" spans="1:11">
      <c r="A322"/>
      <c r="F322"/>
      <c r="G322"/>
      <c r="H322"/>
      <c r="I322"/>
      <c r="J322"/>
      <c r="K322"/>
    </row>
    <row r="323" spans="1:11">
      <c r="A323"/>
      <c r="C323" s="28" t="s">
        <v>26</v>
      </c>
      <c r="F323"/>
      <c r="G323"/>
      <c r="H323"/>
      <c r="I323"/>
      <c r="J323"/>
      <c r="K323"/>
    </row>
    <row r="324" spans="1:11">
      <c r="A324"/>
      <c r="F324"/>
      <c r="G324"/>
      <c r="H324"/>
      <c r="I324"/>
      <c r="J324"/>
      <c r="K324"/>
    </row>
    <row r="325" spans="1:11" ht="15.75">
      <c r="A325"/>
      <c r="C325" s="11" t="s">
        <v>504</v>
      </c>
      <c r="D325" s="36">
        <f>PHI.br*A.br*Fy.br/1000</f>
        <v>1134</v>
      </c>
      <c r="E325" s="9" t="s">
        <v>12</v>
      </c>
      <c r="F325"/>
      <c r="G325" t="s">
        <v>515</v>
      </c>
      <c r="H325"/>
      <c r="I325"/>
      <c r="J325"/>
      <c r="K325"/>
    </row>
    <row r="326" spans="1:11" ht="15.75">
      <c r="A326"/>
      <c r="C326" s="11" t="s">
        <v>503</v>
      </c>
      <c r="D326" s="47">
        <f>PHI.br*Sx.br*Fy.br/10^6</f>
        <v>16.847999999999999</v>
      </c>
      <c r="E326" s="9" t="s">
        <v>480</v>
      </c>
      <c r="F326"/>
      <c r="G326" s="9" t="s">
        <v>506</v>
      </c>
      <c r="H326"/>
      <c r="I326"/>
      <c r="J326"/>
      <c r="K326"/>
    </row>
    <row r="327" spans="1:11" ht="15.75">
      <c r="A327"/>
      <c r="C327" s="11" t="s">
        <v>505</v>
      </c>
      <c r="D327" s="47">
        <f>D274</f>
        <v>11.907266009852217</v>
      </c>
      <c r="E327" s="9" t="s">
        <v>480</v>
      </c>
      <c r="F327"/>
      <c r="G327" s="9" t="s">
        <v>522</v>
      </c>
      <c r="H327"/>
      <c r="I327"/>
      <c r="J327"/>
      <c r="K327"/>
    </row>
    <row r="328" spans="1:11">
      <c r="A328"/>
      <c r="F328"/>
      <c r="G328"/>
      <c r="H328"/>
      <c r="I328"/>
      <c r="J328"/>
      <c r="K328"/>
    </row>
    <row r="329" spans="1:11" ht="15.75">
      <c r="A329"/>
      <c r="C329" s="29" t="s">
        <v>507</v>
      </c>
      <c r="F329"/>
      <c r="G329"/>
      <c r="H329"/>
      <c r="I329"/>
      <c r="J329"/>
      <c r="K329"/>
    </row>
    <row r="330" spans="1:11" ht="15.75">
      <c r="A330"/>
      <c r="C330" s="48" t="s">
        <v>498</v>
      </c>
      <c r="D330" s="47">
        <f>MAX(1,$D$300)</f>
        <v>1.2942717563055635</v>
      </c>
      <c r="F330"/>
      <c r="G330"/>
      <c r="H330"/>
      <c r="I330"/>
      <c r="J330"/>
      <c r="K330"/>
    </row>
    <row r="331" spans="1:11" ht="15.75">
      <c r="A331"/>
      <c r="C331" s="48" t="s">
        <v>500</v>
      </c>
      <c r="D331" s="47">
        <f>MAX(1,$D$305)</f>
        <v>1.3695644532252012</v>
      </c>
      <c r="F331"/>
      <c r="G331"/>
      <c r="H331"/>
      <c r="I331"/>
      <c r="J331"/>
      <c r="K331"/>
    </row>
    <row r="332" spans="1:11">
      <c r="A332"/>
      <c r="F332"/>
      <c r="G332"/>
      <c r="H332"/>
      <c r="I332"/>
      <c r="J332"/>
      <c r="K332"/>
    </row>
    <row r="333" spans="1:11" ht="15.75">
      <c r="A333"/>
      <c r="C333" s="11" t="s">
        <v>509</v>
      </c>
      <c r="D333" s="47">
        <f>Cf.br/D325</f>
        <v>0.14550264550264549</v>
      </c>
      <c r="E333" s="29"/>
      <c r="F333"/>
      <c r="G333"/>
      <c r="H333"/>
      <c r="I333"/>
      <c r="J333"/>
      <c r="K333"/>
    </row>
    <row r="334" spans="1:11" ht="15.75">
      <c r="A334"/>
      <c r="C334" s="11" t="s">
        <v>508</v>
      </c>
      <c r="D334" s="47">
        <f>D130/D326</f>
        <v>0.28718542260208929</v>
      </c>
      <c r="F334"/>
      <c r="G334"/>
      <c r="H334"/>
      <c r="I334"/>
      <c r="J334"/>
      <c r="K334"/>
    </row>
    <row r="335" spans="1:11" ht="15.75">
      <c r="A335"/>
      <c r="C335" s="11" t="s">
        <v>510</v>
      </c>
      <c r="D335" s="47">
        <f>D126/D327</f>
        <v>1.9315936992563634E-2</v>
      </c>
      <c r="F335"/>
      <c r="G335"/>
      <c r="H335"/>
      <c r="I335"/>
      <c r="J335"/>
      <c r="K335"/>
    </row>
    <row r="336" spans="1:11">
      <c r="A336"/>
      <c r="F336"/>
      <c r="G336"/>
      <c r="H336"/>
      <c r="I336"/>
      <c r="J336"/>
      <c r="K336"/>
    </row>
    <row r="337" spans="1:11" ht="15">
      <c r="A337"/>
      <c r="D337" s="18" t="s">
        <v>514</v>
      </c>
      <c r="E337" s="51">
        <f>D333+D330*D334+D331*D335</f>
        <v>0.54365304748495991</v>
      </c>
      <c r="F337" s="50" t="s">
        <v>513</v>
      </c>
      <c r="G337"/>
      <c r="H337"/>
      <c r="I337"/>
      <c r="J337"/>
      <c r="K337"/>
    </row>
    <row r="338" spans="1:11">
      <c r="A338"/>
      <c r="F338"/>
      <c r="G338"/>
      <c r="H338"/>
      <c r="I338"/>
      <c r="J338"/>
      <c r="K338"/>
    </row>
    <row r="339" spans="1:11">
      <c r="A339"/>
      <c r="F339"/>
      <c r="G339"/>
      <c r="H339"/>
      <c r="I339"/>
      <c r="J339"/>
      <c r="K339"/>
    </row>
    <row r="340" spans="1:11">
      <c r="A340"/>
      <c r="F340"/>
      <c r="G340"/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>
      <c r="A342"/>
      <c r="F342"/>
      <c r="G342"/>
      <c r="H342"/>
      <c r="I342"/>
      <c r="J342"/>
      <c r="K342"/>
    </row>
    <row r="343" spans="1:11">
      <c r="A343"/>
      <c r="F343"/>
      <c r="G343"/>
      <c r="H343"/>
      <c r="I343"/>
      <c r="J343"/>
      <c r="K343"/>
    </row>
    <row r="344" spans="1:11">
      <c r="A344"/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>
      <c r="A346"/>
      <c r="F346"/>
      <c r="G346"/>
      <c r="H346"/>
      <c r="I346"/>
      <c r="J346"/>
      <c r="K346"/>
    </row>
    <row r="347" spans="1:11">
      <c r="A347"/>
      <c r="F347"/>
      <c r="G347"/>
      <c r="H347"/>
      <c r="I347"/>
      <c r="J347"/>
      <c r="K347"/>
    </row>
    <row r="348" spans="1:11">
      <c r="A348"/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>
      <c r="A350"/>
      <c r="F350"/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B355" s="11"/>
      <c r="C355" s="11"/>
      <c r="D355" s="11"/>
    </row>
    <row r="356" spans="1:11">
      <c r="A356"/>
      <c r="B356" s="11"/>
      <c r="C356" s="28" t="s">
        <v>27</v>
      </c>
      <c r="D356" s="11"/>
    </row>
    <row r="357" spans="1:11" ht="15.75">
      <c r="A357"/>
      <c r="B357" s="11"/>
      <c r="C357" s="11" t="s">
        <v>504</v>
      </c>
      <c r="D357" s="35">
        <f>PHI.br*A.br*Fy.br*(1+Lambda.br^(2*n.br))^(-1/n.br)/1000</f>
        <v>487.87576719791275</v>
      </c>
      <c r="E357" s="9" t="s">
        <v>12</v>
      </c>
      <c r="F357"/>
      <c r="G357" t="s">
        <v>511</v>
      </c>
    </row>
    <row r="358" spans="1:11" ht="15.75">
      <c r="A358"/>
      <c r="B358" s="11"/>
      <c r="C358" s="11" t="s">
        <v>503</v>
      </c>
      <c r="D358" s="47">
        <f>PHI.br*Sx.br*Fy.br/10^6</f>
        <v>16.847999999999999</v>
      </c>
      <c r="E358" s="9" t="s">
        <v>480</v>
      </c>
      <c r="F358"/>
      <c r="G358" s="9" t="s">
        <v>506</v>
      </c>
    </row>
    <row r="359" spans="1:11" ht="15.75">
      <c r="A359"/>
      <c r="B359" s="11"/>
      <c r="C359" s="11" t="s">
        <v>505</v>
      </c>
      <c r="D359" s="47">
        <f>D274</f>
        <v>11.907266009852217</v>
      </c>
      <c r="E359" s="9" t="s">
        <v>480</v>
      </c>
      <c r="F359"/>
      <c r="G359" s="9" t="s">
        <v>522</v>
      </c>
    </row>
    <row r="360" spans="1:11">
      <c r="A360"/>
      <c r="B360" s="11"/>
      <c r="F360"/>
      <c r="G360"/>
    </row>
    <row r="361" spans="1:11" ht="15.75">
      <c r="A361"/>
      <c r="B361" s="11"/>
      <c r="C361" s="29" t="s">
        <v>507</v>
      </c>
      <c r="F361"/>
      <c r="G361"/>
    </row>
    <row r="362" spans="1:11" ht="15.75">
      <c r="A362"/>
      <c r="B362" s="11"/>
      <c r="C362" s="48" t="s">
        <v>498</v>
      </c>
      <c r="D362" s="47">
        <f>MAX(1,$D$300)</f>
        <v>1.2942717563055635</v>
      </c>
      <c r="F362"/>
      <c r="G362"/>
    </row>
    <row r="363" spans="1:11" ht="15.75">
      <c r="A363"/>
      <c r="B363" s="11"/>
      <c r="C363" s="48" t="s">
        <v>500</v>
      </c>
      <c r="D363" s="47">
        <f>MAX(1,$D$305)</f>
        <v>1.3695644532252012</v>
      </c>
      <c r="F363"/>
      <c r="G363"/>
    </row>
    <row r="364" spans="1:11">
      <c r="A364"/>
      <c r="B364" s="11"/>
      <c r="F364"/>
      <c r="G364"/>
    </row>
    <row r="365" spans="1:11" ht="15.75">
      <c r="A365"/>
      <c r="B365" s="11"/>
      <c r="C365" s="11" t="s">
        <v>509</v>
      </c>
      <c r="D365" s="47">
        <f>Cf.br/D357</f>
        <v>0.33820085172024078</v>
      </c>
      <c r="E365" s="29"/>
      <c r="F365"/>
      <c r="G365"/>
    </row>
    <row r="366" spans="1:11" ht="15.75">
      <c r="A366"/>
      <c r="B366" s="11"/>
      <c r="C366" s="11" t="s">
        <v>508</v>
      </c>
      <c r="D366" s="47">
        <f>D130/D358</f>
        <v>0.28718542260208929</v>
      </c>
      <c r="F366"/>
      <c r="G366"/>
    </row>
    <row r="367" spans="1:11" ht="15.75">
      <c r="A367"/>
      <c r="B367" s="11"/>
      <c r="C367" s="11" t="s">
        <v>510</v>
      </c>
      <c r="D367" s="47">
        <f>D126/D359</f>
        <v>1.9315936992563634E-2</v>
      </c>
      <c r="F367"/>
      <c r="G367"/>
    </row>
    <row r="368" spans="1:11">
      <c r="A368"/>
      <c r="B368" s="11"/>
      <c r="F368"/>
      <c r="G368"/>
    </row>
    <row r="369" spans="1:7" ht="15">
      <c r="A369"/>
      <c r="B369" s="11"/>
      <c r="C369" s="11"/>
      <c r="D369" s="18" t="s">
        <v>514</v>
      </c>
      <c r="E369" s="51">
        <f>D365+D362*D366+D363*D367</f>
        <v>0.73635125370255516</v>
      </c>
      <c r="F369" s="50" t="s">
        <v>513</v>
      </c>
    </row>
    <row r="370" spans="1:7">
      <c r="A370"/>
      <c r="B370" s="11"/>
      <c r="C370" s="11"/>
      <c r="D370" s="11"/>
    </row>
    <row r="371" spans="1:7">
      <c r="A371"/>
      <c r="B371" s="11"/>
      <c r="C371" s="11"/>
      <c r="D371" s="11"/>
    </row>
    <row r="372" spans="1:7">
      <c r="A372"/>
      <c r="B372" s="11"/>
      <c r="C372" s="11"/>
      <c r="D372" s="11"/>
    </row>
    <row r="373" spans="1:7">
      <c r="A373"/>
      <c r="B373" s="11"/>
      <c r="C373" s="11"/>
      <c r="D373" s="11"/>
    </row>
    <row r="374" spans="1:7">
      <c r="A374"/>
      <c r="B374" s="11"/>
      <c r="C374" s="28" t="s">
        <v>28</v>
      </c>
      <c r="D374" s="11"/>
    </row>
    <row r="375" spans="1:7" ht="15.75">
      <c r="A375"/>
      <c r="B375" s="11"/>
      <c r="C375" s="11" t="s">
        <v>504</v>
      </c>
      <c r="D375" s="35">
        <f>PHI.br*A.br*Fy.br*(1+Lambda.br^(2*n.br))^(-1/n.br)/1000</f>
        <v>487.87576719791275</v>
      </c>
      <c r="E375" s="9" t="s">
        <v>12</v>
      </c>
      <c r="F375"/>
      <c r="G375" t="s">
        <v>511</v>
      </c>
    </row>
    <row r="376" spans="1:7" ht="15.75">
      <c r="A376"/>
      <c r="B376" s="11"/>
      <c r="C376" s="11" t="s">
        <v>503</v>
      </c>
      <c r="D376" s="47">
        <f>D266</f>
        <v>16.406910761099716</v>
      </c>
      <c r="E376" s="9" t="s">
        <v>480</v>
      </c>
      <c r="F376"/>
      <c r="G376" s="29" t="s">
        <v>516</v>
      </c>
    </row>
    <row r="377" spans="1:7" ht="15.75">
      <c r="A377"/>
      <c r="C377" s="11" t="s">
        <v>505</v>
      </c>
      <c r="D377" s="47">
        <f>D274</f>
        <v>11.907266009852217</v>
      </c>
      <c r="E377" s="9" t="s">
        <v>480</v>
      </c>
      <c r="F377"/>
      <c r="G377" s="9" t="s">
        <v>522</v>
      </c>
    </row>
    <row r="378" spans="1:7">
      <c r="A378"/>
      <c r="F378"/>
      <c r="G378"/>
    </row>
    <row r="379" spans="1:7" ht="15.75">
      <c r="A379"/>
      <c r="C379" s="29" t="s">
        <v>507</v>
      </c>
      <c r="F379"/>
      <c r="G379"/>
    </row>
    <row r="380" spans="1:7" ht="15.75">
      <c r="A380"/>
      <c r="C380" s="48" t="s">
        <v>498</v>
      </c>
      <c r="D380" s="47">
        <f>MAX(1,$D$300)</f>
        <v>1.2942717563055635</v>
      </c>
      <c r="F380"/>
      <c r="G380"/>
    </row>
    <row r="381" spans="1:7" ht="15.75">
      <c r="A381"/>
      <c r="C381" s="48" t="s">
        <v>500</v>
      </c>
      <c r="D381" s="47">
        <f>MAX(1,$D$305)</f>
        <v>1.3695644532252012</v>
      </c>
      <c r="F381"/>
      <c r="G381"/>
    </row>
    <row r="382" spans="1:7">
      <c r="A382"/>
      <c r="F382"/>
      <c r="G382"/>
    </row>
    <row r="383" spans="1:7" ht="15.75">
      <c r="A383"/>
      <c r="C383" s="11" t="s">
        <v>509</v>
      </c>
      <c r="D383" s="47">
        <f>Cf.br/D375</f>
        <v>0.33820085172024078</v>
      </c>
      <c r="E383" s="29"/>
      <c r="F383"/>
      <c r="G383"/>
    </row>
    <row r="384" spans="1:7" ht="15.75">
      <c r="A384"/>
      <c r="C384" s="11" t="s">
        <v>508</v>
      </c>
      <c r="D384" s="47">
        <f>D130/D376</f>
        <v>0.29490621790129651</v>
      </c>
      <c r="F384"/>
      <c r="G384"/>
    </row>
    <row r="385" spans="1:11" ht="15.75">
      <c r="A385"/>
      <c r="C385" s="11" t="s">
        <v>510</v>
      </c>
      <c r="D385" s="47">
        <f>D126/D377</f>
        <v>1.9315936992563634E-2</v>
      </c>
      <c r="F385"/>
      <c r="G385"/>
    </row>
    <row r="386" spans="1:11">
      <c r="A386"/>
      <c r="F386"/>
      <c r="G386"/>
    </row>
    <row r="387" spans="1:11" ht="15">
      <c r="A387"/>
      <c r="C387" s="11"/>
      <c r="D387" s="18" t="s">
        <v>514</v>
      </c>
      <c r="E387" s="51">
        <f>D383+D380*D384+D381*D385</f>
        <v>0.74634406099453587</v>
      </c>
      <c r="F387" s="50" t="s">
        <v>513</v>
      </c>
    </row>
    <row r="388" spans="1:11">
      <c r="A388"/>
      <c r="C388"/>
      <c r="D388"/>
      <c r="E388"/>
    </row>
    <row r="389" spans="1:11">
      <c r="A389"/>
      <c r="C389"/>
      <c r="D389"/>
      <c r="E389"/>
    </row>
    <row r="390" spans="1:11">
      <c r="A390"/>
      <c r="B390" s="11"/>
      <c r="C390" s="11"/>
      <c r="D390" s="11"/>
      <c r="I390" s="25"/>
      <c r="J390" s="17"/>
      <c r="K390" s="11"/>
    </row>
    <row r="391" spans="1:11">
      <c r="A391"/>
      <c r="B391" s="11"/>
      <c r="C391" s="28" t="s">
        <v>29</v>
      </c>
      <c r="D391" s="11"/>
      <c r="I391" s="25"/>
      <c r="J391" s="17"/>
      <c r="K391" s="11"/>
    </row>
    <row r="392" spans="1:11" ht="15.75">
      <c r="A392"/>
      <c r="B392" s="11"/>
      <c r="C392" s="11" t="s">
        <v>503</v>
      </c>
      <c r="D392" s="47">
        <f>D266</f>
        <v>16.406910761099716</v>
      </c>
      <c r="E392" s="9" t="s">
        <v>480</v>
      </c>
      <c r="G392" s="29" t="s">
        <v>516</v>
      </c>
      <c r="I392" s="25"/>
      <c r="J392" s="17"/>
      <c r="K392" s="11"/>
    </row>
    <row r="393" spans="1:11" ht="15.75">
      <c r="A393"/>
      <c r="B393" s="11"/>
      <c r="C393" s="11" t="s">
        <v>505</v>
      </c>
      <c r="D393" s="47">
        <f>D274</f>
        <v>11.907266009852217</v>
      </c>
      <c r="E393" s="9" t="s">
        <v>480</v>
      </c>
      <c r="G393" s="9" t="s">
        <v>522</v>
      </c>
      <c r="I393" s="25"/>
      <c r="J393" s="17"/>
      <c r="K393" s="11"/>
    </row>
    <row r="394" spans="1:11">
      <c r="A394"/>
      <c r="B394" s="11"/>
      <c r="C394" s="11"/>
      <c r="D394" s="11"/>
      <c r="I394" s="25"/>
      <c r="J394" s="17"/>
      <c r="K394" s="11"/>
    </row>
    <row r="395" spans="1:11" ht="15.75">
      <c r="A395"/>
      <c r="B395" s="11"/>
      <c r="C395" s="11" t="s">
        <v>508</v>
      </c>
      <c r="D395" s="47">
        <f>D130/D392</f>
        <v>0.29490621790129651</v>
      </c>
      <c r="I395" s="25"/>
      <c r="J395" s="17"/>
      <c r="K395" s="11"/>
    </row>
    <row r="396" spans="1:11" ht="15.75">
      <c r="A396"/>
      <c r="B396" s="11"/>
      <c r="C396" s="11" t="s">
        <v>510</v>
      </c>
      <c r="D396" s="47">
        <f>D126/D393</f>
        <v>1.9315936992563634E-2</v>
      </c>
      <c r="I396" s="25"/>
      <c r="J396" s="17"/>
      <c r="K396" s="11"/>
    </row>
    <row r="397" spans="1:11">
      <c r="A397"/>
      <c r="B397" s="11"/>
      <c r="C397" s="11"/>
      <c r="D397" s="11"/>
      <c r="I397" s="25"/>
      <c r="J397" s="17"/>
      <c r="K397" s="11"/>
    </row>
    <row r="398" spans="1:11" ht="15">
      <c r="A398"/>
      <c r="B398" s="11"/>
      <c r="C398" s="11"/>
      <c r="D398" s="18" t="s">
        <v>517</v>
      </c>
      <c r="E398" s="51">
        <f>D395+D396</f>
        <v>0.31422215489386013</v>
      </c>
      <c r="F398" s="50" t="s">
        <v>513</v>
      </c>
      <c r="I398" s="25"/>
      <c r="J398" s="17"/>
      <c r="K398" s="11"/>
    </row>
    <row r="399" spans="1:11">
      <c r="A399"/>
      <c r="B399" s="11"/>
      <c r="C399" s="11"/>
      <c r="D399" s="11"/>
      <c r="I399" s="25"/>
      <c r="J399" s="17"/>
      <c r="K399" s="11"/>
    </row>
    <row r="400" spans="1:11">
      <c r="A400"/>
      <c r="B400" s="11"/>
      <c r="C400" s="11"/>
      <c r="D400" s="11"/>
      <c r="I400" s="25"/>
      <c r="J400" s="17"/>
      <c r="K400" s="11"/>
    </row>
    <row r="401" spans="1:11">
      <c r="A401"/>
      <c r="B401" s="11"/>
      <c r="C401" s="11"/>
      <c r="D401" s="11"/>
      <c r="I401" s="25"/>
      <c r="J401" s="17"/>
      <c r="K401" s="11"/>
    </row>
    <row r="402" spans="1:11">
      <c r="A402"/>
      <c r="B402" s="11"/>
      <c r="C402" s="11"/>
      <c r="D402" s="11"/>
      <c r="I402" s="25"/>
      <c r="J402" s="17"/>
      <c r="K402" s="11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11"/>
      <c r="D404" s="11"/>
      <c r="I404" s="25"/>
      <c r="J404" s="17"/>
      <c r="K404" s="11"/>
    </row>
    <row r="405" spans="1:11">
      <c r="A405"/>
      <c r="B405" s="11"/>
      <c r="C405" s="11"/>
      <c r="D405" s="11"/>
      <c r="I405" s="25"/>
      <c r="J405" s="17"/>
      <c r="K405" s="11"/>
    </row>
    <row r="406" spans="1:11">
      <c r="A406"/>
      <c r="B406" s="11"/>
      <c r="C406" s="11"/>
      <c r="D406" s="11"/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>
      <c r="A408"/>
      <c r="B408" s="11"/>
      <c r="C408" s="11"/>
      <c r="D408" s="11"/>
      <c r="I408" s="25"/>
      <c r="J408" s="17"/>
      <c r="K408" s="11"/>
    </row>
    <row r="409" spans="1:11">
      <c r="A409"/>
      <c r="B409" s="11"/>
      <c r="C409" s="11"/>
      <c r="D409" s="11"/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>
      <c r="A411"/>
      <c r="B411" s="11"/>
      <c r="C411" s="11"/>
      <c r="D411" s="11"/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C413"/>
      <c r="D413"/>
      <c r="E413"/>
      <c r="F413"/>
      <c r="G413"/>
      <c r="H413"/>
      <c r="I413"/>
      <c r="J413"/>
      <c r="K413"/>
    </row>
    <row r="414" spans="1:11">
      <c r="B414" s="11"/>
      <c r="C414" s="15" t="s">
        <v>518</v>
      </c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C416" s="11"/>
      <c r="H416" s="25"/>
      <c r="I416" s="17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7" spans="1:11">
      <c r="C427" s="28" t="s">
        <v>30</v>
      </c>
    </row>
    <row r="428" spans="1:11" ht="15.75">
      <c r="C428" s="11" t="s">
        <v>519</v>
      </c>
      <c r="D428" s="35">
        <f>E194</f>
        <v>1063.125</v>
      </c>
      <c r="E428" s="9" t="s">
        <v>12</v>
      </c>
      <c r="F428"/>
      <c r="G428"/>
    </row>
    <row r="429" spans="1:11" ht="15.75">
      <c r="C429" s="11" t="s">
        <v>503</v>
      </c>
      <c r="D429" s="47">
        <f>PHI.br*Sx.br*Fy.br/10^6</f>
        <v>16.847999999999999</v>
      </c>
      <c r="E429" s="9" t="s">
        <v>480</v>
      </c>
      <c r="F429"/>
      <c r="G429" s="9" t="s">
        <v>506</v>
      </c>
    </row>
    <row r="430" spans="1:11" ht="15.75">
      <c r="C430" s="11" t="s">
        <v>505</v>
      </c>
      <c r="D430" s="47">
        <f>D274</f>
        <v>11.907266009852217</v>
      </c>
      <c r="E430" s="9" t="s">
        <v>480</v>
      </c>
      <c r="F430"/>
      <c r="G430" s="9" t="s">
        <v>522</v>
      </c>
    </row>
    <row r="432" spans="1:11" ht="15.75">
      <c r="C432" s="11" t="s">
        <v>520</v>
      </c>
      <c r="D432" s="47">
        <f>Tf.br/D428</f>
        <v>0.13168724279835392</v>
      </c>
      <c r="E432" s="29"/>
      <c r="F432"/>
    </row>
    <row r="433" spans="3:6" ht="15.75">
      <c r="C433" s="11" t="s">
        <v>508</v>
      </c>
      <c r="D433" s="47">
        <f>D130/D429</f>
        <v>0.28718542260208929</v>
      </c>
      <c r="F433"/>
    </row>
    <row r="434" spans="3:6" ht="15.75">
      <c r="C434" s="11" t="s">
        <v>510</v>
      </c>
      <c r="D434" s="47">
        <f>D126/D430</f>
        <v>1.9315936992563634E-2</v>
      </c>
      <c r="F434"/>
    </row>
    <row r="435" spans="3:6">
      <c r="F435"/>
    </row>
    <row r="436" spans="3:6" ht="15">
      <c r="C436" s="11"/>
      <c r="D436" s="18" t="s">
        <v>521</v>
      </c>
      <c r="E436" s="51">
        <f>D432+D433+D434</f>
        <v>0.43818860239300683</v>
      </c>
      <c r="F436" s="50" t="s">
        <v>513</v>
      </c>
    </row>
    <row r="448" spans="3:6">
      <c r="C448" s="28" t="s">
        <v>523</v>
      </c>
    </row>
    <row r="449" spans="3:7" ht="15.75">
      <c r="C449" s="9" t="s">
        <v>524</v>
      </c>
    </row>
    <row r="451" spans="3:7" ht="15.75">
      <c r="C451" s="11" t="s">
        <v>503</v>
      </c>
      <c r="D451" s="47">
        <f>D266</f>
        <v>16.406910761099716</v>
      </c>
      <c r="E451" s="9" t="s">
        <v>480</v>
      </c>
      <c r="F451"/>
      <c r="G451" s="29" t="s">
        <v>516</v>
      </c>
    </row>
    <row r="452" spans="3:7" ht="15.75">
      <c r="C452" s="11" t="s">
        <v>505</v>
      </c>
      <c r="D452" s="47">
        <f>D274</f>
        <v>11.907266009852217</v>
      </c>
      <c r="E452" s="9" t="s">
        <v>480</v>
      </c>
      <c r="F452"/>
      <c r="G452" s="9" t="s">
        <v>522</v>
      </c>
    </row>
    <row r="454" spans="3:7" ht="15.75">
      <c r="C454" s="11" t="s">
        <v>526</v>
      </c>
      <c r="D454" s="47">
        <f>Tf.br*Sx.br/(D451*A.br)/1000</f>
        <v>0.1267758464885185</v>
      </c>
      <c r="E454" s="29"/>
      <c r="F454"/>
    </row>
    <row r="455" spans="3:7" ht="15.75">
      <c r="C455" s="11" t="s">
        <v>508</v>
      </c>
      <c r="D455" s="47">
        <f>D130/D451</f>
        <v>0.29490621790129651</v>
      </c>
      <c r="F455"/>
    </row>
    <row r="456" spans="3:7" ht="15.75">
      <c r="C456" s="11" t="s">
        <v>510</v>
      </c>
      <c r="D456" s="47">
        <f>D126/D452</f>
        <v>1.9315936992563634E-2</v>
      </c>
      <c r="F456"/>
    </row>
    <row r="457" spans="3:7">
      <c r="F457"/>
    </row>
    <row r="458" spans="3:7" ht="15">
      <c r="C458" s="11"/>
      <c r="D458" s="18" t="s">
        <v>525</v>
      </c>
      <c r="E458" s="51">
        <f>D455+D456-D454</f>
        <v>0.18744630840534163</v>
      </c>
      <c r="F458" s="50" t="s">
        <v>513</v>
      </c>
    </row>
  </sheetData>
  <mergeCells count="1">
    <mergeCell ref="D184:K185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NP
Date: 25-Feb-2026
Revision: 0</oddHeader>
    <oddFooter>&amp;LContractor Document No:  F3KY-215-CAL-031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2D6AB4-E4E5-41AC-BD1F-7D6EB0506DCC}">
          <x14:formula1>
            <xm:f>'2L_Database'!$B$79:$B$218</xm:f>
          </x14:formula1>
          <xm:sqref>D73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2B5AE-3E0B-467D-8277-158D98B0E9A5}">
  <sheetPr>
    <pageSetUpPr fitToPage="1"/>
  </sheetPr>
  <dimension ref="A1:L472"/>
  <sheetViews>
    <sheetView view="pageBreakPreview" topLeftCell="A386" zoomScaleNormal="100" zoomScaleSheetLayoutView="100" workbookViewId="0">
      <selection activeCell="E398" sqref="E398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355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t="s">
        <v>536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11">
      <c r="A17"/>
      <c r="B17" s="8"/>
      <c r="C17"/>
      <c r="D17"/>
      <c r="E17"/>
      <c r="F17"/>
      <c r="G17"/>
      <c r="H17"/>
      <c r="I17"/>
      <c r="J17"/>
      <c r="K17"/>
    </row>
    <row r="18" spans="1:11">
      <c r="A18"/>
      <c r="B18" s="8"/>
      <c r="C18"/>
      <c r="D18"/>
      <c r="E18"/>
      <c r="F18"/>
      <c r="G18"/>
      <c r="H18"/>
      <c r="I18"/>
      <c r="J18"/>
      <c r="K18"/>
    </row>
    <row r="19" spans="1:11">
      <c r="A19"/>
      <c r="B19" s="8"/>
      <c r="C19"/>
      <c r="D19"/>
      <c r="E19"/>
      <c r="F19"/>
      <c r="G19"/>
      <c r="H19"/>
      <c r="I19"/>
      <c r="J19"/>
      <c r="K19"/>
    </row>
    <row r="20" spans="1:11">
      <c r="A20"/>
      <c r="B20" s="8"/>
      <c r="C20"/>
      <c r="D20"/>
      <c r="E20"/>
      <c r="F20"/>
      <c r="G20"/>
      <c r="H20"/>
      <c r="I20"/>
      <c r="J20"/>
      <c r="K20"/>
    </row>
    <row r="21" spans="1:11">
      <c r="A21"/>
      <c r="B21" s="8"/>
      <c r="C21"/>
      <c r="D21"/>
      <c r="E21"/>
      <c r="F21"/>
      <c r="G21"/>
      <c r="H21"/>
      <c r="I21"/>
      <c r="J21"/>
      <c r="K21"/>
    </row>
    <row r="22" spans="1:11">
      <c r="A22"/>
      <c r="B22" s="8"/>
      <c r="C22"/>
      <c r="D22"/>
      <c r="E22"/>
      <c r="F22"/>
      <c r="G22"/>
      <c r="H22"/>
      <c r="I22"/>
      <c r="J22"/>
      <c r="K22"/>
    </row>
    <row r="23" spans="1:11">
      <c r="A23"/>
      <c r="B23" s="8"/>
      <c r="C23"/>
      <c r="D23"/>
      <c r="E23"/>
      <c r="F23"/>
      <c r="G23"/>
      <c r="H23"/>
      <c r="I23"/>
      <c r="J23"/>
      <c r="K23"/>
    </row>
    <row r="24" spans="1:11">
      <c r="A24"/>
      <c r="B24" s="8"/>
      <c r="C24"/>
      <c r="D24"/>
      <c r="E24"/>
      <c r="F24"/>
      <c r="G24"/>
      <c r="H24"/>
      <c r="I24"/>
      <c r="J24"/>
      <c r="K24"/>
    </row>
    <row r="25" spans="1:11">
      <c r="A25"/>
      <c r="B25" s="8"/>
      <c r="C25" s="8"/>
      <c r="D25"/>
      <c r="E25"/>
      <c r="F25"/>
      <c r="G25"/>
      <c r="H25"/>
      <c r="I25"/>
      <c r="J25"/>
      <c r="K25"/>
    </row>
    <row r="26" spans="1:11">
      <c r="A26"/>
      <c r="B26" s="53" t="s">
        <v>529</v>
      </c>
      <c r="C26" s="8"/>
      <c r="D26"/>
      <c r="E26"/>
      <c r="F26"/>
      <c r="G26"/>
      <c r="H26"/>
      <c r="I26"/>
      <c r="J26"/>
      <c r="K26"/>
    </row>
    <row r="49" spans="2:6" s="9" customFormat="1" ht="12.75">
      <c r="B49" s="9" t="s">
        <v>547</v>
      </c>
    </row>
    <row r="51" spans="2:6" s="9" customFormat="1" ht="15.75">
      <c r="C51" s="11" t="s">
        <v>530</v>
      </c>
      <c r="D51" s="42">
        <v>45</v>
      </c>
      <c r="E51" s="9" t="s">
        <v>12</v>
      </c>
      <c r="F51" s="9" t="s">
        <v>428</v>
      </c>
    </row>
    <row r="52" spans="2:6" s="9" customFormat="1" ht="15.75">
      <c r="C52" s="11" t="s">
        <v>531</v>
      </c>
      <c r="D52" s="42">
        <v>55</v>
      </c>
      <c r="E52" s="9" t="s">
        <v>12</v>
      </c>
      <c r="F52" s="9" t="s">
        <v>429</v>
      </c>
    </row>
    <row r="53" spans="2:6" s="9" customFormat="1" ht="15.75">
      <c r="C53" s="11" t="s">
        <v>532</v>
      </c>
      <c r="D53" s="42">
        <v>0.14499999999999999</v>
      </c>
      <c r="E53" s="9" t="s">
        <v>25</v>
      </c>
      <c r="F53" s="9" t="s">
        <v>533</v>
      </c>
    </row>
    <row r="54" spans="2:6" s="9" customFormat="1" ht="15.75">
      <c r="C54" s="11" t="s">
        <v>535</v>
      </c>
      <c r="D54" s="42">
        <v>0.152</v>
      </c>
      <c r="E54" s="9" t="s">
        <v>25</v>
      </c>
      <c r="F54" s="9" t="s">
        <v>534</v>
      </c>
    </row>
    <row r="62" spans="2:6" s="9" customFormat="1" ht="12.75">
      <c r="B62" s="10" t="s">
        <v>0</v>
      </c>
    </row>
    <row r="63" spans="2:6" s="9" customFormat="1" ht="12.75">
      <c r="D63" s="31"/>
      <c r="F63" s="29"/>
    </row>
    <row r="64" spans="2:6" s="9" customFormat="1" ht="12.75">
      <c r="C64" s="11" t="s">
        <v>4</v>
      </c>
      <c r="D64" s="38" t="s">
        <v>32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300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38" t="s">
        <v>33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f>VLOOKUP(WT,'2L_Database'!$B$79:$AE$218,5,FALSE)</f>
        <v>76.2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f>VLOOKUP(WT,'2L_Database'!$B$79:$AE$218,6,FALSE)</f>
        <v>76.2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5">
        <f>VLOOKUP(WT,'2L_Database'!$B$79:$AE$218,7,FALSE)</f>
        <v>9.5299999999999994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5">
        <f>VLOOKUP(WT,'2L_Database'!$B$79:$AE$218,7,FALSE)</f>
        <v>9.5299999999999994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f>VLOOKUP(WT,'2L_Database'!$B$79:$AE$218,18,FALSE)</f>
        <v>22.5</v>
      </c>
      <c r="E80" s="9" t="s">
        <v>7</v>
      </c>
      <c r="F80" s="29" t="s">
        <v>399</v>
      </c>
      <c r="I80" s="11"/>
      <c r="J80" s="12"/>
    </row>
    <row r="81" spans="3:12" s="9" customFormat="1" ht="15.75">
      <c r="C81" s="11" t="s">
        <v>370</v>
      </c>
      <c r="D81" s="36">
        <f>VLOOKUP(WT,'2L_Database'!$B$79:$AE$218,25,FALSE)</f>
        <v>17.8</v>
      </c>
      <c r="E81" s="9" t="s">
        <v>7</v>
      </c>
      <c r="F81" s="29" t="s">
        <v>400</v>
      </c>
      <c r="I81" s="11"/>
      <c r="J81" s="12"/>
    </row>
    <row r="82" spans="3:12" s="9" customFormat="1" ht="15.75">
      <c r="C82" s="11" t="s">
        <v>365</v>
      </c>
      <c r="D82" s="36">
        <f>VLOOKUP(WT,'2L_Database'!$B$79:$AE$218,17,FALSE)</f>
        <v>23.2</v>
      </c>
      <c r="E82" s="9" t="s">
        <v>7</v>
      </c>
      <c r="F82" s="29" t="s">
        <v>401</v>
      </c>
      <c r="I82" s="11"/>
      <c r="J82" s="12"/>
    </row>
    <row r="83" spans="3:12" s="9" customFormat="1" ht="15.75">
      <c r="C83" s="11" t="s">
        <v>368</v>
      </c>
      <c r="D83" s="36">
        <f>VLOOKUP(WT,'2L_Database'!$B$79:$AE$218,21,FALSE)</f>
        <v>36</v>
      </c>
      <c r="E83" s="9" t="s">
        <v>7</v>
      </c>
      <c r="F83" s="29" t="s">
        <v>458</v>
      </c>
      <c r="I83" s="11"/>
      <c r="J83" s="12"/>
    </row>
    <row r="84" spans="3:12" s="9" customFormat="1" ht="12.75">
      <c r="C84" s="11"/>
      <c r="D84" s="31"/>
      <c r="F84" s="29"/>
      <c r="I84" s="11"/>
      <c r="J84" s="12"/>
    </row>
    <row r="85" spans="3:12" s="9" customFormat="1" ht="15.75">
      <c r="C85" s="11" t="s">
        <v>371</v>
      </c>
      <c r="D85" s="36">
        <f>SQRT(y0.br^2+rx.br^2+ry.br^2)</f>
        <v>46.379736954838371</v>
      </c>
      <c r="E85" s="9" t="s">
        <v>7</v>
      </c>
      <c r="F85" s="11"/>
      <c r="I85" s="11"/>
      <c r="J85" s="12"/>
    </row>
    <row r="86" spans="3:12" s="9" customFormat="1" ht="12.75">
      <c r="C86" s="11" t="s">
        <v>11</v>
      </c>
      <c r="D86" s="37">
        <f>(rx.br^2+ry.br^2)/r0.br^2</f>
        <v>0.85270654740874352</v>
      </c>
      <c r="F86" s="11"/>
      <c r="I86" s="11"/>
      <c r="J86" s="12"/>
    </row>
    <row r="87" spans="3:12" s="9" customFormat="1" ht="12.75">
      <c r="C87" s="11"/>
      <c r="D87" s="31"/>
      <c r="F87" s="11"/>
      <c r="I87" s="11"/>
      <c r="J87" s="12"/>
    </row>
    <row r="88" spans="3:12" s="9" customFormat="1" ht="15" customHeight="1">
      <c r="C88" s="11"/>
      <c r="D88" s="31"/>
      <c r="F88" s="11"/>
      <c r="I88" s="11"/>
      <c r="J88" s="12"/>
    </row>
    <row r="89" spans="3:12" s="9" customFormat="1" ht="15" customHeight="1">
      <c r="C89" s="11"/>
      <c r="D89" s="31"/>
      <c r="F89" s="11"/>
      <c r="I89" s="11"/>
      <c r="J89" s="12"/>
    </row>
    <row r="90" spans="3:12" s="9" customFormat="1" ht="15" customHeight="1">
      <c r="C90" s="11" t="s">
        <v>8</v>
      </c>
      <c r="D90" s="35">
        <f>VLOOKUP(WT,'2L_Database'!$B$79:$AE$218,14,FALSE)</f>
        <v>2720</v>
      </c>
      <c r="E90" s="34" t="s">
        <v>369</v>
      </c>
      <c r="F90" s="29" t="s">
        <v>405</v>
      </c>
      <c r="I90" s="11"/>
      <c r="J90" s="12"/>
    </row>
    <row r="91" spans="3:12" s="9" customFormat="1" ht="15" customHeight="1">
      <c r="C91" s="11" t="s">
        <v>363</v>
      </c>
      <c r="D91" s="35">
        <f>VLOOKUP(WT,'2L_Database'!$B$79:$AE$218,15,FALSE)*1000000</f>
        <v>1470000</v>
      </c>
      <c r="E91" s="34" t="s">
        <v>364</v>
      </c>
      <c r="F91" s="29" t="s">
        <v>402</v>
      </c>
      <c r="I91" s="11"/>
      <c r="J91" s="12"/>
      <c r="L91" s="9">
        <f>Ix.br/(d.br-y.br)</f>
        <v>27374.301675977651</v>
      </c>
    </row>
    <row r="92" spans="3:12" s="9" customFormat="1" ht="15.75">
      <c r="C92" s="11" t="s">
        <v>361</v>
      </c>
      <c r="D92" s="35">
        <f>VLOOKUP(WT,'2L_Database'!$B$79:$AE$218,16,FALSE)*1000</f>
        <v>27300</v>
      </c>
      <c r="E92" s="34" t="s">
        <v>362</v>
      </c>
      <c r="F92" s="29" t="s">
        <v>403</v>
      </c>
      <c r="I92" s="11"/>
      <c r="J92" s="12"/>
    </row>
    <row r="93" spans="3:12" s="9" customFormat="1" ht="15.75">
      <c r="C93" s="11" t="s">
        <v>367</v>
      </c>
      <c r="D93" s="39">
        <v>3525000</v>
      </c>
      <c r="E93" s="34" t="s">
        <v>364</v>
      </c>
      <c r="F93" s="29" t="s">
        <v>528</v>
      </c>
    </row>
    <row r="94" spans="3:12" s="9" customFormat="1" ht="15.75">
      <c r="C94" s="11" t="s">
        <v>366</v>
      </c>
      <c r="D94" s="35">
        <f>Iy.br/(b.br+D112/2)</f>
        <v>43411.33004926108</v>
      </c>
      <c r="E94" s="34" t="s">
        <v>362</v>
      </c>
      <c r="F94" s="29" t="s">
        <v>539</v>
      </c>
    </row>
    <row r="95" spans="3:12" s="9" customFormat="1" ht="12.75">
      <c r="C95" s="11"/>
      <c r="D95" s="31"/>
      <c r="E95" s="34"/>
      <c r="F95" s="29"/>
    </row>
    <row r="96" spans="3:12" s="9" customFormat="1">
      <c r="C96" s="11" t="s">
        <v>10</v>
      </c>
      <c r="D96" s="35">
        <f>VLOOKUP(WT,'2L_Database'!$B$79:$AE$218,26,FALSE)*1000</f>
        <v>82400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f>VLOOKUP(WT,'2L_Database'!$B$79:$AE$218,27,FALSE)*1000000000</f>
        <v>35100000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538</v>
      </c>
    </row>
    <row r="101" spans="3:11">
      <c r="D101" s="31"/>
    </row>
    <row r="102" spans="3:11" ht="15.75">
      <c r="C102" s="11" t="s">
        <v>409</v>
      </c>
      <c r="D102" s="40">
        <v>3400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3400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3400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146.55172413793105</v>
      </c>
      <c r="E109" s="9" t="s">
        <v>421</v>
      </c>
    </row>
    <row r="110" spans="3:11" ht="15.75">
      <c r="C110" s="11" t="s">
        <v>422</v>
      </c>
      <c r="D110" s="35">
        <f>Ky.br*Ly.br/ry.br</f>
        <v>94.444444444444443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10</v>
      </c>
      <c r="E112" s="9" t="s">
        <v>7</v>
      </c>
      <c r="F112" s="9" t="s">
        <v>423</v>
      </c>
    </row>
    <row r="113" spans="2:7" s="9" customFormat="1" ht="12.75">
      <c r="C113" s="11" t="s">
        <v>424</v>
      </c>
      <c r="D113" s="38">
        <v>38</v>
      </c>
      <c r="E113" s="9" t="s">
        <v>7</v>
      </c>
      <c r="F113" s="9" t="s">
        <v>425</v>
      </c>
    </row>
    <row r="114" spans="2:7" s="9" customFormat="1" ht="15.75">
      <c r="C114" s="11" t="s">
        <v>374</v>
      </c>
      <c r="D114" s="41">
        <f>d.br-D113-y.br</f>
        <v>15.700000000000003</v>
      </c>
      <c r="E114" s="9" t="s">
        <v>7</v>
      </c>
      <c r="F114" s="9" t="s">
        <v>426</v>
      </c>
    </row>
    <row r="115" spans="2:7" s="9" customFormat="1" ht="12.75">
      <c r="D115" s="31"/>
    </row>
    <row r="116" spans="2:7" s="9" customFormat="1" ht="12.75">
      <c r="D116" s="31"/>
    </row>
    <row r="117" spans="2:7" s="9" customFormat="1" ht="12.75">
      <c r="D117" s="31"/>
    </row>
    <row r="118" spans="2:7" s="9" customFormat="1" ht="12.75">
      <c r="D118" s="31"/>
    </row>
    <row r="119" spans="2:7" s="9" customFormat="1" ht="12.75">
      <c r="D119" s="31"/>
    </row>
    <row r="120" spans="2:7" s="9" customFormat="1" ht="12.75">
      <c r="D120" s="31"/>
    </row>
    <row r="121" spans="2:7" s="9" customFormat="1" ht="12.75">
      <c r="B121" s="10" t="s">
        <v>31</v>
      </c>
      <c r="D121" s="31"/>
    </row>
    <row r="122" spans="2:7" s="9" customFormat="1" ht="12.75">
      <c r="B122" s="9" t="s">
        <v>427</v>
      </c>
      <c r="D122" s="31"/>
    </row>
    <row r="123" spans="2:7" s="9" customFormat="1" ht="12.75">
      <c r="D123" s="31"/>
    </row>
    <row r="124" spans="2:7" s="9" customFormat="1" ht="15.75">
      <c r="C124" s="11" t="s">
        <v>375</v>
      </c>
      <c r="D124" s="42">
        <f>D51</f>
        <v>45</v>
      </c>
      <c r="E124" s="9" t="s">
        <v>12</v>
      </c>
      <c r="F124" s="9" t="s">
        <v>428</v>
      </c>
    </row>
    <row r="125" spans="2:7" s="9" customFormat="1" ht="15.75">
      <c r="C125" s="11" t="s">
        <v>376</v>
      </c>
      <c r="D125" s="42">
        <f>D52</f>
        <v>55</v>
      </c>
      <c r="E125" s="9" t="s">
        <v>12</v>
      </c>
      <c r="F125" s="9" t="s">
        <v>429</v>
      </c>
    </row>
    <row r="126" spans="2:7" s="9" customFormat="1" ht="15.75">
      <c r="C126" s="11" t="s">
        <v>378</v>
      </c>
      <c r="D126" s="42">
        <f>D54</f>
        <v>0.152</v>
      </c>
      <c r="E126" s="9" t="s">
        <v>25</v>
      </c>
      <c r="F126" s="9" t="s">
        <v>430</v>
      </c>
    </row>
    <row r="127" spans="2:7" s="9" customFormat="1" ht="15.75">
      <c r="C127" s="11" t="s">
        <v>379</v>
      </c>
      <c r="D127" s="42">
        <f>D53</f>
        <v>0.14499999999999999</v>
      </c>
      <c r="E127" s="9" t="s">
        <v>25</v>
      </c>
      <c r="F127" s="9" t="s">
        <v>431</v>
      </c>
    </row>
    <row r="128" spans="2:7" s="9" customFormat="1" ht="12.75">
      <c r="D128" s="31"/>
      <c r="E128" s="11"/>
      <c r="F128" s="11"/>
      <c r="G128"/>
    </row>
    <row r="129" spans="2:7" s="9" customFormat="1" ht="15.75">
      <c r="C129" s="11" t="s">
        <v>377</v>
      </c>
      <c r="D129" s="36">
        <f>MAX(D124:D125)*D114/1000</f>
        <v>0.86350000000000016</v>
      </c>
      <c r="E129" s="9" t="s">
        <v>25</v>
      </c>
      <c r="F129" s="29" t="s">
        <v>432</v>
      </c>
      <c r="G129"/>
    </row>
    <row r="130" spans="2:7" s="9" customFormat="1" ht="12.75">
      <c r="D130" s="31"/>
      <c r="E130" s="11"/>
      <c r="F130" s="11"/>
      <c r="G130"/>
    </row>
    <row r="131" spans="2:7" s="9" customFormat="1" ht="15.75">
      <c r="C131" s="11" t="s">
        <v>433</v>
      </c>
      <c r="D131" s="36">
        <f>D126+D129</f>
        <v>1.0155000000000001</v>
      </c>
      <c r="E131" s="9" t="s">
        <v>25</v>
      </c>
      <c r="F131" s="29" t="s">
        <v>541</v>
      </c>
      <c r="G131"/>
    </row>
    <row r="132" spans="2:7" s="9" customFormat="1" ht="12.75">
      <c r="E132" s="11"/>
      <c r="F132" s="11"/>
      <c r="G132"/>
    </row>
    <row r="133" spans="2:7" s="9" customFormat="1" ht="12.75">
      <c r="E133" s="11"/>
      <c r="F133" s="11"/>
      <c r="G133"/>
    </row>
    <row r="134" spans="2:7" s="9" customFormat="1" ht="12.75">
      <c r="E134" s="11"/>
      <c r="F134" s="11"/>
      <c r="G134"/>
    </row>
    <row r="135" spans="2:7" s="9" customFormat="1" ht="12.75">
      <c r="B135" s="10" t="s">
        <v>434</v>
      </c>
      <c r="E135" s="11"/>
      <c r="F135" s="11"/>
      <c r="G135"/>
    </row>
    <row r="136" spans="2:7" s="9" customFormat="1" ht="12.75">
      <c r="E136" s="11"/>
      <c r="F136" s="11"/>
      <c r="G136"/>
    </row>
    <row r="137" spans="2:7" s="9" customFormat="1" ht="12.75">
      <c r="C137" s="15" t="s">
        <v>435</v>
      </c>
      <c r="E137" s="11"/>
      <c r="F137" s="11"/>
      <c r="G137"/>
    </row>
    <row r="138" spans="2:7" s="9" customFormat="1" ht="15.75">
      <c r="C138" s="9" t="s">
        <v>436</v>
      </c>
      <c r="E138" s="11"/>
      <c r="F138" s="11"/>
      <c r="G138"/>
    </row>
    <row r="139" spans="2:7" s="9" customFormat="1" ht="12.75">
      <c r="E139" s="11"/>
      <c r="F139" s="11"/>
      <c r="G139"/>
    </row>
    <row r="140" spans="2:7" s="9" customFormat="1" ht="12.75">
      <c r="E140" s="11"/>
      <c r="F140" s="11"/>
      <c r="G140"/>
    </row>
    <row r="141" spans="2:7" s="9" customFormat="1" ht="15.75">
      <c r="C141" s="11" t="s">
        <v>437</v>
      </c>
      <c r="D141" s="12">
        <f>((PI())^2*E.br)/(Kx.br*Lx.br/rx.br)^2</f>
        <v>91.906849011113067</v>
      </c>
      <c r="E141" s="9" t="s">
        <v>3</v>
      </c>
      <c r="F141" s="11"/>
      <c r="G141"/>
    </row>
    <row r="142" spans="2:7" s="9" customFormat="1" ht="12.75">
      <c r="E142" s="11"/>
      <c r="F142" s="11"/>
      <c r="G142"/>
    </row>
    <row r="143" spans="2:7" s="9" customFormat="1" ht="15" customHeight="1">
      <c r="C143" s="11" t="s">
        <v>438</v>
      </c>
      <c r="D143" s="12">
        <f>((PI())^2*E.br)/(Ky.br*Ly.br/ry.br)^2</f>
        <v>221.2977042181974</v>
      </c>
      <c r="E143" s="9" t="s">
        <v>3</v>
      </c>
      <c r="F143" s="11"/>
      <c r="G143"/>
    </row>
    <row r="144" spans="2:7" s="9" customFormat="1" ht="15" customHeight="1">
      <c r="E144" s="11"/>
      <c r="F144" s="11"/>
      <c r="G144"/>
    </row>
    <row r="145" spans="3:7" s="9" customFormat="1" ht="15" customHeight="1">
      <c r="C145" s="11" t="s">
        <v>439</v>
      </c>
      <c r="D145" s="12">
        <f>(((PI()^2*E.br*Cw.br)/(Kz.br*Lz.br)^2)+G.br*J.br)*(1/(A.br*(r0.br^2)))</f>
        <v>1085.4317570382639</v>
      </c>
      <c r="E145" s="9" t="s">
        <v>3</v>
      </c>
      <c r="F145" s="11"/>
      <c r="G145"/>
    </row>
    <row r="146" spans="3:7" s="9" customFormat="1" ht="15" customHeight="1">
      <c r="E146" s="11"/>
      <c r="F146" s="11"/>
      <c r="G146"/>
    </row>
    <row r="147" spans="3:7" s="9" customFormat="1" ht="15.75">
      <c r="C147" s="11" t="s">
        <v>441</v>
      </c>
      <c r="D147" s="13">
        <f>((Fey.br+Fez.br)/(2*Omega.br))*(1-SQRT(1-((4*Fey.br*Fez.br*Omega.br)/((Fey.br+Fez.br)^2))))</f>
        <v>213.59028619316987</v>
      </c>
      <c r="E147" s="9" t="s">
        <v>3</v>
      </c>
      <c r="F147" s="11"/>
      <c r="G147"/>
    </row>
    <row r="148" spans="3:7" s="9" customFormat="1" ht="12.75">
      <c r="E148" s="11"/>
      <c r="F148" s="11"/>
      <c r="G148"/>
    </row>
    <row r="149" spans="3:7" s="9" customFormat="1" ht="12.75">
      <c r="E149" s="11"/>
      <c r="F149" s="11"/>
      <c r="G149"/>
    </row>
    <row r="150" spans="3:7" s="9" customFormat="1" ht="12.75">
      <c r="E150" s="11"/>
      <c r="F150" s="11"/>
      <c r="G150"/>
    </row>
    <row r="151" spans="3:7" s="9" customFormat="1" ht="12.75">
      <c r="E151" s="11"/>
      <c r="F151" s="11"/>
      <c r="G151"/>
    </row>
    <row r="152" spans="3:7" s="9" customFormat="1" ht="12.75">
      <c r="E152" s="11"/>
      <c r="F152" s="11"/>
      <c r="G152"/>
    </row>
    <row r="153" spans="3:7" s="9" customFormat="1" ht="12.75">
      <c r="E153" s="11"/>
      <c r="F153" s="11"/>
      <c r="G153"/>
    </row>
    <row r="154" spans="3:7" s="9" customFormat="1" ht="12.75">
      <c r="E154" s="11"/>
      <c r="F154" s="11"/>
      <c r="G154"/>
    </row>
    <row r="155" spans="3:7" s="9" customFormat="1" ht="12.75">
      <c r="E155" s="11"/>
      <c r="F155" s="11"/>
      <c r="G155"/>
    </row>
    <row r="156" spans="3:7" s="9" customFormat="1" ht="15.75">
      <c r="C156" s="9" t="s">
        <v>380</v>
      </c>
      <c r="E156" s="11"/>
      <c r="F156" s="11"/>
      <c r="G156"/>
    </row>
    <row r="157" spans="3:7" s="9" customFormat="1" ht="12.75">
      <c r="E157" s="11"/>
      <c r="F157" s="11"/>
      <c r="G157"/>
    </row>
    <row r="158" spans="3:7" s="9" customFormat="1" ht="12.75">
      <c r="C158" s="43" t="str">
        <f>IF(Fex.br&lt;Feyz.br,"Fex Governs", "Feyz Governs")</f>
        <v>Fex Governs</v>
      </c>
      <c r="G158"/>
    </row>
    <row r="159" spans="3:7" s="9" customFormat="1">
      <c r="C159" s="18" t="s">
        <v>440</v>
      </c>
      <c r="D159" s="19">
        <f>MIN(Feyz.br,Fex.br)</f>
        <v>91.906849011113067</v>
      </c>
      <c r="E159" s="17" t="s">
        <v>3</v>
      </c>
      <c r="F159" s="11"/>
      <c r="G159"/>
    </row>
    <row r="160" spans="3:7" s="9" customFormat="1" ht="12.75">
      <c r="E160" s="11"/>
      <c r="F160" s="11"/>
      <c r="G160"/>
    </row>
    <row r="161" spans="3:7" s="9" customFormat="1" ht="12.75">
      <c r="E161" s="11"/>
      <c r="F161" s="11"/>
      <c r="G161"/>
    </row>
    <row r="162" spans="3:7" s="9" customFormat="1" ht="12.75">
      <c r="E162" s="11"/>
      <c r="F162" s="11"/>
      <c r="G162"/>
    </row>
    <row r="163" spans="3:7" s="9" customFormat="1" ht="12.75">
      <c r="C163" s="15" t="s">
        <v>442</v>
      </c>
      <c r="E163" s="11"/>
      <c r="F163" s="11"/>
      <c r="G163"/>
    </row>
    <row r="164" spans="3:7" s="9" customFormat="1" ht="12.75">
      <c r="E164" s="11"/>
      <c r="F164" s="11"/>
      <c r="G164"/>
    </row>
    <row r="165" spans="3:7" s="9" customFormat="1" ht="12.75">
      <c r="C165" s="11" t="s">
        <v>443</v>
      </c>
      <c r="D165" s="9">
        <v>1.34</v>
      </c>
      <c r="E165" s="11"/>
      <c r="F165" s="29" t="s">
        <v>444</v>
      </c>
      <c r="G165"/>
    </row>
    <row r="166" spans="3:7" s="9" customFormat="1" ht="12.75">
      <c r="C166" s="11" t="s">
        <v>447</v>
      </c>
      <c r="D166" s="14">
        <f>SQRT(Fy.br/Fe.br)</f>
        <v>1.8067026808699134</v>
      </c>
      <c r="E166" s="11"/>
      <c r="F166" s="11"/>
      <c r="G166"/>
    </row>
    <row r="167" spans="3:7" s="9" customFormat="1" ht="12.75">
      <c r="E167" s="11"/>
      <c r="F167" s="11"/>
      <c r="G167"/>
    </row>
    <row r="168" spans="3:7" s="9" customFormat="1">
      <c r="C168" s="18" t="s">
        <v>448</v>
      </c>
      <c r="D168" s="19">
        <f>PHI.br*A.br*Fy.br*(1+Lambda.br^(2*n.br))^(-1/n.br)/1000</f>
        <v>195.770781847141</v>
      </c>
      <c r="E168" s="17" t="s">
        <v>12</v>
      </c>
      <c r="F168" s="29" t="s">
        <v>449</v>
      </c>
      <c r="G168"/>
    </row>
    <row r="169" spans="3:7" s="9" customFormat="1" ht="12.75">
      <c r="E169" s="11"/>
      <c r="F169" s="11"/>
      <c r="G169"/>
    </row>
    <row r="170" spans="3:7" s="9" customFormat="1" ht="12.75">
      <c r="E170" s="11"/>
      <c r="F170" s="11"/>
      <c r="G170"/>
    </row>
    <row r="171" spans="3:7" s="9" customFormat="1" ht="12.75">
      <c r="E171" s="11"/>
      <c r="F171" s="11"/>
      <c r="G171"/>
    </row>
    <row r="172" spans="3:7" s="9" customFormat="1" ht="12.75">
      <c r="E172" s="11"/>
      <c r="F172" s="11"/>
      <c r="G172"/>
    </row>
    <row r="173" spans="3:7" s="9" customFormat="1" ht="12.75">
      <c r="E173" s="11"/>
      <c r="F173" s="11"/>
      <c r="G173"/>
    </row>
    <row r="174" spans="3:7" s="9" customFormat="1" ht="12.75">
      <c r="E174" s="11"/>
      <c r="F174" s="11"/>
      <c r="G174"/>
    </row>
    <row r="175" spans="3:7" s="9" customFormat="1" ht="12.75">
      <c r="E175" s="11"/>
      <c r="F175" s="11"/>
      <c r="G175"/>
    </row>
    <row r="176" spans="3:7" s="9" customFormat="1" ht="12.75">
      <c r="E176" s="11"/>
      <c r="F176" s="11"/>
      <c r="G176"/>
    </row>
    <row r="177" spans="3:11" s="9" customFormat="1" ht="12.75">
      <c r="E177" s="11"/>
      <c r="F177" s="11"/>
      <c r="G177"/>
    </row>
    <row r="184" spans="3:11">
      <c r="C184" s="15" t="s">
        <v>450</v>
      </c>
    </row>
    <row r="185" spans="3:11">
      <c r="C185" s="9" t="s">
        <v>13</v>
      </c>
    </row>
    <row r="187" spans="3:11" ht="15.75">
      <c r="C187" s="11" t="s">
        <v>14</v>
      </c>
      <c r="D187" s="11" t="s">
        <v>451</v>
      </c>
      <c r="E187" s="12">
        <f>PHI.br*A.br*Fy.br/1000</f>
        <v>734.4</v>
      </c>
      <c r="F187" s="9" t="s">
        <v>12</v>
      </c>
    </row>
    <row r="189" spans="3:11">
      <c r="C189" s="11" t="s">
        <v>15</v>
      </c>
      <c r="D189" s="55" t="s">
        <v>452</v>
      </c>
      <c r="E189" s="55"/>
      <c r="F189" s="55"/>
      <c r="G189" s="55"/>
      <c r="H189" s="55"/>
      <c r="I189" s="55"/>
      <c r="J189" s="55"/>
      <c r="K189" s="55"/>
    </row>
    <row r="190" spans="3:11">
      <c r="D190" s="55"/>
      <c r="E190" s="55"/>
      <c r="F190" s="55"/>
      <c r="G190" s="55"/>
      <c r="H190" s="55"/>
      <c r="I190" s="55"/>
      <c r="J190" s="55"/>
      <c r="K190" s="55"/>
    </row>
    <row r="192" spans="3:11" ht="15.75">
      <c r="C192" s="11" t="s">
        <v>16</v>
      </c>
      <c r="D192" s="11" t="s">
        <v>453</v>
      </c>
      <c r="E192" s="12">
        <f>PHIu.br*Ane.br*Fu.br/1000</f>
        <v>688.5</v>
      </c>
      <c r="F192" s="9" t="s">
        <v>12</v>
      </c>
    </row>
    <row r="193" spans="3:7" ht="15.75">
      <c r="D193" s="11" t="s">
        <v>454</v>
      </c>
      <c r="E193" s="9">
        <f>0.75*A.br</f>
        <v>2040</v>
      </c>
      <c r="F193" s="9" t="s">
        <v>369</v>
      </c>
      <c r="G193" s="9" t="s">
        <v>456</v>
      </c>
    </row>
    <row r="194" spans="3:7" ht="15.75">
      <c r="D194" s="11" t="s">
        <v>455</v>
      </c>
      <c r="E194" s="9">
        <v>0.75</v>
      </c>
      <c r="G194" s="9" t="s">
        <v>457</v>
      </c>
    </row>
    <row r="196" spans="3:7">
      <c r="C196" s="29" t="s">
        <v>18</v>
      </c>
    </row>
    <row r="197" spans="3:7">
      <c r="C197" s="9" t="str">
        <f>IF(E187&lt;E192,"Sentence (i) Governs - Gross Section Yielding","Sentence (iii) Governs - Rupture Due to Shear Lag")</f>
        <v>Sentence (iii) Governs - Rupture Due to Shear Lag</v>
      </c>
    </row>
    <row r="199" spans="3:7" s="9" customFormat="1">
      <c r="D199" s="18" t="s">
        <v>381</v>
      </c>
      <c r="E199" s="19">
        <f>MIN(E187,E192)</f>
        <v>688.5</v>
      </c>
      <c r="F199" s="17" t="s">
        <v>12</v>
      </c>
    </row>
    <row r="204" spans="3:7" s="9" customFormat="1" ht="12.75">
      <c r="C204" s="15" t="s">
        <v>462</v>
      </c>
    </row>
    <row r="205" spans="3:7" s="9" customFormat="1" ht="12.75">
      <c r="C205" s="9" t="s">
        <v>19</v>
      </c>
    </row>
    <row r="207" spans="3:7" s="9" customFormat="1" ht="12.75">
      <c r="D207" s="28" t="s">
        <v>459</v>
      </c>
    </row>
    <row r="208" spans="3:7" s="9" customFormat="1" ht="13.5" thickBot="1"/>
    <row r="209" spans="3:8" s="9" customFormat="1" ht="12.75">
      <c r="D209" s="17"/>
      <c r="E209" s="17"/>
      <c r="F209" s="23" t="s">
        <v>20</v>
      </c>
      <c r="G209" s="23" t="s">
        <v>21</v>
      </c>
      <c r="H209" s="23" t="s">
        <v>22</v>
      </c>
    </row>
    <row r="210" spans="3:8" s="9" customFormat="1" ht="15" thickBot="1">
      <c r="D210" s="17"/>
      <c r="E210" s="18" t="s">
        <v>382</v>
      </c>
      <c r="F210" s="24" t="s">
        <v>383</v>
      </c>
      <c r="G210" s="24" t="s">
        <v>384</v>
      </c>
      <c r="H210" s="24" t="s">
        <v>385</v>
      </c>
    </row>
    <row r="211" spans="3:8" s="9" customFormat="1" ht="16.5" thickBot="1">
      <c r="C211"/>
      <c r="D211" s="20" t="s">
        <v>386</v>
      </c>
      <c r="E211" s="21">
        <f>(b.br-w.br)/t.br</f>
        <v>6.9958027282266535</v>
      </c>
      <c r="F211" s="22">
        <f>145/SQRT(Fy.br)</f>
        <v>8.3715789032495724</v>
      </c>
      <c r="G211" s="22">
        <f>170/SQRT(Fy.br)</f>
        <v>9.8149545762236379</v>
      </c>
      <c r="H211" s="22">
        <f>200/SQRT(Fy.br)</f>
        <v>11.547005383792515</v>
      </c>
    </row>
    <row r="213" spans="3:8" s="9" customFormat="1" ht="15.75">
      <c r="D213" s="9" t="s">
        <v>460</v>
      </c>
    </row>
    <row r="215" spans="3:8" s="9" customFormat="1" ht="12.75">
      <c r="C215"/>
      <c r="D215" s="16"/>
      <c r="E215" s="46" t="s">
        <v>461</v>
      </c>
      <c r="F215" s="45">
        <f>IF(E211&lt;F211,1,IF(E211&lt;G211,2,IF(E211&lt;H211,3,4)))</f>
        <v>1</v>
      </c>
    </row>
    <row r="220" spans="3:8" s="9" customFormat="1" ht="12.75">
      <c r="C220" s="15" t="s">
        <v>481</v>
      </c>
    </row>
    <row r="221" spans="3:8" s="9" customFormat="1" ht="12.75">
      <c r="C221" s="9" t="s">
        <v>484</v>
      </c>
    </row>
    <row r="222" spans="3:8" s="9" customFormat="1" ht="12.75">
      <c r="D222" s="31"/>
    </row>
    <row r="223" spans="3:8" s="9" customFormat="1" ht="15.75">
      <c r="C223" s="11" t="s">
        <v>387</v>
      </c>
      <c r="D223" s="47">
        <f>Sx.br*Fy.br/10^6</f>
        <v>8.19</v>
      </c>
      <c r="E223" s="9" t="s">
        <v>23</v>
      </c>
      <c r="G223" s="9" t="s">
        <v>463</v>
      </c>
    </row>
    <row r="224" spans="3:8" s="9" customFormat="1" ht="12.75">
      <c r="D224" s="31"/>
    </row>
    <row r="225" spans="3:9" s="9" customFormat="1" ht="15.75">
      <c r="C225" s="11" t="s">
        <v>388</v>
      </c>
      <c r="D225" s="47">
        <f>0.7*Sx.br*Fy.br/10^6</f>
        <v>5.7329999999999997</v>
      </c>
      <c r="E225" s="9" t="s">
        <v>23</v>
      </c>
      <c r="G225" s="9" t="s">
        <v>464</v>
      </c>
    </row>
    <row r="231" spans="3:9" s="9" customFormat="1" ht="12.75">
      <c r="D231" s="31"/>
    </row>
    <row r="232" spans="3:9" s="9" customFormat="1" ht="15.75">
      <c r="C232" s="11" t="s">
        <v>465</v>
      </c>
      <c r="D232" s="31">
        <v>1</v>
      </c>
      <c r="G232" s="9" t="s">
        <v>468</v>
      </c>
      <c r="H232" s="25"/>
      <c r="I232" s="17"/>
    </row>
    <row r="233" spans="3:9" s="9" customFormat="1" ht="12.75">
      <c r="C233" s="11" t="s">
        <v>466</v>
      </c>
      <c r="D233" s="35">
        <f>MAX(D102:D104)</f>
        <v>3400</v>
      </c>
      <c r="E233" s="9" t="s">
        <v>7</v>
      </c>
      <c r="G233" s="9" t="s">
        <v>469</v>
      </c>
      <c r="H233" s="25"/>
      <c r="I233" s="17"/>
    </row>
    <row r="234" spans="3:9" s="9" customFormat="1" ht="15.75">
      <c r="C234" s="11" t="s">
        <v>467</v>
      </c>
      <c r="D234" s="31">
        <v>0</v>
      </c>
      <c r="G234" s="9" t="s">
        <v>470</v>
      </c>
      <c r="H234" s="25"/>
      <c r="I234" s="17"/>
    </row>
    <row r="235" spans="3:9" s="9" customFormat="1" ht="15.75">
      <c r="C235" s="11" t="s">
        <v>404</v>
      </c>
      <c r="D235" s="31">
        <v>0</v>
      </c>
      <c r="G235" s="9" t="s">
        <v>473</v>
      </c>
      <c r="H235" s="25"/>
      <c r="I235" s="17"/>
    </row>
    <row r="236" spans="3:9" s="9" customFormat="1" ht="12.75">
      <c r="C236" s="11"/>
      <c r="H236" s="25"/>
      <c r="I236" s="17"/>
    </row>
    <row r="237" spans="3:9" s="9" customFormat="1" ht="15.75">
      <c r="C237" s="11" t="s">
        <v>471</v>
      </c>
      <c r="D237" s="36">
        <f>D232*PI()^2*E.br*Iy.br/2/(D233^2)*(D234+SQRT(D234^2+4*(G.br*J.br*D233^2/PI()^2/E.br/Iy.br+D235/Iy.br)))/1000000</f>
        <v>61.798008901785174</v>
      </c>
      <c r="E237" s="9" t="s">
        <v>480</v>
      </c>
      <c r="H237" s="25"/>
      <c r="I237" s="17"/>
    </row>
    <row r="238" spans="3:9" s="9" customFormat="1" ht="12.75">
      <c r="C238" s="11"/>
      <c r="H238" s="25"/>
      <c r="I238" s="17"/>
    </row>
    <row r="239" spans="3:9" s="9" customFormat="1" ht="15.75">
      <c r="C239" s="11" t="s">
        <v>472</v>
      </c>
      <c r="D239" s="17" t="b">
        <f>D237&gt;D225</f>
        <v>1</v>
      </c>
      <c r="E239" s="17" t="str">
        <f>IF(D239,"Use 13.6e.i","Use 13.6e.ii")</f>
        <v>Use 13.6e.i</v>
      </c>
      <c r="H239" s="25"/>
      <c r="I239" s="17"/>
    </row>
    <row r="240" spans="3:9" s="9" customFormat="1" ht="12.75">
      <c r="C240" s="11"/>
      <c r="D240" s="17"/>
      <c r="E240" s="17"/>
      <c r="H240" s="25"/>
      <c r="I240" s="17"/>
    </row>
    <row r="241" spans="3:9" s="9" customFormat="1" ht="12.75">
      <c r="C241" s="11"/>
      <c r="D241" s="17"/>
      <c r="E241" s="17"/>
      <c r="H241" s="25"/>
      <c r="I241" s="17"/>
    </row>
    <row r="242" spans="3:9" s="9" customFormat="1" ht="12.75">
      <c r="C242" s="11"/>
      <c r="D242" s="17"/>
      <c r="E242" s="17"/>
      <c r="H242" s="25"/>
      <c r="I242" s="17"/>
    </row>
    <row r="243" spans="3:9" s="9" customFormat="1" ht="12.75">
      <c r="C243" s="11"/>
      <c r="D243" s="17"/>
      <c r="E243" s="17"/>
      <c r="H243" s="25"/>
      <c r="I243" s="17"/>
    </row>
    <row r="244" spans="3:9" s="9" customFormat="1" ht="12.75">
      <c r="H244" s="25"/>
      <c r="I244" s="17"/>
    </row>
    <row r="245" spans="3:9" s="9" customFormat="1" ht="12.75">
      <c r="C245" s="11"/>
      <c r="H245" s="25"/>
      <c r="I245" s="17"/>
    </row>
    <row r="246" spans="3:9" s="9" customFormat="1" ht="12.75">
      <c r="C246" s="11"/>
      <c r="H246" s="25"/>
      <c r="I246" s="17"/>
    </row>
    <row r="247" spans="3:9" s="9" customFormat="1" ht="12.75">
      <c r="C247" s="11"/>
      <c r="H247" s="25"/>
      <c r="I247" s="17"/>
    </row>
    <row r="248" spans="3:9" s="9" customFormat="1" ht="12.75">
      <c r="C248" s="11"/>
      <c r="H248" s="25"/>
      <c r="I248" s="17"/>
    </row>
    <row r="249" spans="3:9" s="9" customFormat="1" ht="12.75">
      <c r="C249" s="11"/>
      <c r="H249" s="25"/>
      <c r="I249" s="17"/>
    </row>
    <row r="250" spans="3:9" s="9" customFormat="1" ht="12.75">
      <c r="C250" s="11"/>
      <c r="H250" s="25"/>
      <c r="I250" s="17"/>
    </row>
    <row r="251" spans="3:9" s="9" customFormat="1" ht="12.75">
      <c r="C251" s="11"/>
      <c r="H251" s="25"/>
      <c r="I251" s="17"/>
    </row>
    <row r="252" spans="3:9" s="9" customFormat="1" ht="12.75">
      <c r="C252" s="11"/>
      <c r="H252" s="25"/>
      <c r="I252" s="17"/>
    </row>
    <row r="253" spans="3:9" s="9" customFormat="1" ht="12.75">
      <c r="H253" s="25"/>
      <c r="I253" s="17"/>
    </row>
    <row r="254" spans="3:9" s="9" customFormat="1" ht="12.75">
      <c r="H254" s="25"/>
      <c r="I254" s="17"/>
    </row>
    <row r="255" spans="3:9" s="9" customFormat="1" ht="15.75">
      <c r="C255" s="11" t="s">
        <v>487</v>
      </c>
      <c r="D255" s="35">
        <f>y.br</f>
        <v>22.5</v>
      </c>
      <c r="E255" s="9" t="s">
        <v>7</v>
      </c>
      <c r="G255" s="9" t="s">
        <v>490</v>
      </c>
      <c r="H255" s="25"/>
      <c r="I255" s="17"/>
    </row>
    <row r="256" spans="3:9" s="9" customFormat="1" ht="15.75">
      <c r="C256" s="11" t="s">
        <v>488</v>
      </c>
      <c r="D256" s="35">
        <f>2*b.br</f>
        <v>152.4</v>
      </c>
      <c r="E256" s="9" t="s">
        <v>7</v>
      </c>
      <c r="G256" s="9" t="s">
        <v>491</v>
      </c>
      <c r="H256" s="25"/>
      <c r="I256" s="17"/>
    </row>
    <row r="257" spans="3:9" s="9" customFormat="1" ht="15.75">
      <c r="C257" s="11" t="s">
        <v>489</v>
      </c>
      <c r="D257" s="35">
        <f>t.br</f>
        <v>9.5299999999999994</v>
      </c>
      <c r="E257" s="9" t="s">
        <v>7</v>
      </c>
      <c r="G257" s="9" t="s">
        <v>492</v>
      </c>
      <c r="H257" s="25"/>
      <c r="I257" s="17"/>
    </row>
    <row r="258" spans="3:9" s="9" customFormat="1" ht="15.75">
      <c r="C258" s="11" t="s">
        <v>493</v>
      </c>
      <c r="D258" s="35">
        <f>2*w.br</f>
        <v>19.059999999999999</v>
      </c>
      <c r="E258" s="9" t="s">
        <v>7</v>
      </c>
      <c r="G258" s="9" t="s">
        <v>494</v>
      </c>
      <c r="H258" s="25"/>
      <c r="I258" s="17"/>
    </row>
    <row r="259" spans="3:9" s="9" customFormat="1" ht="12.75">
      <c r="C259" s="11"/>
      <c r="D259" s="35"/>
      <c r="H259" s="25"/>
      <c r="I259" s="17"/>
    </row>
    <row r="260" spans="3:9" s="9" customFormat="1" ht="15.75">
      <c r="C260" s="11" t="s">
        <v>474</v>
      </c>
      <c r="D260" s="36">
        <f>D256/SQRT(12*(1+D255*D258/(3*D256*D257)))</f>
        <v>41.976778014434579</v>
      </c>
      <c r="E260" s="9" t="s">
        <v>7</v>
      </c>
      <c r="H260" s="25"/>
      <c r="I260" s="17"/>
    </row>
    <row r="261" spans="3:9" s="9" customFormat="1" ht="15.75">
      <c r="C261" s="11" t="s">
        <v>475</v>
      </c>
      <c r="D261" s="35">
        <f>1.1*D260*SQRT(E.br/Fy.br)</f>
        <v>1192.2193226339057</v>
      </c>
      <c r="E261" s="9" t="s">
        <v>7</v>
      </c>
      <c r="H261" s="25"/>
      <c r="I261" s="17"/>
    </row>
    <row r="262" spans="3:9" s="9" customFormat="1" ht="12.75">
      <c r="C262" s="11"/>
      <c r="H262" s="25"/>
      <c r="I262" s="17"/>
    </row>
    <row r="263" spans="3:9" s="9" customFormat="1" ht="15.75">
      <c r="C263" s="11" t="s">
        <v>476</v>
      </c>
      <c r="D263" s="40">
        <v>36649.785244361046</v>
      </c>
      <c r="E263" s="9" t="s">
        <v>7</v>
      </c>
      <c r="H263" s="25"/>
      <c r="I263" s="17"/>
    </row>
    <row r="264" spans="3:9" s="9" customFormat="1" ht="15.75">
      <c r="C264" s="11" t="s">
        <v>477</v>
      </c>
      <c r="D264" s="47">
        <f>D232*PI()^2*E.br*Iy.br/2/(D263^2)*(D234+SQRT(D234^2+4*(G.br*J.br*D263^2/PI()^2/E.br/Iy.br+D235/Iy.br)))/1000000</f>
        <v>5.7330003126934477</v>
      </c>
      <c r="E264" s="9" t="s">
        <v>480</v>
      </c>
      <c r="H264" s="25"/>
      <c r="I264" s="17"/>
    </row>
    <row r="265" spans="3:9" s="9" customFormat="1" ht="12.75">
      <c r="C265" s="11"/>
      <c r="H265" s="25"/>
      <c r="I265" s="17"/>
    </row>
    <row r="266" spans="3:9" s="9" customFormat="1" ht="12.75">
      <c r="C266" s="11"/>
      <c r="H266" s="25"/>
      <c r="I266" s="17"/>
    </row>
    <row r="267" spans="3:9" s="9" customFormat="1" ht="12.75">
      <c r="H267" s="25"/>
      <c r="I267" s="17"/>
    </row>
    <row r="268" spans="3:9" s="9" customFormat="1" ht="12.75">
      <c r="C268" s="11"/>
      <c r="H268" s="25"/>
      <c r="I268" s="17"/>
    </row>
    <row r="269" spans="3:9" s="9" customFormat="1" ht="12.75">
      <c r="C269" s="11"/>
      <c r="H269" s="25"/>
      <c r="I269" s="17"/>
    </row>
    <row r="270" spans="3:9" s="9" customFormat="1" ht="12.75">
      <c r="C270" s="11"/>
      <c r="H270" s="25"/>
      <c r="I270" s="17"/>
    </row>
    <row r="271" spans="3:9" s="9" customFormat="1" ht="12.75">
      <c r="C271" s="11"/>
      <c r="H271" s="25"/>
      <c r="I271" s="17"/>
    </row>
    <row r="272" spans="3:9" s="9" customFormat="1" ht="12.75">
      <c r="C272" s="11"/>
      <c r="H272" s="25"/>
      <c r="I272" s="17"/>
    </row>
    <row r="273" spans="3:9" s="9" customFormat="1" ht="15.75">
      <c r="C273" s="18" t="s">
        <v>478</v>
      </c>
      <c r="D273" s="49">
        <f>PHI.br*(Mrx.br-(Mrx.br-D225)*((D233-D261)/(D263-D261)))</f>
        <v>7.2333124491219483</v>
      </c>
      <c r="E273" s="17" t="s">
        <v>480</v>
      </c>
      <c r="G273" s="9" t="s">
        <v>479</v>
      </c>
      <c r="H273" s="25"/>
      <c r="I273" s="17"/>
    </row>
    <row r="274" spans="3:9" s="9" customFormat="1" ht="12.75">
      <c r="H274" s="25"/>
      <c r="I274" s="17"/>
    </row>
    <row r="275" spans="3:9" s="9" customFormat="1" ht="12.75">
      <c r="H275" s="25"/>
      <c r="I275" s="17"/>
    </row>
    <row r="276" spans="3:9" s="9" customFormat="1" ht="12.75">
      <c r="D276" s="17"/>
      <c r="H276" s="25"/>
      <c r="I276" s="17"/>
    </row>
    <row r="277" spans="3:9" s="9" customFormat="1" ht="12.75">
      <c r="C277" s="15" t="s">
        <v>482</v>
      </c>
      <c r="H277" s="25"/>
      <c r="I277" s="17"/>
    </row>
    <row r="278" spans="3:9" s="9" customFormat="1" ht="12.75">
      <c r="C278" s="9" t="s">
        <v>483</v>
      </c>
      <c r="H278" s="25"/>
      <c r="I278" s="17"/>
    </row>
    <row r="281" spans="3:9" s="9" customFormat="1" ht="15.75">
      <c r="C281" s="18" t="s">
        <v>512</v>
      </c>
      <c r="D281" s="49">
        <f>PHI.br*D94*Fy.br/10^6</f>
        <v>11.721059113300491</v>
      </c>
      <c r="E281" s="17" t="s">
        <v>23</v>
      </c>
      <c r="G281" s="9" t="s">
        <v>485</v>
      </c>
    </row>
    <row r="282" spans="3:9" s="9" customFormat="1" ht="12.75">
      <c r="C282" s="11"/>
      <c r="H282" s="25"/>
      <c r="I282" s="17"/>
    </row>
    <row r="283" spans="3:9" s="9" customFormat="1" ht="12.75">
      <c r="C283" s="11"/>
      <c r="H283" s="25"/>
      <c r="I283" s="17"/>
    </row>
    <row r="284" spans="3:9" s="9" customFormat="1" ht="12.75">
      <c r="C284" s="11"/>
      <c r="H284" s="25"/>
      <c r="I284" s="17"/>
    </row>
    <row r="285" spans="3:9" s="9" customFormat="1" ht="12.75">
      <c r="C285" s="15" t="s">
        <v>486</v>
      </c>
      <c r="H285" s="25"/>
      <c r="I285" s="17"/>
    </row>
    <row r="286" spans="3:9" s="9" customFormat="1" ht="12.75">
      <c r="C286" s="11"/>
      <c r="H286" s="25"/>
      <c r="I286" s="17"/>
    </row>
    <row r="287" spans="3:9" s="9" customFormat="1" ht="12.75">
      <c r="C287" s="11"/>
      <c r="H287" s="25"/>
      <c r="I287" s="17"/>
    </row>
    <row r="288" spans="3:9" s="9" customFormat="1" ht="12.75">
      <c r="C288" s="11"/>
      <c r="H288" s="25"/>
      <c r="I288" s="17"/>
    </row>
    <row r="289" spans="3:9" s="9" customFormat="1" ht="12.75">
      <c r="C289" s="11"/>
      <c r="H289" s="25"/>
      <c r="I289" s="17"/>
    </row>
    <row r="290" spans="3:9" s="9" customFormat="1" ht="12.75">
      <c r="C290" s="11"/>
      <c r="H290" s="25"/>
      <c r="I290" s="17"/>
    </row>
    <row r="291" spans="3:9" s="9" customFormat="1" ht="12.75">
      <c r="C291" s="11"/>
      <c r="H291" s="25"/>
      <c r="I291" s="17"/>
    </row>
    <row r="292" spans="3:9" s="9" customFormat="1" ht="12.75">
      <c r="C292" s="11"/>
      <c r="H292" s="25"/>
      <c r="I292" s="17"/>
    </row>
    <row r="293" spans="3:9" s="9" customFormat="1" ht="12.75">
      <c r="C293" s="11"/>
      <c r="H293" s="25"/>
      <c r="I293" s="17"/>
    </row>
    <row r="294" spans="3:9" s="9" customFormat="1" ht="12.75">
      <c r="C294" s="11"/>
      <c r="H294" s="25"/>
      <c r="I294" s="17"/>
    </row>
    <row r="295" spans="3:9" s="9" customFormat="1" ht="12.75">
      <c r="C295" s="11"/>
      <c r="H295" s="25"/>
      <c r="I295" s="17"/>
    </row>
    <row r="296" spans="3:9" s="9" customFormat="1" ht="12.75">
      <c r="C296" s="11"/>
      <c r="H296" s="25"/>
      <c r="I296" s="17"/>
    </row>
    <row r="297" spans="3:9" s="9" customFormat="1" ht="12.75">
      <c r="C297" s="11"/>
      <c r="H297" s="25"/>
      <c r="I297" s="17"/>
    </row>
    <row r="298" spans="3:9" s="9" customFormat="1" ht="12.75">
      <c r="C298" s="11"/>
      <c r="H298" s="25"/>
      <c r="I298" s="17"/>
    </row>
    <row r="299" spans="3:9" s="9" customFormat="1" ht="12.75">
      <c r="C299" s="11"/>
      <c r="H299" s="25"/>
      <c r="I299" s="17"/>
    </row>
    <row r="300" spans="3:9" s="9" customFormat="1" ht="12.75">
      <c r="C300" s="11"/>
      <c r="H300" s="25"/>
      <c r="I300" s="17"/>
    </row>
    <row r="301" spans="3:9" s="9" customFormat="1" ht="12.75">
      <c r="C301" s="11"/>
      <c r="H301" s="25"/>
      <c r="I301" s="17"/>
    </row>
    <row r="302" spans="3:9" s="9" customFormat="1" ht="12.75">
      <c r="C302" s="11"/>
      <c r="H302" s="25"/>
      <c r="I302" s="17"/>
    </row>
    <row r="303" spans="3:9" s="9" customFormat="1" ht="12.75">
      <c r="C303" s="11"/>
      <c r="H303" s="25"/>
      <c r="I303" s="17"/>
    </row>
    <row r="304" spans="3:9" s="9" customFormat="1" ht="12.75">
      <c r="C304" s="11"/>
      <c r="H304" s="25"/>
      <c r="I304" s="17"/>
    </row>
    <row r="305" spans="3:9" s="9" customFormat="1" ht="12.75">
      <c r="C305" s="11"/>
      <c r="H305" s="25"/>
      <c r="I305" s="17"/>
    </row>
    <row r="306" spans="3:9" s="9" customFormat="1" ht="12.75">
      <c r="C306" s="11"/>
      <c r="H306" s="25"/>
      <c r="I306" s="17"/>
    </row>
    <row r="307" spans="3:9" s="9" customFormat="1" ht="12.75">
      <c r="C307" s="11"/>
      <c r="H307" s="25"/>
      <c r="I307" s="17"/>
    </row>
    <row r="308" spans="3:9" s="9" customFormat="1" ht="12.75">
      <c r="C308" s="11"/>
      <c r="H308" s="25"/>
      <c r="I308" s="17"/>
    </row>
    <row r="309" spans="3:9" s="9" customFormat="1" ht="12.75">
      <c r="C309" s="11"/>
      <c r="H309" s="25"/>
      <c r="I309" s="17"/>
    </row>
    <row r="310" spans="3:9" s="9" customFormat="1" ht="15.75">
      <c r="C310" s="48" t="s">
        <v>496</v>
      </c>
      <c r="D310" s="26">
        <f>PI()^2*E.br*Ix.br/Lx.br^2/1000</f>
        <v>251.00897006230724</v>
      </c>
      <c r="E310" t="s">
        <v>12</v>
      </c>
      <c r="H310" s="25"/>
      <c r="I310" s="17"/>
    </row>
    <row r="311" spans="3:9" s="9" customFormat="1" ht="12.75">
      <c r="C311" s="48" t="s">
        <v>495</v>
      </c>
      <c r="D311">
        <v>-1</v>
      </c>
      <c r="F311" t="s">
        <v>501</v>
      </c>
      <c r="H311" s="25"/>
      <c r="I311" s="17"/>
    </row>
    <row r="312" spans="3:9" s="9" customFormat="1" ht="15.75">
      <c r="C312" s="48" t="s">
        <v>497</v>
      </c>
      <c r="D312">
        <f>0.6-0.4*D311</f>
        <v>1</v>
      </c>
      <c r="F312" t="s">
        <v>502</v>
      </c>
      <c r="H312" s="25"/>
      <c r="I312" s="17"/>
    </row>
    <row r="313" spans="3:9" s="9" customFormat="1" ht="15.75">
      <c r="C313" s="48" t="s">
        <v>498</v>
      </c>
      <c r="D313" s="27">
        <f>D312/(1-Cf.br/D310)</f>
        <v>1.280599403091178</v>
      </c>
      <c r="F313"/>
      <c r="H313" s="25"/>
      <c r="I313" s="17"/>
    </row>
    <row r="314" spans="3:9" s="9" customFormat="1" ht="12.75">
      <c r="C314"/>
      <c r="D314"/>
      <c r="F314"/>
      <c r="H314" s="25"/>
      <c r="I314" s="17"/>
    </row>
    <row r="315" spans="3:9" s="9" customFormat="1" ht="15.75">
      <c r="C315" s="48" t="s">
        <v>499</v>
      </c>
      <c r="D315" s="26">
        <f>PI()^2*E.br*Iy.br/Ly.br^2/1000</f>
        <v>601.90926494532846</v>
      </c>
      <c r="E315" t="s">
        <v>12</v>
      </c>
      <c r="H315" s="25"/>
      <c r="I315" s="17"/>
    </row>
    <row r="316" spans="3:9" s="9" customFormat="1" ht="12.75">
      <c r="C316" s="48" t="s">
        <v>495</v>
      </c>
      <c r="D316">
        <v>-1</v>
      </c>
      <c r="F316" t="s">
        <v>501</v>
      </c>
      <c r="H316" s="25"/>
      <c r="I316" s="17"/>
    </row>
    <row r="317" spans="3:9" s="9" customFormat="1" ht="15.75">
      <c r="C317" s="48" t="s">
        <v>497</v>
      </c>
      <c r="D317">
        <f>0.6-0.4*D316</f>
        <v>1</v>
      </c>
      <c r="F317" t="s">
        <v>502</v>
      </c>
      <c r="H317" s="25"/>
      <c r="I317" s="17"/>
    </row>
    <row r="318" spans="3:9" ht="15.75">
      <c r="C318" s="48" t="s">
        <v>500</v>
      </c>
      <c r="D318" s="27">
        <f>D317/(1-Cf.br/D315)</f>
        <v>1.100565127572849</v>
      </c>
      <c r="F318"/>
      <c r="H318" s="25"/>
      <c r="I318" s="17"/>
    </row>
    <row r="319" spans="3:9">
      <c r="C319" s="11"/>
      <c r="H319" s="25"/>
      <c r="I319" s="17"/>
    </row>
    <row r="320" spans="3:9">
      <c r="C320" s="11"/>
      <c r="H320" s="25"/>
      <c r="I320" s="17"/>
    </row>
    <row r="321" spans="1:11">
      <c r="C321" s="11"/>
      <c r="H321" s="25"/>
      <c r="I321" s="17"/>
    </row>
    <row r="322" spans="1:11">
      <c r="C322" s="11"/>
      <c r="H322" s="25"/>
      <c r="I322" s="17"/>
    </row>
    <row r="323" spans="1:11">
      <c r="C323" s="11"/>
      <c r="H323" s="25"/>
      <c r="I323" s="17"/>
    </row>
    <row r="324" spans="1:11">
      <c r="C324" s="11"/>
      <c r="H324" s="25"/>
      <c r="I324" s="17"/>
    </row>
    <row r="325" spans="1:11">
      <c r="C325" s="11"/>
      <c r="H325" s="25"/>
      <c r="I325" s="17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F335"/>
      <c r="G335"/>
      <c r="H335"/>
      <c r="I335"/>
      <c r="J335"/>
      <c r="K335"/>
    </row>
    <row r="336" spans="1:11">
      <c r="A336"/>
      <c r="C336" s="28" t="s">
        <v>26</v>
      </c>
      <c r="F336"/>
      <c r="G336"/>
      <c r="H336"/>
      <c r="I336"/>
      <c r="J336"/>
      <c r="K336"/>
    </row>
    <row r="337" spans="1:11">
      <c r="A337"/>
      <c r="F337"/>
      <c r="G337"/>
      <c r="H337"/>
      <c r="I337"/>
      <c r="J337"/>
      <c r="K337"/>
    </row>
    <row r="338" spans="1:11" ht="15.75">
      <c r="A338"/>
      <c r="C338" s="11" t="s">
        <v>504</v>
      </c>
      <c r="D338" s="36">
        <f>PHI.br*A.br*Fy.br/1000</f>
        <v>734.4</v>
      </c>
      <c r="E338" s="9" t="s">
        <v>12</v>
      </c>
      <c r="F338"/>
      <c r="G338" t="s">
        <v>515</v>
      </c>
      <c r="H338"/>
      <c r="I338"/>
      <c r="J338"/>
      <c r="K338"/>
    </row>
    <row r="339" spans="1:11" ht="15.75">
      <c r="A339"/>
      <c r="C339" s="11" t="s">
        <v>503</v>
      </c>
      <c r="D339" s="47">
        <f>PHI.br*Sx.br*Fy.br/10^6</f>
        <v>7.3710000000000004</v>
      </c>
      <c r="E339" s="9" t="s">
        <v>480</v>
      </c>
      <c r="F339"/>
      <c r="G339" s="9" t="s">
        <v>506</v>
      </c>
      <c r="H339"/>
      <c r="I339"/>
      <c r="J339"/>
      <c r="K339"/>
    </row>
    <row r="340" spans="1:11" ht="15.75">
      <c r="A340"/>
      <c r="C340" s="11" t="s">
        <v>505</v>
      </c>
      <c r="D340" s="47">
        <f>D281</f>
        <v>11.721059113300491</v>
      </c>
      <c r="E340" s="9" t="s">
        <v>480</v>
      </c>
      <c r="F340"/>
      <c r="G340" s="9" t="s">
        <v>522</v>
      </c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 ht="15.75">
      <c r="A342"/>
      <c r="C342" s="29" t="s">
        <v>507</v>
      </c>
      <c r="F342"/>
      <c r="G342"/>
      <c r="H342"/>
      <c r="I342"/>
      <c r="J342"/>
      <c r="K342"/>
    </row>
    <row r="343" spans="1:11" ht="15.75">
      <c r="A343"/>
      <c r="C343" s="48" t="s">
        <v>498</v>
      </c>
      <c r="D343" s="47">
        <f>MAX(1,$D$313)</f>
        <v>1.280599403091178</v>
      </c>
      <c r="F343"/>
      <c r="G343"/>
      <c r="H343"/>
      <c r="I343"/>
      <c r="J343"/>
      <c r="K343"/>
    </row>
    <row r="344" spans="1:11" ht="15.75">
      <c r="A344"/>
      <c r="C344" s="48" t="s">
        <v>500</v>
      </c>
      <c r="D344" s="47">
        <f>MAX(1,$D$318)</f>
        <v>1.100565127572849</v>
      </c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 ht="15.75">
      <c r="A346"/>
      <c r="C346" s="11" t="s">
        <v>509</v>
      </c>
      <c r="D346" s="47">
        <f>Cf.br/D338</f>
        <v>7.4891067538126369E-2</v>
      </c>
      <c r="E346" s="29"/>
      <c r="F346"/>
      <c r="G346"/>
      <c r="H346"/>
      <c r="I346"/>
      <c r="J346"/>
      <c r="K346"/>
    </row>
    <row r="347" spans="1:11" ht="15.75">
      <c r="A347"/>
      <c r="C347" s="11" t="s">
        <v>508</v>
      </c>
      <c r="D347" s="47">
        <f>D131/D339</f>
        <v>0.13776963776963777</v>
      </c>
      <c r="F347"/>
      <c r="G347"/>
      <c r="H347"/>
      <c r="I347"/>
      <c r="J347"/>
      <c r="K347"/>
    </row>
    <row r="348" spans="1:11" ht="15.75">
      <c r="A348"/>
      <c r="C348" s="11" t="s">
        <v>510</v>
      </c>
      <c r="D348" s="47">
        <f>D127/D340</f>
        <v>1.237089571841345E-2</v>
      </c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 ht="15">
      <c r="A350"/>
      <c r="D350" s="18" t="s">
        <v>514</v>
      </c>
      <c r="E350" s="51">
        <f>D346+D343*D347+D344*D348</f>
        <v>0.26493375985453838</v>
      </c>
      <c r="F350" s="50" t="s">
        <v>513</v>
      </c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F355"/>
      <c r="G355"/>
      <c r="H355"/>
      <c r="I355"/>
      <c r="J355"/>
      <c r="K355"/>
    </row>
    <row r="356" spans="1:11">
      <c r="A356"/>
      <c r="F356"/>
      <c r="G356"/>
      <c r="H356"/>
      <c r="I356"/>
      <c r="J356"/>
      <c r="K356"/>
    </row>
    <row r="357" spans="1:11">
      <c r="A357"/>
      <c r="F357"/>
      <c r="G357"/>
      <c r="H357"/>
      <c r="I357"/>
      <c r="J357"/>
      <c r="K357"/>
    </row>
    <row r="358" spans="1:11">
      <c r="A358"/>
      <c r="F358"/>
      <c r="G358"/>
      <c r="H358"/>
      <c r="I358"/>
      <c r="J358"/>
      <c r="K358"/>
    </row>
    <row r="359" spans="1:11">
      <c r="A359"/>
      <c r="F359"/>
      <c r="G359"/>
      <c r="H359"/>
      <c r="I359"/>
      <c r="J359"/>
      <c r="K359"/>
    </row>
    <row r="360" spans="1:11">
      <c r="A360"/>
      <c r="F360"/>
      <c r="G360"/>
      <c r="H360"/>
      <c r="I360"/>
      <c r="J360"/>
      <c r="K360"/>
    </row>
    <row r="361" spans="1:11">
      <c r="A361"/>
      <c r="F361"/>
      <c r="G361"/>
      <c r="H361"/>
      <c r="I361"/>
      <c r="J361"/>
      <c r="K361"/>
    </row>
    <row r="362" spans="1:11">
      <c r="A362"/>
      <c r="F362"/>
      <c r="G362"/>
      <c r="H362"/>
      <c r="I362"/>
      <c r="J362"/>
      <c r="K362"/>
    </row>
    <row r="363" spans="1:11">
      <c r="A363"/>
      <c r="F363"/>
      <c r="G363"/>
      <c r="H363"/>
      <c r="I363"/>
      <c r="J363"/>
      <c r="K363"/>
    </row>
    <row r="364" spans="1:11">
      <c r="A364"/>
      <c r="F364"/>
      <c r="G364"/>
      <c r="H364"/>
      <c r="I364"/>
      <c r="J364"/>
      <c r="K364"/>
    </row>
    <row r="365" spans="1:11">
      <c r="A365"/>
      <c r="F365"/>
      <c r="G365"/>
      <c r="H365"/>
      <c r="I365"/>
      <c r="J365"/>
      <c r="K365"/>
    </row>
    <row r="366" spans="1:11">
      <c r="A366"/>
      <c r="F366"/>
      <c r="G366"/>
      <c r="H366"/>
      <c r="I366"/>
      <c r="J366"/>
      <c r="K366"/>
    </row>
    <row r="367" spans="1:11">
      <c r="A367"/>
      <c r="F367"/>
      <c r="G367"/>
      <c r="H367"/>
      <c r="I367"/>
      <c r="J367"/>
      <c r="K367"/>
    </row>
    <row r="368" spans="1:11">
      <c r="A368"/>
      <c r="B368" s="11"/>
      <c r="C368" s="11"/>
      <c r="D368" s="11"/>
    </row>
    <row r="369" spans="1:7">
      <c r="A369"/>
      <c r="B369" s="11"/>
      <c r="C369" s="28" t="s">
        <v>27</v>
      </c>
      <c r="D369" s="11"/>
    </row>
    <row r="370" spans="1:7" ht="15.75">
      <c r="A370"/>
      <c r="B370" s="11"/>
      <c r="C370" s="11" t="s">
        <v>504</v>
      </c>
      <c r="D370" s="35">
        <f>PHI.br*A.br*Fy.br*(1+Lambda.br^(2*n.br))^(-1/n.br)/1000</f>
        <v>195.770781847141</v>
      </c>
      <c r="E370" s="9" t="s">
        <v>12</v>
      </c>
      <c r="F370"/>
      <c r="G370" t="s">
        <v>511</v>
      </c>
    </row>
    <row r="371" spans="1:7" ht="15.75">
      <c r="A371"/>
      <c r="B371" s="11"/>
      <c r="C371" s="11" t="s">
        <v>503</v>
      </c>
      <c r="D371" s="47">
        <f>PHI.br*Sx.br*Fy.br/10^6</f>
        <v>7.3710000000000004</v>
      </c>
      <c r="E371" s="9" t="s">
        <v>480</v>
      </c>
      <c r="F371"/>
      <c r="G371" s="9" t="s">
        <v>506</v>
      </c>
    </row>
    <row r="372" spans="1:7" ht="15.75">
      <c r="A372"/>
      <c r="B372" s="11"/>
      <c r="C372" s="11" t="s">
        <v>505</v>
      </c>
      <c r="D372" s="47">
        <f>D281</f>
        <v>11.721059113300491</v>
      </c>
      <c r="E372" s="9" t="s">
        <v>480</v>
      </c>
      <c r="F372"/>
      <c r="G372" s="9" t="s">
        <v>522</v>
      </c>
    </row>
    <row r="373" spans="1:7">
      <c r="A373"/>
      <c r="B373" s="11"/>
      <c r="F373"/>
      <c r="G373"/>
    </row>
    <row r="374" spans="1:7" ht="15.75">
      <c r="A374"/>
      <c r="B374" s="11"/>
      <c r="C374" s="29" t="s">
        <v>507</v>
      </c>
      <c r="F374"/>
      <c r="G374"/>
    </row>
    <row r="375" spans="1:7" ht="15.75">
      <c r="A375"/>
      <c r="B375" s="11"/>
      <c r="C375" s="48" t="s">
        <v>498</v>
      </c>
      <c r="D375" s="47">
        <f>MAX(1,$D$313)</f>
        <v>1.280599403091178</v>
      </c>
      <c r="F375"/>
      <c r="G375"/>
    </row>
    <row r="376" spans="1:7" ht="15.75">
      <c r="A376"/>
      <c r="B376" s="11"/>
      <c r="C376" s="48" t="s">
        <v>500</v>
      </c>
      <c r="D376" s="47">
        <f>MAX(1,$D$318)</f>
        <v>1.100565127572849</v>
      </c>
      <c r="F376"/>
      <c r="G376"/>
    </row>
    <row r="377" spans="1:7">
      <c r="A377"/>
      <c r="B377" s="11"/>
      <c r="F377"/>
      <c r="G377"/>
    </row>
    <row r="378" spans="1:7" ht="15.75">
      <c r="A378"/>
      <c r="B378" s="11"/>
      <c r="C378" s="11" t="s">
        <v>509</v>
      </c>
      <c r="D378" s="47">
        <f>Cf.br/D370</f>
        <v>0.28094079964876645</v>
      </c>
      <c r="E378" s="29"/>
      <c r="F378"/>
      <c r="G378"/>
    </row>
    <row r="379" spans="1:7" ht="15.75">
      <c r="A379"/>
      <c r="B379" s="11"/>
      <c r="C379" s="11" t="s">
        <v>508</v>
      </c>
      <c r="D379" s="47">
        <f>D131/D371</f>
        <v>0.13776963776963777</v>
      </c>
      <c r="F379"/>
      <c r="G379"/>
    </row>
    <row r="380" spans="1:7" ht="15.75">
      <c r="A380"/>
      <c r="B380" s="11"/>
      <c r="C380" s="11" t="s">
        <v>510</v>
      </c>
      <c r="D380" s="47">
        <f>D127/D372</f>
        <v>1.237089571841345E-2</v>
      </c>
      <c r="F380"/>
      <c r="G380"/>
    </row>
    <row r="381" spans="1:7">
      <c r="A381"/>
      <c r="B381" s="11"/>
      <c r="F381"/>
      <c r="G381"/>
    </row>
    <row r="382" spans="1:7" s="9" customFormat="1">
      <c r="A382"/>
      <c r="B382" s="11"/>
      <c r="C382" s="11"/>
      <c r="D382" s="18" t="s">
        <v>514</v>
      </c>
      <c r="E382" s="51">
        <f>D378+D375*D379+D376*D380</f>
        <v>0.47098349196517852</v>
      </c>
      <c r="F382" s="50" t="s">
        <v>513</v>
      </c>
    </row>
    <row r="383" spans="1:7" s="9" customFormat="1" ht="12.75">
      <c r="A383"/>
      <c r="B383" s="11"/>
      <c r="C383" s="11"/>
      <c r="D383" s="11"/>
    </row>
    <row r="384" spans="1:7" s="9" customFormat="1" ht="12.75">
      <c r="A384"/>
      <c r="B384" s="11"/>
      <c r="C384" s="11"/>
      <c r="D384" s="11"/>
    </row>
    <row r="385" spans="1:7" s="9" customFormat="1" ht="12.75">
      <c r="A385"/>
      <c r="B385" s="11"/>
      <c r="C385" s="11"/>
      <c r="D385" s="11"/>
    </row>
    <row r="386" spans="1:7" s="9" customFormat="1" ht="12.75">
      <c r="A386"/>
      <c r="B386" s="11"/>
      <c r="C386" s="11"/>
      <c r="D386" s="11"/>
    </row>
    <row r="387" spans="1:7" s="9" customFormat="1" ht="12.75">
      <c r="A387"/>
      <c r="B387" s="11"/>
      <c r="C387" s="28" t="s">
        <v>28</v>
      </c>
      <c r="D387" s="11"/>
    </row>
    <row r="388" spans="1:7" s="9" customFormat="1" ht="15.75">
      <c r="A388"/>
      <c r="B388" s="11"/>
      <c r="C388" s="11" t="s">
        <v>504</v>
      </c>
      <c r="D388" s="35">
        <f>PHI.br*A.br*Fy.br*(1+Lambda.br^(2*n.br))^(-1/n.br)/1000</f>
        <v>195.770781847141</v>
      </c>
      <c r="E388" s="9" t="s">
        <v>12</v>
      </c>
      <c r="F388"/>
      <c r="G388" t="s">
        <v>511</v>
      </c>
    </row>
    <row r="389" spans="1:7" s="9" customFormat="1" ht="15.75">
      <c r="A389"/>
      <c r="B389" s="11"/>
      <c r="C389" s="11" t="s">
        <v>503</v>
      </c>
      <c r="D389" s="47">
        <f>D273</f>
        <v>7.2333124491219483</v>
      </c>
      <c r="E389" s="9" t="s">
        <v>480</v>
      </c>
      <c r="F389"/>
      <c r="G389" s="29" t="s">
        <v>516</v>
      </c>
    </row>
    <row r="390" spans="1:7" s="9" customFormat="1" ht="15.75">
      <c r="A390"/>
      <c r="C390" s="11" t="s">
        <v>505</v>
      </c>
      <c r="D390" s="47">
        <f>D281</f>
        <v>11.721059113300491</v>
      </c>
      <c r="E390" s="9" t="s">
        <v>480</v>
      </c>
      <c r="F390"/>
      <c r="G390" s="9" t="s">
        <v>522</v>
      </c>
    </row>
    <row r="391" spans="1:7" s="9" customFormat="1" ht="12.75">
      <c r="A391"/>
      <c r="F391"/>
      <c r="G391"/>
    </row>
    <row r="392" spans="1:7" s="9" customFormat="1" ht="15.75">
      <c r="A392"/>
      <c r="C392" s="29" t="s">
        <v>507</v>
      </c>
      <c r="F392"/>
      <c r="G392"/>
    </row>
    <row r="393" spans="1:7" s="9" customFormat="1" ht="15.75">
      <c r="A393"/>
      <c r="C393" s="48" t="s">
        <v>498</v>
      </c>
      <c r="D393" s="47">
        <f>MAX(1,$D$313)</f>
        <v>1.280599403091178</v>
      </c>
      <c r="F393"/>
      <c r="G393"/>
    </row>
    <row r="394" spans="1:7" s="9" customFormat="1" ht="15.75">
      <c r="A394"/>
      <c r="C394" s="48" t="s">
        <v>500</v>
      </c>
      <c r="D394" s="47">
        <f>MAX(1,$D$318)</f>
        <v>1.100565127572849</v>
      </c>
      <c r="F394"/>
      <c r="G394"/>
    </row>
    <row r="395" spans="1:7" s="9" customFormat="1" ht="12.75">
      <c r="A395"/>
      <c r="F395"/>
      <c r="G395"/>
    </row>
    <row r="396" spans="1:7" s="9" customFormat="1" ht="15.75">
      <c r="A396"/>
      <c r="C396" s="11" t="s">
        <v>509</v>
      </c>
      <c r="D396" s="47">
        <f>Cf.br/D388</f>
        <v>0.28094079964876645</v>
      </c>
      <c r="E396" s="29"/>
      <c r="F396"/>
      <c r="G396"/>
    </row>
    <row r="397" spans="1:7" s="9" customFormat="1" ht="15.75">
      <c r="A397"/>
      <c r="C397" s="11" t="s">
        <v>508</v>
      </c>
      <c r="D397" s="47">
        <f>D131/D389</f>
        <v>0.14039211041177568</v>
      </c>
      <c r="F397"/>
      <c r="G397"/>
    </row>
    <row r="398" spans="1:7" ht="15.75">
      <c r="A398"/>
      <c r="C398" s="11" t="s">
        <v>510</v>
      </c>
      <c r="D398" s="47">
        <f>D127/D390</f>
        <v>1.237089571841345E-2</v>
      </c>
      <c r="F398"/>
      <c r="G398"/>
    </row>
    <row r="399" spans="1:7">
      <c r="A399"/>
      <c r="F399"/>
      <c r="G399"/>
    </row>
    <row r="400" spans="1:7" ht="15">
      <c r="A400"/>
      <c r="C400" s="11"/>
      <c r="D400" s="18" t="s">
        <v>514</v>
      </c>
      <c r="E400" s="51">
        <f>D396+D393*D397+D394*D398</f>
        <v>0.47434182886532328</v>
      </c>
      <c r="F400" s="50" t="s">
        <v>513</v>
      </c>
    </row>
    <row r="401" spans="1:11">
      <c r="A401"/>
      <c r="C401"/>
      <c r="D401"/>
      <c r="E401"/>
    </row>
    <row r="402" spans="1:11">
      <c r="A402"/>
      <c r="C402"/>
      <c r="D402"/>
      <c r="E402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28" t="s">
        <v>29</v>
      </c>
      <c r="D404" s="11"/>
      <c r="I404" s="25"/>
      <c r="J404" s="17"/>
      <c r="K404" s="11"/>
    </row>
    <row r="405" spans="1:11" ht="15.75">
      <c r="A405"/>
      <c r="B405" s="11"/>
      <c r="C405" s="11" t="s">
        <v>503</v>
      </c>
      <c r="D405" s="47">
        <f>D273</f>
        <v>7.2333124491219483</v>
      </c>
      <c r="E405" s="9" t="s">
        <v>480</v>
      </c>
      <c r="G405" s="29" t="s">
        <v>516</v>
      </c>
      <c r="I405" s="25"/>
      <c r="J405" s="17"/>
      <c r="K405" s="11"/>
    </row>
    <row r="406" spans="1:11" ht="15.75">
      <c r="A406"/>
      <c r="B406" s="11"/>
      <c r="C406" s="11" t="s">
        <v>505</v>
      </c>
      <c r="D406" s="47">
        <f>D281</f>
        <v>11.721059113300491</v>
      </c>
      <c r="E406" s="9" t="s">
        <v>480</v>
      </c>
      <c r="G406" s="9" t="s">
        <v>522</v>
      </c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 ht="15.75">
      <c r="A408"/>
      <c r="B408" s="11"/>
      <c r="C408" s="11" t="s">
        <v>508</v>
      </c>
      <c r="D408" s="47">
        <f>D131/D405</f>
        <v>0.14039211041177568</v>
      </c>
      <c r="I408" s="25"/>
      <c r="J408" s="17"/>
      <c r="K408" s="11"/>
    </row>
    <row r="409" spans="1:11" ht="15.75">
      <c r="A409"/>
      <c r="B409" s="11"/>
      <c r="C409" s="11" t="s">
        <v>510</v>
      </c>
      <c r="D409" s="47">
        <f>D127/D406</f>
        <v>1.237089571841345E-2</v>
      </c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 ht="15">
      <c r="A411"/>
      <c r="B411" s="11"/>
      <c r="C411" s="11"/>
      <c r="D411" s="18" t="s">
        <v>517</v>
      </c>
      <c r="E411" s="51">
        <f>D408+D409</f>
        <v>0.15276300613018914</v>
      </c>
      <c r="F411" s="50" t="s">
        <v>513</v>
      </c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B413" s="11"/>
      <c r="C413" s="11"/>
      <c r="D413" s="11"/>
      <c r="I413" s="25"/>
      <c r="J413" s="17"/>
      <c r="K413" s="11"/>
    </row>
    <row r="414" spans="1:11">
      <c r="A414"/>
      <c r="B414" s="11"/>
      <c r="C414" s="11"/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A416"/>
      <c r="B416" s="11"/>
      <c r="C416" s="11"/>
      <c r="D416" s="11"/>
      <c r="I416" s="25"/>
      <c r="J416" s="17"/>
      <c r="K416" s="11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6" spans="1:11">
      <c r="A426"/>
      <c r="B426" s="11"/>
      <c r="C426" s="11"/>
      <c r="D426" s="11"/>
      <c r="I426" s="25"/>
      <c r="J426" s="17"/>
      <c r="K426" s="11"/>
    </row>
    <row r="427" spans="1:11">
      <c r="A427"/>
      <c r="C427"/>
      <c r="D427"/>
      <c r="E427"/>
      <c r="F427"/>
      <c r="G427"/>
      <c r="H427"/>
      <c r="I427"/>
      <c r="J427"/>
      <c r="K427"/>
    </row>
    <row r="428" spans="1:11">
      <c r="B428" s="11"/>
      <c r="C428" s="15" t="s">
        <v>518</v>
      </c>
      <c r="D428" s="11"/>
      <c r="I428" s="25"/>
      <c r="J428" s="17"/>
      <c r="K428" s="11"/>
    </row>
    <row r="429" spans="1:11">
      <c r="A429"/>
      <c r="B429" s="11"/>
      <c r="C429" s="11"/>
      <c r="D429" s="11"/>
      <c r="I429" s="25"/>
      <c r="J429" s="17"/>
      <c r="K429" s="11"/>
    </row>
    <row r="430" spans="1:11">
      <c r="C430" s="11"/>
      <c r="H430" s="25"/>
      <c r="I430" s="17"/>
    </row>
    <row r="431" spans="1:11">
      <c r="A431"/>
      <c r="B431" s="11"/>
      <c r="C431" s="11"/>
      <c r="D431" s="11"/>
      <c r="I431" s="25"/>
      <c r="J431" s="17"/>
      <c r="K431" s="11"/>
    </row>
    <row r="432" spans="1:11">
      <c r="A432"/>
      <c r="B432" s="11"/>
      <c r="C432" s="11"/>
      <c r="D432" s="11"/>
      <c r="I432" s="25"/>
      <c r="J432" s="17"/>
      <c r="K432" s="11"/>
    </row>
    <row r="433" spans="1:11">
      <c r="A433"/>
      <c r="B433" s="11"/>
      <c r="C433" s="11"/>
      <c r="D433" s="11"/>
      <c r="I433" s="25"/>
      <c r="J433" s="17"/>
      <c r="K433" s="11"/>
    </row>
    <row r="434" spans="1:11">
      <c r="A434"/>
      <c r="B434" s="11"/>
      <c r="C434" s="11"/>
      <c r="D434" s="11"/>
      <c r="I434" s="25"/>
      <c r="J434" s="17"/>
      <c r="K434" s="11"/>
    </row>
    <row r="435" spans="1:11">
      <c r="A435"/>
      <c r="B435" s="11"/>
      <c r="C435" s="11"/>
      <c r="D435" s="11"/>
      <c r="I435" s="25"/>
      <c r="J435" s="17"/>
      <c r="K435" s="11"/>
    </row>
    <row r="436" spans="1:11">
      <c r="A436"/>
      <c r="B436" s="11"/>
      <c r="C436" s="11"/>
      <c r="D436" s="11"/>
      <c r="I436" s="25"/>
      <c r="J436" s="17"/>
      <c r="K436" s="11"/>
    </row>
    <row r="437" spans="1:11">
      <c r="A437"/>
      <c r="B437" s="11"/>
      <c r="C437" s="11"/>
      <c r="D437" s="11"/>
      <c r="I437" s="25"/>
      <c r="J437" s="17"/>
      <c r="K437" s="11"/>
    </row>
    <row r="438" spans="1:11">
      <c r="A438"/>
      <c r="B438" s="11"/>
      <c r="C438" s="11"/>
      <c r="D438" s="11"/>
      <c r="I438" s="25"/>
      <c r="J438" s="17"/>
      <c r="K438" s="11"/>
    </row>
    <row r="439" spans="1:11">
      <c r="A439"/>
      <c r="B439" s="11"/>
      <c r="C439" s="11"/>
      <c r="D439" s="11"/>
      <c r="I439" s="25"/>
      <c r="J439" s="17"/>
      <c r="K439" s="11"/>
    </row>
    <row r="441" spans="1:11">
      <c r="C441" s="28" t="s">
        <v>30</v>
      </c>
    </row>
    <row r="442" spans="1:11" ht="15.75">
      <c r="C442" s="11" t="s">
        <v>519</v>
      </c>
      <c r="D442" s="35">
        <f>E199</f>
        <v>688.5</v>
      </c>
      <c r="E442" s="9" t="s">
        <v>12</v>
      </c>
      <c r="F442"/>
      <c r="G442"/>
    </row>
    <row r="443" spans="1:11" ht="15.75">
      <c r="C443" s="11" t="s">
        <v>503</v>
      </c>
      <c r="D443" s="47">
        <f>PHI.br*Sx.br*Fy.br/10^6</f>
        <v>7.3710000000000004</v>
      </c>
      <c r="E443" s="9" t="s">
        <v>480</v>
      </c>
      <c r="F443"/>
      <c r="G443" s="9" t="s">
        <v>506</v>
      </c>
    </row>
    <row r="444" spans="1:11" ht="15.75">
      <c r="C444" s="11" t="s">
        <v>505</v>
      </c>
      <c r="D444" s="47">
        <f>D281</f>
        <v>11.721059113300491</v>
      </c>
      <c r="E444" s="9" t="s">
        <v>480</v>
      </c>
      <c r="F444"/>
      <c r="G444" s="9" t="s">
        <v>522</v>
      </c>
    </row>
    <row r="446" spans="1:11" ht="15.75">
      <c r="C446" s="11" t="s">
        <v>520</v>
      </c>
      <c r="D446" s="47">
        <f>Tf.br/D442</f>
        <v>6.535947712418301E-2</v>
      </c>
      <c r="E446" s="29"/>
      <c r="F446"/>
    </row>
    <row r="447" spans="1:11" s="9" customFormat="1" ht="15.75">
      <c r="C447" s="11" t="s">
        <v>508</v>
      </c>
      <c r="D447" s="47">
        <f>D131/D443</f>
        <v>0.13776963776963777</v>
      </c>
      <c r="F447"/>
    </row>
    <row r="448" spans="1:11" s="9" customFormat="1" ht="15.75">
      <c r="C448" s="11" t="s">
        <v>510</v>
      </c>
      <c r="D448" s="47">
        <f>D127/D444</f>
        <v>1.237089571841345E-2</v>
      </c>
      <c r="F448"/>
    </row>
    <row r="449" spans="3:6" s="9" customFormat="1" ht="12.75">
      <c r="F449"/>
    </row>
    <row r="450" spans="3:6" s="9" customFormat="1">
      <c r="C450" s="11"/>
      <c r="D450" s="18" t="s">
        <v>521</v>
      </c>
      <c r="E450" s="51">
        <f>D446+D447+D448</f>
        <v>0.21550001061223426</v>
      </c>
      <c r="F450" s="50" t="s">
        <v>513</v>
      </c>
    </row>
    <row r="462" spans="3:6" s="9" customFormat="1" ht="12.75">
      <c r="C462" s="28" t="s">
        <v>523</v>
      </c>
    </row>
    <row r="463" spans="3:6" s="9" customFormat="1" ht="15.75">
      <c r="C463" s="9" t="s">
        <v>524</v>
      </c>
    </row>
    <row r="465" spans="3:7" s="9" customFormat="1" ht="15.75">
      <c r="C465" s="11" t="s">
        <v>503</v>
      </c>
      <c r="D465" s="47">
        <f>D273</f>
        <v>7.2333124491219483</v>
      </c>
      <c r="E465" s="9" t="s">
        <v>480</v>
      </c>
      <c r="F465"/>
      <c r="G465" s="29" t="s">
        <v>516</v>
      </c>
    </row>
    <row r="466" spans="3:7" s="9" customFormat="1" ht="15.75">
      <c r="C466" s="11" t="s">
        <v>505</v>
      </c>
      <c r="D466" s="47">
        <f>D281</f>
        <v>11.721059113300491</v>
      </c>
      <c r="E466" s="9" t="s">
        <v>480</v>
      </c>
      <c r="F466"/>
      <c r="G466" s="9" t="s">
        <v>522</v>
      </c>
    </row>
    <row r="468" spans="3:7" s="9" customFormat="1" ht="15.75">
      <c r="C468" s="11" t="s">
        <v>526</v>
      </c>
      <c r="D468" s="47">
        <f>Tf.br*Sx.br/(D465*A.br)/1000</f>
        <v>6.2440882367736275E-2</v>
      </c>
      <c r="E468" s="29"/>
      <c r="F468"/>
    </row>
    <row r="469" spans="3:7" s="9" customFormat="1" ht="15.75">
      <c r="C469" s="11" t="s">
        <v>508</v>
      </c>
      <c r="D469" s="47">
        <f>D131/D465</f>
        <v>0.14039211041177568</v>
      </c>
      <c r="F469"/>
    </row>
    <row r="470" spans="3:7" s="9" customFormat="1" ht="15.75">
      <c r="C470" s="11" t="s">
        <v>510</v>
      </c>
      <c r="D470" s="47">
        <f>D127/D466</f>
        <v>1.237089571841345E-2</v>
      </c>
      <c r="F470"/>
    </row>
    <row r="471" spans="3:7" s="9" customFormat="1" ht="12.75">
      <c r="F471"/>
    </row>
    <row r="472" spans="3:7" s="9" customFormat="1">
      <c r="C472" s="11"/>
      <c r="D472" s="18" t="s">
        <v>525</v>
      </c>
      <c r="E472" s="51">
        <f>D469+D470-D468</f>
        <v>9.0322123762452869E-2</v>
      </c>
      <c r="F472" s="50" t="s">
        <v>513</v>
      </c>
    </row>
  </sheetData>
  <mergeCells count="1">
    <mergeCell ref="D189:K190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NP
Date: 25-Feb-2026
Revision: 0</oddHeader>
    <oddFooter>&amp;LContractor Document No:  F3KY-215-CAL-031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38D249A-C95D-451B-BB55-3761E33ACA8D}">
          <x14:formula1>
            <xm:f>'2L_Database'!$B$79:$B$218</xm:f>
          </x14:formula1>
          <xm:sqref>D73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1DE7-AABA-4436-9784-C734B20E1F13}">
  <sheetPr>
    <pageSetUpPr fitToPage="1"/>
  </sheetPr>
  <dimension ref="A1:L471"/>
  <sheetViews>
    <sheetView view="pageBreakPreview" zoomScale="115" zoomScaleNormal="100" zoomScaleSheetLayoutView="115" workbookViewId="0">
      <selection activeCell="E398" sqref="E398"/>
    </sheetView>
  </sheetViews>
  <sheetFormatPr defaultRowHeight="14.25"/>
  <cols>
    <col min="1" max="1" width="2.85546875" style="9" customWidth="1"/>
    <col min="2" max="2" width="11.5703125" style="9" customWidth="1"/>
    <col min="3" max="3" width="10.85546875" style="9" customWidth="1"/>
    <col min="4" max="4" width="13.85546875" style="9" customWidth="1"/>
    <col min="5" max="5" width="12.28515625" style="9" customWidth="1"/>
    <col min="6" max="6" width="10.28515625" style="9" customWidth="1"/>
    <col min="7" max="7" width="12.85546875" style="9" customWidth="1"/>
    <col min="8" max="8" width="12.28515625" style="9" customWidth="1"/>
    <col min="9" max="9" width="12" style="9" customWidth="1"/>
    <col min="10" max="10" width="10.7109375" style="9" customWidth="1"/>
    <col min="11" max="11" width="9.85546875" style="9" customWidth="1"/>
    <col min="12" max="16384" width="9.140625" style="54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 s="8" t="s">
        <v>355</v>
      </c>
      <c r="C2"/>
      <c r="D2"/>
      <c r="E2"/>
      <c r="F2"/>
      <c r="G2"/>
      <c r="H2"/>
      <c r="I2"/>
      <c r="J2"/>
      <c r="K2"/>
    </row>
    <row r="3" spans="1:11">
      <c r="A3"/>
      <c r="B3" s="8"/>
      <c r="C3"/>
      <c r="D3"/>
      <c r="E3"/>
      <c r="F3"/>
      <c r="G3"/>
      <c r="H3"/>
      <c r="I3"/>
      <c r="J3"/>
      <c r="K3"/>
    </row>
    <row r="4" spans="1:11">
      <c r="A4"/>
      <c r="B4"/>
      <c r="C4" s="30" t="s">
        <v>356</v>
      </c>
      <c r="D4" s="52" t="s">
        <v>544</v>
      </c>
      <c r="E4"/>
      <c r="F4"/>
      <c r="G4"/>
      <c r="H4"/>
      <c r="I4"/>
      <c r="J4"/>
      <c r="K4"/>
    </row>
    <row r="5" spans="1:11">
      <c r="A5"/>
      <c r="B5" s="8"/>
      <c r="C5"/>
      <c r="D5"/>
      <c r="E5"/>
      <c r="F5"/>
      <c r="G5"/>
      <c r="H5"/>
      <c r="I5"/>
      <c r="J5"/>
      <c r="K5"/>
    </row>
    <row r="6" spans="1:11">
      <c r="A6"/>
      <c r="B6" s="8"/>
      <c r="C6"/>
      <c r="D6"/>
      <c r="E6"/>
      <c r="F6"/>
      <c r="G6"/>
      <c r="H6"/>
      <c r="I6"/>
      <c r="J6"/>
      <c r="K6"/>
    </row>
    <row r="7" spans="1:11">
      <c r="A7"/>
      <c r="B7" s="8"/>
      <c r="C7"/>
      <c r="D7"/>
      <c r="E7"/>
      <c r="F7"/>
      <c r="G7"/>
      <c r="H7"/>
      <c r="I7"/>
      <c r="J7"/>
      <c r="K7"/>
    </row>
    <row r="8" spans="1:11">
      <c r="A8"/>
      <c r="B8" s="8"/>
      <c r="C8"/>
      <c r="D8"/>
      <c r="E8"/>
      <c r="F8"/>
      <c r="G8"/>
      <c r="H8"/>
      <c r="I8"/>
      <c r="J8"/>
      <c r="K8"/>
    </row>
    <row r="9" spans="1:11">
      <c r="A9"/>
      <c r="B9" s="8"/>
      <c r="C9"/>
      <c r="D9"/>
      <c r="E9"/>
      <c r="F9"/>
      <c r="G9"/>
      <c r="H9"/>
      <c r="I9"/>
      <c r="J9"/>
      <c r="K9"/>
    </row>
    <row r="10" spans="1:11">
      <c r="A10"/>
      <c r="B10" s="8"/>
      <c r="C10"/>
      <c r="D10"/>
      <c r="E10"/>
      <c r="F10"/>
      <c r="G10"/>
      <c r="H10"/>
      <c r="I10"/>
      <c r="J10"/>
      <c r="K10"/>
    </row>
    <row r="11" spans="1:11">
      <c r="A11"/>
      <c r="B11" s="8"/>
      <c r="C11"/>
      <c r="D11"/>
      <c r="E11"/>
      <c r="F11"/>
      <c r="G11"/>
      <c r="H11"/>
      <c r="I11"/>
      <c r="J11"/>
      <c r="K11"/>
    </row>
    <row r="12" spans="1:11">
      <c r="A12"/>
      <c r="B12" s="8"/>
      <c r="C12"/>
      <c r="D12"/>
      <c r="E12"/>
      <c r="F12"/>
      <c r="G12"/>
      <c r="H12"/>
      <c r="I12"/>
      <c r="J12"/>
      <c r="K12"/>
    </row>
    <row r="13" spans="1:11">
      <c r="A13"/>
      <c r="B13" s="8"/>
      <c r="C13"/>
      <c r="D13"/>
      <c r="E13"/>
      <c r="F13"/>
      <c r="G13"/>
      <c r="H13"/>
      <c r="I13"/>
      <c r="J13"/>
      <c r="K13"/>
    </row>
    <row r="14" spans="1:11">
      <c r="A14"/>
      <c r="B14" s="8"/>
      <c r="C14"/>
      <c r="D14"/>
      <c r="E14"/>
      <c r="F14"/>
      <c r="G14"/>
      <c r="H14"/>
      <c r="I14"/>
      <c r="J14"/>
      <c r="K14"/>
    </row>
    <row r="15" spans="1:11">
      <c r="A15"/>
      <c r="B15" s="8"/>
      <c r="C15"/>
      <c r="D15"/>
      <c r="E15"/>
      <c r="F15"/>
      <c r="G15"/>
      <c r="H15"/>
      <c r="I15"/>
      <c r="J15"/>
      <c r="K15"/>
    </row>
    <row r="16" spans="1:11">
      <c r="A16"/>
      <c r="B16" s="8"/>
      <c r="C16"/>
      <c r="D16"/>
      <c r="E16"/>
      <c r="F16"/>
      <c r="G16"/>
      <c r="H16"/>
      <c r="I16"/>
      <c r="J16"/>
      <c r="K16"/>
    </row>
    <row r="17" spans="1:11">
      <c r="A17"/>
      <c r="B17" s="8"/>
      <c r="C17"/>
      <c r="D17"/>
      <c r="E17"/>
      <c r="F17"/>
      <c r="G17"/>
      <c r="H17"/>
      <c r="I17"/>
      <c r="J17"/>
      <c r="K17"/>
    </row>
    <row r="18" spans="1:11">
      <c r="A18"/>
      <c r="B18" s="8"/>
      <c r="C18"/>
      <c r="D18"/>
      <c r="E18"/>
      <c r="F18"/>
      <c r="G18"/>
      <c r="H18"/>
      <c r="I18"/>
      <c r="J18"/>
      <c r="K18"/>
    </row>
    <row r="19" spans="1:11">
      <c r="A19"/>
      <c r="B19" s="8"/>
      <c r="C19"/>
      <c r="D19"/>
      <c r="E19"/>
      <c r="F19"/>
      <c r="G19"/>
      <c r="H19"/>
      <c r="I19"/>
      <c r="J19"/>
      <c r="K19"/>
    </row>
    <row r="20" spans="1:11">
      <c r="A20"/>
      <c r="B20" s="8"/>
      <c r="C20"/>
      <c r="D20"/>
      <c r="E20"/>
      <c r="F20"/>
      <c r="G20"/>
      <c r="H20"/>
      <c r="I20"/>
      <c r="J20"/>
      <c r="K20"/>
    </row>
    <row r="21" spans="1:11">
      <c r="A21"/>
      <c r="B21" s="8"/>
      <c r="C21"/>
      <c r="D21"/>
      <c r="E21"/>
      <c r="F21"/>
      <c r="G21"/>
      <c r="H21"/>
      <c r="I21"/>
      <c r="J21"/>
      <c r="K21"/>
    </row>
    <row r="22" spans="1:11">
      <c r="A22"/>
      <c r="B22" s="8"/>
      <c r="C22"/>
      <c r="D22"/>
      <c r="E22"/>
      <c r="F22"/>
      <c r="G22"/>
      <c r="H22"/>
      <c r="I22"/>
      <c r="J22"/>
      <c r="K22"/>
    </row>
    <row r="23" spans="1:11">
      <c r="A23"/>
      <c r="B23" s="8"/>
      <c r="C23"/>
      <c r="D23"/>
      <c r="E23"/>
      <c r="F23"/>
      <c r="G23"/>
      <c r="H23"/>
      <c r="I23"/>
      <c r="J23"/>
      <c r="K23"/>
    </row>
    <row r="24" spans="1:11">
      <c r="A24"/>
      <c r="B24" s="8"/>
      <c r="C24"/>
      <c r="D24"/>
      <c r="E24"/>
      <c r="F24"/>
      <c r="G24"/>
      <c r="H24"/>
      <c r="I24"/>
      <c r="J24"/>
      <c r="K24"/>
    </row>
    <row r="25" spans="1:11">
      <c r="A25"/>
      <c r="B25" s="8"/>
      <c r="C25" s="8"/>
      <c r="D25"/>
      <c r="E25"/>
      <c r="F25"/>
      <c r="G25"/>
      <c r="H25"/>
      <c r="I25"/>
      <c r="J25"/>
      <c r="K25"/>
    </row>
    <row r="26" spans="1:11">
      <c r="A26"/>
      <c r="B26" s="53" t="s">
        <v>542</v>
      </c>
      <c r="C26" s="8"/>
      <c r="D26"/>
      <c r="E26"/>
      <c r="F26"/>
      <c r="G26"/>
      <c r="H26"/>
      <c r="I26"/>
      <c r="J26"/>
      <c r="K26"/>
    </row>
    <row r="45" spans="2:6" s="9" customFormat="1" ht="12.75">
      <c r="B45" s="9" t="s">
        <v>537</v>
      </c>
    </row>
    <row r="47" spans="2:6" s="9" customFormat="1" ht="15.75">
      <c r="C47" s="11" t="s">
        <v>530</v>
      </c>
      <c r="D47" s="42">
        <v>40</v>
      </c>
      <c r="E47" s="9" t="s">
        <v>12</v>
      </c>
      <c r="F47" s="9" t="s">
        <v>428</v>
      </c>
    </row>
    <row r="48" spans="2:6" s="9" customFormat="1" ht="15.75">
      <c r="C48" s="11" t="s">
        <v>531</v>
      </c>
      <c r="D48" s="42">
        <v>40</v>
      </c>
      <c r="E48" s="9" t="s">
        <v>12</v>
      </c>
      <c r="F48" s="9" t="s">
        <v>429</v>
      </c>
    </row>
    <row r="49" spans="2:6" s="9" customFormat="1" ht="15.75">
      <c r="C49" s="11" t="s">
        <v>532</v>
      </c>
      <c r="D49" s="42">
        <v>0.17</v>
      </c>
      <c r="E49" s="9" t="s">
        <v>25</v>
      </c>
      <c r="F49" s="9" t="s">
        <v>533</v>
      </c>
    </row>
    <row r="50" spans="2:6" s="9" customFormat="1" ht="15.75">
      <c r="C50" s="11" t="s">
        <v>535</v>
      </c>
      <c r="D50" s="42">
        <v>0.05</v>
      </c>
      <c r="E50" s="9" t="s">
        <v>25</v>
      </c>
      <c r="F50" s="9" t="s">
        <v>534</v>
      </c>
    </row>
    <row r="62" spans="2:6" s="9" customFormat="1" ht="12.75">
      <c r="B62" s="10" t="s">
        <v>0</v>
      </c>
    </row>
    <row r="63" spans="2:6" s="9" customFormat="1" ht="12.75">
      <c r="D63" s="31"/>
      <c r="F63" s="29"/>
    </row>
    <row r="64" spans="2:6" s="9" customFormat="1" ht="12.75">
      <c r="C64" s="11" t="s">
        <v>4</v>
      </c>
      <c r="D64" s="38" t="s">
        <v>540</v>
      </c>
      <c r="F64" s="29"/>
    </row>
    <row r="65" spans="3:11">
      <c r="C65" s="11" t="s">
        <v>2</v>
      </c>
      <c r="D65" s="38">
        <v>200000</v>
      </c>
      <c r="E65" s="9" t="s">
        <v>3</v>
      </c>
      <c r="F65" s="29" t="s">
        <v>389</v>
      </c>
    </row>
    <row r="66" spans="3:11" ht="15.75">
      <c r="C66" s="11" t="s">
        <v>393</v>
      </c>
      <c r="D66" s="38">
        <f>IF(D64="350W",350,300)</f>
        <v>350</v>
      </c>
      <c r="E66" s="9" t="s">
        <v>3</v>
      </c>
      <c r="F66" s="29" t="s">
        <v>390</v>
      </c>
      <c r="G66"/>
    </row>
    <row r="67" spans="3:11" ht="15.75">
      <c r="C67" s="11" t="s">
        <v>394</v>
      </c>
      <c r="D67" s="38">
        <v>450</v>
      </c>
      <c r="E67" s="9" t="s">
        <v>3</v>
      </c>
      <c r="F67" s="29" t="s">
        <v>392</v>
      </c>
      <c r="G67"/>
      <c r="I67"/>
      <c r="J67"/>
      <c r="K67"/>
    </row>
    <row r="68" spans="3:11">
      <c r="C68" s="11" t="s">
        <v>6</v>
      </c>
      <c r="D68" s="38">
        <v>77000</v>
      </c>
      <c r="E68" s="9" t="s">
        <v>3</v>
      </c>
      <c r="F68" s="29" t="s">
        <v>391</v>
      </c>
      <c r="G68"/>
      <c r="I68"/>
      <c r="J68"/>
      <c r="K68"/>
    </row>
    <row r="69" spans="3:11">
      <c r="C69" s="11" t="s">
        <v>445</v>
      </c>
      <c r="D69" s="44">
        <v>0.9</v>
      </c>
      <c r="F69" s="29" t="s">
        <v>446</v>
      </c>
      <c r="G69"/>
      <c r="I69"/>
      <c r="J69"/>
      <c r="K69"/>
    </row>
    <row r="70" spans="3:11">
      <c r="D70" s="31"/>
      <c r="F70" s="29"/>
      <c r="G70"/>
      <c r="I70"/>
      <c r="J70"/>
      <c r="K70"/>
    </row>
    <row r="71" spans="3:11">
      <c r="D71" s="31"/>
      <c r="F71" s="29"/>
      <c r="G71"/>
      <c r="I71"/>
      <c r="J71"/>
      <c r="K71"/>
    </row>
    <row r="72" spans="3:11">
      <c r="C72" s="32" t="s">
        <v>5</v>
      </c>
      <c r="D72" s="31"/>
      <c r="F72" s="29"/>
      <c r="G72"/>
      <c r="I72"/>
      <c r="J72"/>
      <c r="K72"/>
    </row>
    <row r="73" spans="3:11">
      <c r="C73" s="11" t="s">
        <v>1</v>
      </c>
      <c r="D73" s="44" t="s">
        <v>546</v>
      </c>
      <c r="F73" s="29"/>
      <c r="G73"/>
      <c r="I73"/>
      <c r="J73"/>
      <c r="K73"/>
    </row>
    <row r="74" spans="3:11">
      <c r="D74" s="31"/>
      <c r="I74"/>
      <c r="J74"/>
      <c r="K74"/>
    </row>
    <row r="75" spans="3:11" ht="15.75">
      <c r="C75" s="11" t="s">
        <v>357</v>
      </c>
      <c r="D75" s="35">
        <v>104</v>
      </c>
      <c r="E75" s="9" t="s">
        <v>7</v>
      </c>
      <c r="F75" s="9" t="s">
        <v>395</v>
      </c>
      <c r="I75"/>
      <c r="J75"/>
      <c r="K75"/>
    </row>
    <row r="76" spans="3:11" ht="15.75">
      <c r="C76" s="11" t="s">
        <v>359</v>
      </c>
      <c r="D76" s="35">
        <v>133</v>
      </c>
      <c r="E76" s="9" t="s">
        <v>7</v>
      </c>
      <c r="F76" s="9" t="s">
        <v>396</v>
      </c>
      <c r="I76"/>
      <c r="J76"/>
      <c r="K76"/>
    </row>
    <row r="77" spans="3:11" ht="15.75">
      <c r="C77" s="11" t="s">
        <v>358</v>
      </c>
      <c r="D77" s="36">
        <v>5.8</v>
      </c>
      <c r="E77" s="9" t="s">
        <v>7</v>
      </c>
      <c r="F77" s="33" t="s">
        <v>397</v>
      </c>
      <c r="I77"/>
      <c r="J77"/>
      <c r="K77"/>
    </row>
    <row r="78" spans="3:11" ht="15.75">
      <c r="C78" s="11" t="s">
        <v>360</v>
      </c>
      <c r="D78" s="36">
        <v>8.4</v>
      </c>
      <c r="E78" s="9" t="s">
        <v>7</v>
      </c>
      <c r="F78" s="33" t="s">
        <v>398</v>
      </c>
      <c r="I78" s="11"/>
      <c r="J78" s="12"/>
    </row>
    <row r="79" spans="3:11">
      <c r="C79" s="11"/>
      <c r="D79" s="31"/>
      <c r="F79" s="11"/>
      <c r="I79" s="11"/>
      <c r="J79" s="12"/>
    </row>
    <row r="80" spans="3:11">
      <c r="C80" s="11" t="s">
        <v>9</v>
      </c>
      <c r="D80" s="36">
        <v>21.3</v>
      </c>
      <c r="E80" s="9" t="s">
        <v>7</v>
      </c>
      <c r="F80" s="29" t="s">
        <v>399</v>
      </c>
      <c r="I80" s="11"/>
      <c r="J80" s="12"/>
    </row>
    <row r="81" spans="3:12" s="9" customFormat="1" ht="15.75">
      <c r="C81" s="11" t="s">
        <v>370</v>
      </c>
      <c r="D81" s="36">
        <v>17.100000000000001</v>
      </c>
      <c r="E81" s="9" t="s">
        <v>7</v>
      </c>
      <c r="F81" s="29" t="s">
        <v>400</v>
      </c>
      <c r="I81" s="11"/>
      <c r="J81" s="12"/>
    </row>
    <row r="82" spans="3:12" s="9" customFormat="1" ht="15.75">
      <c r="C82" s="11" t="s">
        <v>365</v>
      </c>
      <c r="D82" s="36">
        <v>29.1</v>
      </c>
      <c r="E82" s="9" t="s">
        <v>7</v>
      </c>
      <c r="F82" s="29" t="s">
        <v>401</v>
      </c>
      <c r="I82" s="11"/>
      <c r="J82" s="12"/>
    </row>
    <row r="83" spans="3:12" s="9" customFormat="1" ht="15.75">
      <c r="C83" s="11" t="s">
        <v>368</v>
      </c>
      <c r="D83" s="36">
        <v>31.2</v>
      </c>
      <c r="E83" s="9" t="s">
        <v>7</v>
      </c>
      <c r="F83" s="29" t="s">
        <v>458</v>
      </c>
      <c r="I83" s="11"/>
      <c r="J83" s="12"/>
    </row>
    <row r="84" spans="3:12" s="9" customFormat="1" ht="12.75">
      <c r="C84" s="11"/>
      <c r="D84" s="31"/>
      <c r="F84" s="29"/>
      <c r="I84" s="11"/>
      <c r="J84" s="12"/>
    </row>
    <row r="85" spans="3:12" s="9" customFormat="1" ht="15.75">
      <c r="C85" s="11" t="s">
        <v>371</v>
      </c>
      <c r="D85" s="36">
        <f>SQRT(y0.br^2+rx.br^2+ry.br^2)</f>
        <v>45.963681314707593</v>
      </c>
      <c r="E85" s="9" t="s">
        <v>7</v>
      </c>
      <c r="F85" s="11"/>
      <c r="I85" s="11"/>
      <c r="J85" s="12"/>
    </row>
    <row r="86" spans="3:12" s="9" customFormat="1" ht="12.75">
      <c r="C86" s="11" t="s">
        <v>11</v>
      </c>
      <c r="D86" s="37">
        <f>(rx.br^2+ry.br^2)/r0.br^2</f>
        <v>0.86159154809576555</v>
      </c>
      <c r="F86" s="11"/>
      <c r="I86" s="11"/>
      <c r="J86" s="12"/>
    </row>
    <row r="87" spans="3:12" s="9" customFormat="1" ht="12.75">
      <c r="C87" s="11"/>
      <c r="D87" s="31"/>
      <c r="F87" s="11"/>
      <c r="I87" s="11"/>
      <c r="J87" s="12"/>
    </row>
    <row r="88" spans="3:12" s="9" customFormat="1" ht="15" customHeight="1">
      <c r="C88" s="11"/>
      <c r="D88" s="31"/>
      <c r="F88" s="11"/>
      <c r="I88" s="11"/>
      <c r="J88" s="12"/>
    </row>
    <row r="89" spans="3:12" s="9" customFormat="1" ht="15" customHeight="1">
      <c r="C89" s="11"/>
      <c r="D89" s="31"/>
      <c r="F89" s="11"/>
      <c r="I89" s="11"/>
      <c r="J89" s="12"/>
    </row>
    <row r="90" spans="3:12" s="9" customFormat="1" ht="15" customHeight="1">
      <c r="C90" s="11" t="s">
        <v>8</v>
      </c>
      <c r="D90" s="35">
        <v>1700</v>
      </c>
      <c r="E90" s="34" t="s">
        <v>369</v>
      </c>
      <c r="F90" s="29" t="s">
        <v>405</v>
      </c>
      <c r="I90" s="11"/>
      <c r="J90" s="12"/>
    </row>
    <row r="91" spans="3:12" s="9" customFormat="1" ht="15" customHeight="1">
      <c r="C91" s="11" t="s">
        <v>363</v>
      </c>
      <c r="D91" s="35">
        <v>1430000</v>
      </c>
      <c r="E91" s="34" t="s">
        <v>364</v>
      </c>
      <c r="F91" s="29" t="s">
        <v>402</v>
      </c>
      <c r="I91" s="11"/>
      <c r="J91" s="12"/>
      <c r="L91" s="9">
        <f>Ix.br/(d.br-y.br)</f>
        <v>17291.414752116081</v>
      </c>
    </row>
    <row r="92" spans="3:12" s="9" customFormat="1" ht="15.75">
      <c r="C92" s="11" t="s">
        <v>361</v>
      </c>
      <c r="D92" s="35">
        <v>17300</v>
      </c>
      <c r="E92" s="34" t="s">
        <v>362</v>
      </c>
      <c r="F92" s="29" t="s">
        <v>403</v>
      </c>
      <c r="I92" s="11"/>
      <c r="J92" s="12"/>
    </row>
    <row r="93" spans="3:12" s="9" customFormat="1" ht="15.75">
      <c r="C93" s="11" t="s">
        <v>367</v>
      </c>
      <c r="D93" s="35">
        <v>1650000</v>
      </c>
      <c r="E93" s="34" t="s">
        <v>364</v>
      </c>
      <c r="F93" s="29" t="s">
        <v>528</v>
      </c>
    </row>
    <row r="94" spans="3:12" s="9" customFormat="1" ht="15.75">
      <c r="C94" s="11" t="s">
        <v>366</v>
      </c>
      <c r="D94" s="35">
        <v>24800</v>
      </c>
      <c r="E94" s="34" t="s">
        <v>362</v>
      </c>
      <c r="F94" s="29" t="s">
        <v>539</v>
      </c>
    </row>
    <row r="95" spans="3:12" s="9" customFormat="1" ht="12.75">
      <c r="C95" s="11"/>
      <c r="D95" s="31"/>
      <c r="E95" s="34"/>
      <c r="F95" s="29"/>
    </row>
    <row r="96" spans="3:12" s="9" customFormat="1">
      <c r="C96" s="11" t="s">
        <v>10</v>
      </c>
      <c r="D96" s="35">
        <v>35500</v>
      </c>
      <c r="E96" s="34" t="s">
        <v>364</v>
      </c>
      <c r="F96" s="9" t="s">
        <v>406</v>
      </c>
    </row>
    <row r="97" spans="3:11" ht="15.75">
      <c r="C97" s="11" t="s">
        <v>404</v>
      </c>
      <c r="D97" s="35">
        <v>15100000</v>
      </c>
      <c r="E97" s="34" t="s">
        <v>372</v>
      </c>
      <c r="F97" s="9" t="s">
        <v>407</v>
      </c>
    </row>
    <row r="100" spans="3:11">
      <c r="C100" s="32" t="s">
        <v>408</v>
      </c>
      <c r="D100" s="9" t="s">
        <v>538</v>
      </c>
    </row>
    <row r="101" spans="3:11">
      <c r="D101" s="31"/>
    </row>
    <row r="102" spans="3:11" ht="15.75">
      <c r="C102" s="11" t="s">
        <v>409</v>
      </c>
      <c r="D102" s="40">
        <v>2900</v>
      </c>
      <c r="E102" s="9" t="s">
        <v>7</v>
      </c>
      <c r="F102" s="9" t="s">
        <v>415</v>
      </c>
    </row>
    <row r="103" spans="3:11" ht="15.75">
      <c r="C103" s="11" t="s">
        <v>410</v>
      </c>
      <c r="D103" s="40">
        <f>Lx.br</f>
        <v>2900</v>
      </c>
      <c r="E103" s="9" t="s">
        <v>7</v>
      </c>
      <c r="F103" s="9" t="s">
        <v>416</v>
      </c>
    </row>
    <row r="104" spans="3:11" ht="15.75">
      <c r="C104" s="11" t="s">
        <v>411</v>
      </c>
      <c r="D104" s="40">
        <f>Ly.br</f>
        <v>2900</v>
      </c>
      <c r="E104" s="9" t="s">
        <v>7</v>
      </c>
      <c r="F104" s="9" t="s">
        <v>417</v>
      </c>
    </row>
    <row r="105" spans="3:11" ht="15.75">
      <c r="C105" s="11" t="s">
        <v>412</v>
      </c>
      <c r="D105" s="38">
        <v>1</v>
      </c>
      <c r="F105" s="9" t="s">
        <v>418</v>
      </c>
    </row>
    <row r="106" spans="3:11" ht="15.75">
      <c r="C106" s="11" t="s">
        <v>413</v>
      </c>
      <c r="D106" s="38">
        <v>1</v>
      </c>
      <c r="F106" s="9" t="s">
        <v>419</v>
      </c>
    </row>
    <row r="107" spans="3:11" ht="15.75">
      <c r="C107" s="11" t="s">
        <v>414</v>
      </c>
      <c r="D107" s="38">
        <v>1</v>
      </c>
      <c r="F107" s="9" t="s">
        <v>527</v>
      </c>
      <c r="H107"/>
      <c r="I107"/>
      <c r="J107"/>
      <c r="K107"/>
    </row>
    <row r="108" spans="3:11">
      <c r="D108" s="31"/>
    </row>
    <row r="109" spans="3:11" ht="15.75">
      <c r="C109" s="11" t="s">
        <v>420</v>
      </c>
      <c r="D109" s="35">
        <f>Kx.br*Lx.br/rx.br</f>
        <v>99.656357388316152</v>
      </c>
      <c r="E109" s="9" t="s">
        <v>421</v>
      </c>
    </row>
    <row r="110" spans="3:11" ht="15.75">
      <c r="C110" s="11" t="s">
        <v>422</v>
      </c>
      <c r="D110" s="35">
        <f>Ky.br*Ly.br/ry.br</f>
        <v>92.948717948717956</v>
      </c>
      <c r="E110" s="9" t="s">
        <v>421</v>
      </c>
    </row>
    <row r="111" spans="3:11">
      <c r="D111" s="31"/>
    </row>
    <row r="112" spans="3:11" ht="15.75">
      <c r="C112" s="11" t="s">
        <v>373</v>
      </c>
      <c r="D112" s="38">
        <v>12.7</v>
      </c>
      <c r="E112" s="9" t="s">
        <v>7</v>
      </c>
      <c r="F112" s="9" t="s">
        <v>423</v>
      </c>
    </row>
    <row r="113" spans="2:7" s="9" customFormat="1" ht="15.75">
      <c r="C113" s="11" t="s">
        <v>374</v>
      </c>
      <c r="D113" s="41">
        <f>D112/2+y.br</f>
        <v>27.65</v>
      </c>
      <c r="E113" s="9" t="s">
        <v>7</v>
      </c>
      <c r="F113" s="9" t="s">
        <v>543</v>
      </c>
    </row>
    <row r="114" spans="2:7" s="9" customFormat="1" ht="12.75">
      <c r="D114" s="31"/>
    </row>
    <row r="115" spans="2:7" s="9" customFormat="1" ht="12.75">
      <c r="D115" s="31"/>
    </row>
    <row r="116" spans="2:7" s="9" customFormat="1" ht="12.75">
      <c r="C116" s="9" t="s">
        <v>548</v>
      </c>
      <c r="D116" s="31"/>
    </row>
    <row r="117" spans="2:7" s="9" customFormat="1" ht="12.75">
      <c r="D117" s="31"/>
    </row>
    <row r="118" spans="2:7" s="9" customFormat="1" ht="12.75">
      <c r="D118" s="31"/>
    </row>
    <row r="119" spans="2:7" s="9" customFormat="1" ht="12.75">
      <c r="D119" s="31"/>
    </row>
    <row r="120" spans="2:7" s="9" customFormat="1" ht="12.75">
      <c r="D120" s="31"/>
    </row>
    <row r="121" spans="2:7" s="9" customFormat="1" ht="12.75">
      <c r="B121" s="10" t="s">
        <v>31</v>
      </c>
      <c r="D121" s="31"/>
    </row>
    <row r="122" spans="2:7" s="9" customFormat="1" ht="12.75">
      <c r="B122" s="9" t="s">
        <v>427</v>
      </c>
      <c r="D122" s="31"/>
    </row>
    <row r="123" spans="2:7" s="9" customFormat="1" ht="12.75">
      <c r="D123" s="31"/>
    </row>
    <row r="124" spans="2:7" s="9" customFormat="1" ht="15.75">
      <c r="C124" s="11" t="s">
        <v>375</v>
      </c>
      <c r="D124" s="42">
        <f>D47</f>
        <v>40</v>
      </c>
      <c r="E124" s="9" t="s">
        <v>12</v>
      </c>
      <c r="F124" s="9" t="s">
        <v>428</v>
      </c>
    </row>
    <row r="125" spans="2:7" s="9" customFormat="1" ht="15.75">
      <c r="C125" s="11" t="s">
        <v>376</v>
      </c>
      <c r="D125" s="42">
        <f>D48</f>
        <v>40</v>
      </c>
      <c r="E125" s="9" t="s">
        <v>12</v>
      </c>
      <c r="F125" s="9" t="s">
        <v>429</v>
      </c>
    </row>
    <row r="126" spans="2:7" s="9" customFormat="1" ht="15.75">
      <c r="C126" s="11" t="s">
        <v>378</v>
      </c>
      <c r="D126" s="42">
        <f>D50</f>
        <v>0.05</v>
      </c>
      <c r="E126" s="9" t="s">
        <v>25</v>
      </c>
      <c r="F126" s="9" t="s">
        <v>430</v>
      </c>
    </row>
    <row r="127" spans="2:7" s="9" customFormat="1" ht="15.75">
      <c r="C127" s="11" t="s">
        <v>379</v>
      </c>
      <c r="D127" s="42">
        <f>D49</f>
        <v>0.17</v>
      </c>
      <c r="E127" s="9" t="s">
        <v>25</v>
      </c>
      <c r="F127" s="9" t="s">
        <v>431</v>
      </c>
    </row>
    <row r="128" spans="2:7" s="9" customFormat="1" ht="12.75">
      <c r="D128" s="31"/>
      <c r="E128" s="11"/>
      <c r="F128" s="11"/>
      <c r="G128"/>
    </row>
    <row r="129" spans="2:7" s="9" customFormat="1" ht="15.75">
      <c r="C129" s="11" t="s">
        <v>377</v>
      </c>
      <c r="D129" s="36">
        <f>MAX(D124:D125)*D113/1000</f>
        <v>1.1060000000000001</v>
      </c>
      <c r="E129" s="9" t="s">
        <v>25</v>
      </c>
      <c r="F129" s="29" t="s">
        <v>432</v>
      </c>
      <c r="G129"/>
    </row>
    <row r="130" spans="2:7" s="9" customFormat="1" ht="12.75">
      <c r="D130" s="31"/>
      <c r="E130" s="11"/>
      <c r="F130" s="11"/>
      <c r="G130"/>
    </row>
    <row r="131" spans="2:7" s="9" customFormat="1" ht="15.75">
      <c r="C131" s="11" t="s">
        <v>433</v>
      </c>
      <c r="D131" s="36">
        <f>D126+D129</f>
        <v>1.1560000000000001</v>
      </c>
      <c r="E131" s="9" t="s">
        <v>25</v>
      </c>
      <c r="F131" s="29" t="s">
        <v>541</v>
      </c>
      <c r="G131"/>
    </row>
    <row r="132" spans="2:7" s="9" customFormat="1" ht="12.75">
      <c r="E132" s="11"/>
      <c r="F132" s="11"/>
      <c r="G132"/>
    </row>
    <row r="133" spans="2:7" s="9" customFormat="1" ht="12.75">
      <c r="E133" s="11"/>
      <c r="F133" s="11"/>
      <c r="G133"/>
    </row>
    <row r="134" spans="2:7" s="9" customFormat="1" ht="12.75">
      <c r="E134" s="11"/>
      <c r="F134" s="11"/>
      <c r="G134"/>
    </row>
    <row r="135" spans="2:7" s="9" customFormat="1" ht="12.75">
      <c r="B135" s="10" t="s">
        <v>434</v>
      </c>
      <c r="E135" s="11"/>
      <c r="F135" s="11"/>
      <c r="G135"/>
    </row>
    <row r="136" spans="2:7" s="9" customFormat="1" ht="12.75">
      <c r="E136" s="11"/>
      <c r="F136" s="11"/>
      <c r="G136"/>
    </row>
    <row r="137" spans="2:7" s="9" customFormat="1" ht="12.75">
      <c r="C137" s="15" t="s">
        <v>435</v>
      </c>
      <c r="E137" s="11"/>
      <c r="F137" s="11"/>
      <c r="G137"/>
    </row>
    <row r="138" spans="2:7" s="9" customFormat="1" ht="15.75">
      <c r="C138" s="9" t="s">
        <v>436</v>
      </c>
      <c r="E138" s="11"/>
      <c r="F138" s="11"/>
      <c r="G138"/>
    </row>
    <row r="139" spans="2:7" s="9" customFormat="1" ht="12.75">
      <c r="E139" s="11"/>
      <c r="F139" s="11"/>
      <c r="G139"/>
    </row>
    <row r="140" spans="2:7" s="9" customFormat="1" ht="12.75">
      <c r="E140" s="11"/>
      <c r="F140" s="11"/>
      <c r="G140"/>
    </row>
    <row r="141" spans="2:7" s="9" customFormat="1" ht="15.75">
      <c r="C141" s="11" t="s">
        <v>437</v>
      </c>
      <c r="D141" s="12">
        <f>((PI())^2*E.br)/(Kx.br*Lx.br/rx.br)^2</f>
        <v>198.75575987839426</v>
      </c>
      <c r="E141" s="9" t="s">
        <v>3</v>
      </c>
      <c r="F141" s="11"/>
      <c r="G141"/>
    </row>
    <row r="142" spans="2:7" s="9" customFormat="1" ht="12.75">
      <c r="E142" s="11"/>
      <c r="F142" s="11"/>
      <c r="G142"/>
    </row>
    <row r="143" spans="2:7" s="9" customFormat="1" ht="15" customHeight="1">
      <c r="C143" s="11" t="s">
        <v>438</v>
      </c>
      <c r="D143" s="12">
        <f>((PI())^2*E.br)/(Ky.br*Ly.br/ry.br)^2</f>
        <v>228.47723443986737</v>
      </c>
      <c r="E143" s="9" t="s">
        <v>3</v>
      </c>
      <c r="F143" s="11"/>
      <c r="G143"/>
    </row>
    <row r="144" spans="2:7" s="9" customFormat="1" ht="15" customHeight="1">
      <c r="E144" s="11"/>
      <c r="F144" s="11"/>
      <c r="G144"/>
    </row>
    <row r="145" spans="3:7" s="9" customFormat="1" ht="15" customHeight="1">
      <c r="C145" s="11" t="s">
        <v>439</v>
      </c>
      <c r="D145" s="12">
        <f>(((PI()^2*E.br*Cw.br)/(Kz.br*Lz.br)^2)+G.br*J.br)*(1/(A.br*(r0.br^2)))</f>
        <v>762.08474807065124</v>
      </c>
      <c r="E145" s="9" t="s">
        <v>3</v>
      </c>
      <c r="F145" s="11"/>
      <c r="G145"/>
    </row>
    <row r="146" spans="3:7" s="9" customFormat="1" ht="15" customHeight="1">
      <c r="E146" s="11"/>
      <c r="F146" s="11"/>
      <c r="G146"/>
    </row>
    <row r="147" spans="3:7" s="9" customFormat="1" ht="15.75">
      <c r="C147" s="11" t="s">
        <v>441</v>
      </c>
      <c r="D147" s="13">
        <f>((Fey.br+Fez.br)/(2*Omega.br))*(1-SQRT(1-((4*Fey.br*Fez.br*Omega.br)/((Fey.br+Fez.br)^2))))</f>
        <v>216.57625332839118</v>
      </c>
      <c r="E147" s="9" t="s">
        <v>3</v>
      </c>
      <c r="F147" s="11"/>
      <c r="G147"/>
    </row>
    <row r="148" spans="3:7" s="9" customFormat="1" ht="12.75">
      <c r="E148" s="11"/>
      <c r="F148" s="11"/>
      <c r="G148"/>
    </row>
    <row r="149" spans="3:7" s="9" customFormat="1" ht="12.75">
      <c r="E149" s="11"/>
      <c r="F149" s="11"/>
      <c r="G149"/>
    </row>
    <row r="150" spans="3:7" s="9" customFormat="1" ht="12.75">
      <c r="E150" s="11"/>
      <c r="F150" s="11"/>
      <c r="G150"/>
    </row>
    <row r="151" spans="3:7" s="9" customFormat="1" ht="12.75">
      <c r="E151" s="11"/>
      <c r="F151" s="11"/>
      <c r="G151"/>
    </row>
    <row r="152" spans="3:7" s="9" customFormat="1" ht="12.75">
      <c r="E152" s="11"/>
      <c r="F152" s="11"/>
      <c r="G152"/>
    </row>
    <row r="153" spans="3:7" s="9" customFormat="1" ht="12.75">
      <c r="E153" s="11"/>
      <c r="F153" s="11"/>
      <c r="G153"/>
    </row>
    <row r="154" spans="3:7" s="9" customFormat="1" ht="12.75">
      <c r="E154" s="11"/>
      <c r="F154" s="11"/>
      <c r="G154"/>
    </row>
    <row r="155" spans="3:7" s="9" customFormat="1" ht="12.75">
      <c r="E155" s="11"/>
      <c r="F155" s="11"/>
      <c r="G155"/>
    </row>
    <row r="156" spans="3:7" s="9" customFormat="1" ht="15.75">
      <c r="C156" s="9" t="s">
        <v>380</v>
      </c>
      <c r="E156" s="11"/>
      <c r="F156" s="11"/>
      <c r="G156"/>
    </row>
    <row r="157" spans="3:7" s="9" customFormat="1" ht="12.75">
      <c r="E157" s="11"/>
      <c r="F157" s="11"/>
      <c r="G157"/>
    </row>
    <row r="158" spans="3:7" s="9" customFormat="1" ht="12.75">
      <c r="C158" s="43" t="str">
        <f>IF(Fex.br&lt;Feyz.br,"Fex Governs", "Feyz Governs")</f>
        <v>Fex Governs</v>
      </c>
      <c r="G158"/>
    </row>
    <row r="159" spans="3:7" s="9" customFormat="1">
      <c r="C159" s="18" t="s">
        <v>440</v>
      </c>
      <c r="D159" s="19">
        <f>MIN(Feyz.br,Fex.br)</f>
        <v>198.75575987839426</v>
      </c>
      <c r="E159" s="17" t="s">
        <v>3</v>
      </c>
      <c r="F159" s="11"/>
      <c r="G159"/>
    </row>
    <row r="160" spans="3:7" s="9" customFormat="1" ht="12.75">
      <c r="E160" s="11"/>
      <c r="F160" s="11"/>
      <c r="G160"/>
    </row>
    <row r="161" spans="3:7" s="9" customFormat="1" ht="12.75">
      <c r="E161" s="11"/>
      <c r="F161" s="11"/>
      <c r="G161"/>
    </row>
    <row r="162" spans="3:7" s="9" customFormat="1" ht="12.75">
      <c r="E162" s="11"/>
      <c r="F162" s="11"/>
      <c r="G162"/>
    </row>
    <row r="163" spans="3:7" s="9" customFormat="1" ht="12.75">
      <c r="C163" s="15" t="s">
        <v>442</v>
      </c>
      <c r="E163" s="11"/>
      <c r="F163" s="11"/>
      <c r="G163"/>
    </row>
    <row r="164" spans="3:7" s="9" customFormat="1" ht="12.75">
      <c r="E164" s="11"/>
      <c r="F164" s="11"/>
      <c r="G164"/>
    </row>
    <row r="165" spans="3:7" s="9" customFormat="1" ht="12.75">
      <c r="C165" s="11" t="s">
        <v>443</v>
      </c>
      <c r="D165" s="9">
        <v>1.34</v>
      </c>
      <c r="E165" s="11"/>
      <c r="F165" s="29" t="s">
        <v>444</v>
      </c>
      <c r="G165"/>
    </row>
    <row r="166" spans="3:7" s="9" customFormat="1" ht="12.75">
      <c r="C166" s="11" t="s">
        <v>447</v>
      </c>
      <c r="D166" s="14">
        <f>SQRT(Fy.br/Fe.br)</f>
        <v>1.3270098929204601</v>
      </c>
      <c r="E166" s="11"/>
      <c r="F166" s="11"/>
      <c r="G166"/>
    </row>
    <row r="167" spans="3:7" s="9" customFormat="1" ht="12.75">
      <c r="E167" s="11"/>
      <c r="F167" s="11"/>
      <c r="G167"/>
    </row>
    <row r="168" spans="3:7" s="9" customFormat="1">
      <c r="C168" s="18" t="s">
        <v>448</v>
      </c>
      <c r="D168" s="19">
        <f>PHI.br*A.br*Fy.br*(1+Lambda.br^(2*n.br))^(-1/n.br)/1000</f>
        <v>228.28705951606327</v>
      </c>
      <c r="E168" s="17" t="s">
        <v>12</v>
      </c>
      <c r="F168" s="29" t="s">
        <v>449</v>
      </c>
      <c r="G168"/>
    </row>
    <row r="169" spans="3:7" s="9" customFormat="1" ht="12.75">
      <c r="E169" s="11"/>
      <c r="F169" s="11"/>
      <c r="G169"/>
    </row>
    <row r="170" spans="3:7" s="9" customFormat="1" ht="12.75">
      <c r="E170" s="11"/>
      <c r="F170" s="11"/>
      <c r="G170"/>
    </row>
    <row r="171" spans="3:7" s="9" customFormat="1" ht="12.75">
      <c r="E171" s="11"/>
      <c r="F171" s="11"/>
      <c r="G171"/>
    </row>
    <row r="172" spans="3:7" s="9" customFormat="1" ht="12.75">
      <c r="E172" s="11"/>
      <c r="F172" s="11"/>
      <c r="G172"/>
    </row>
    <row r="173" spans="3:7" s="9" customFormat="1" ht="12.75">
      <c r="E173" s="11"/>
      <c r="F173" s="11"/>
      <c r="G173"/>
    </row>
    <row r="174" spans="3:7" s="9" customFormat="1" ht="12.75">
      <c r="E174" s="11"/>
      <c r="F174" s="11"/>
      <c r="G174"/>
    </row>
    <row r="175" spans="3:7" s="9" customFormat="1" ht="12.75">
      <c r="E175" s="11"/>
      <c r="F175" s="11"/>
      <c r="G175"/>
    </row>
    <row r="176" spans="3:7" s="9" customFormat="1" ht="12.75">
      <c r="E176" s="11"/>
      <c r="F176" s="11"/>
      <c r="G176"/>
    </row>
    <row r="177" spans="3:11" s="9" customFormat="1" ht="12.75">
      <c r="E177" s="11"/>
      <c r="F177" s="11"/>
      <c r="G177"/>
    </row>
    <row r="184" spans="3:11">
      <c r="C184" s="15" t="s">
        <v>450</v>
      </c>
    </row>
    <row r="185" spans="3:11">
      <c r="C185" s="9" t="s">
        <v>13</v>
      </c>
    </row>
    <row r="187" spans="3:11" ht="15.75">
      <c r="C187" s="11" t="s">
        <v>14</v>
      </c>
      <c r="D187" s="11" t="s">
        <v>451</v>
      </c>
      <c r="E187" s="12">
        <f>PHI.br*A.br*Fy.br/1000</f>
        <v>535.5</v>
      </c>
      <c r="F187" s="9" t="s">
        <v>12</v>
      </c>
    </row>
    <row r="189" spans="3:11">
      <c r="C189" s="11" t="s">
        <v>15</v>
      </c>
      <c r="D189" s="55" t="s">
        <v>452</v>
      </c>
      <c r="E189" s="55"/>
      <c r="F189" s="55"/>
      <c r="G189" s="55"/>
      <c r="H189" s="55"/>
      <c r="I189" s="55"/>
      <c r="J189" s="55"/>
      <c r="K189" s="55"/>
    </row>
    <row r="190" spans="3:11">
      <c r="D190" s="55"/>
      <c r="E190" s="55"/>
      <c r="F190" s="55"/>
      <c r="G190" s="55"/>
      <c r="H190" s="55"/>
      <c r="I190" s="55"/>
      <c r="J190" s="55"/>
      <c r="K190" s="55"/>
    </row>
    <row r="192" spans="3:11" ht="15.75">
      <c r="C192" s="11" t="s">
        <v>16</v>
      </c>
      <c r="D192" s="11" t="s">
        <v>453</v>
      </c>
      <c r="E192" s="12">
        <f>PHIu.br*Ane.br*Fu.br/1000</f>
        <v>430.3125</v>
      </c>
      <c r="F192" s="9" t="s">
        <v>12</v>
      </c>
    </row>
    <row r="193" spans="3:7" ht="15.75">
      <c r="D193" s="11" t="s">
        <v>454</v>
      </c>
      <c r="E193" s="9">
        <f>0.75*A.br</f>
        <v>1275</v>
      </c>
      <c r="F193" s="9" t="s">
        <v>369</v>
      </c>
      <c r="G193" s="9" t="s">
        <v>456</v>
      </c>
    </row>
    <row r="194" spans="3:7" ht="15.75">
      <c r="D194" s="11" t="s">
        <v>455</v>
      </c>
      <c r="E194" s="9">
        <v>0.75</v>
      </c>
      <c r="G194" s="9" t="s">
        <v>457</v>
      </c>
    </row>
    <row r="196" spans="3:7">
      <c r="C196" s="29" t="s">
        <v>18</v>
      </c>
    </row>
    <row r="197" spans="3:7">
      <c r="C197" s="9" t="str">
        <f>IF(E187&lt;E192,"Sentence (i) Governs - Gross Section Yielding","Sentence (iii) Governs - Rupture Due to Shear Lag")</f>
        <v>Sentence (iii) Governs - Rupture Due to Shear Lag</v>
      </c>
    </row>
    <row r="199" spans="3:7" s="9" customFormat="1">
      <c r="D199" s="18" t="s">
        <v>381</v>
      </c>
      <c r="E199" s="19">
        <f>MIN(E187,E192)</f>
        <v>430.3125</v>
      </c>
      <c r="F199" s="17" t="s">
        <v>12</v>
      </c>
    </row>
    <row r="204" spans="3:7" s="9" customFormat="1" ht="12.75">
      <c r="C204" s="15" t="s">
        <v>462</v>
      </c>
    </row>
    <row r="205" spans="3:7" s="9" customFormat="1" ht="12.75">
      <c r="C205" s="9" t="s">
        <v>19</v>
      </c>
    </row>
    <row r="207" spans="3:7" s="9" customFormat="1" ht="12.75">
      <c r="D207" s="28" t="s">
        <v>459</v>
      </c>
    </row>
    <row r="208" spans="3:7" s="9" customFormat="1" ht="13.5" thickBot="1"/>
    <row r="209" spans="3:8" s="9" customFormat="1" ht="12.75">
      <c r="D209" s="17"/>
      <c r="E209" s="17"/>
      <c r="F209" s="23" t="s">
        <v>20</v>
      </c>
      <c r="G209" s="23" t="s">
        <v>21</v>
      </c>
      <c r="H209" s="23" t="s">
        <v>22</v>
      </c>
    </row>
    <row r="210" spans="3:8" s="9" customFormat="1" ht="15" thickBot="1">
      <c r="D210" s="17"/>
      <c r="E210" s="18" t="s">
        <v>382</v>
      </c>
      <c r="F210" s="24" t="s">
        <v>383</v>
      </c>
      <c r="G210" s="24" t="s">
        <v>384</v>
      </c>
      <c r="H210" s="24" t="s">
        <v>385</v>
      </c>
    </row>
    <row r="211" spans="3:8" s="9" customFormat="1" ht="16.5" thickBot="1">
      <c r="C211"/>
      <c r="D211" s="20" t="s">
        <v>386</v>
      </c>
      <c r="E211" s="21">
        <f>(b.br-w.br)/t.br</f>
        <v>15.142857142857142</v>
      </c>
      <c r="F211" s="22">
        <f>145/SQRT(Fy.br)</f>
        <v>7.7505760154603065</v>
      </c>
      <c r="G211" s="22">
        <f>170/SQRT(Fy.br)</f>
        <v>9.0868822250224284</v>
      </c>
      <c r="H211" s="22">
        <f>200/SQRT(Fy.br)</f>
        <v>10.690449676496975</v>
      </c>
    </row>
    <row r="213" spans="3:8" s="9" customFormat="1" ht="15.75">
      <c r="D213" s="9" t="s">
        <v>460</v>
      </c>
    </row>
    <row r="215" spans="3:8" s="9" customFormat="1" ht="12.75">
      <c r="C215"/>
      <c r="D215" s="16"/>
      <c r="E215" s="46" t="s">
        <v>461</v>
      </c>
      <c r="F215" s="45">
        <f>IF(E211&lt;F211,1,IF(E211&lt;G211,2,IF(E211&lt;H211,3,4)))</f>
        <v>4</v>
      </c>
    </row>
    <row r="220" spans="3:8" s="9" customFormat="1" ht="12.75">
      <c r="C220" s="15" t="s">
        <v>481</v>
      </c>
    </row>
    <row r="221" spans="3:8" s="9" customFormat="1" ht="12.75">
      <c r="C221" s="9" t="s">
        <v>484</v>
      </c>
    </row>
    <row r="222" spans="3:8" s="9" customFormat="1" ht="12.75">
      <c r="D222" s="31"/>
    </row>
    <row r="223" spans="3:8" s="9" customFormat="1" ht="15.75">
      <c r="C223" s="11" t="s">
        <v>387</v>
      </c>
      <c r="D223" s="47">
        <f>Sx.br*Fy.br/10^6</f>
        <v>6.0549999999999997</v>
      </c>
      <c r="E223" s="9" t="s">
        <v>23</v>
      </c>
      <c r="G223" s="9" t="s">
        <v>463</v>
      </c>
    </row>
    <row r="224" spans="3:8" s="9" customFormat="1" ht="12.75">
      <c r="D224" s="31"/>
    </row>
    <row r="225" spans="3:9" s="9" customFormat="1" ht="15.75">
      <c r="C225" s="11" t="s">
        <v>388</v>
      </c>
      <c r="D225" s="47">
        <f>0.7*Sx.br*Fy.br/10^6</f>
        <v>4.2385000000000002</v>
      </c>
      <c r="E225" s="9" t="s">
        <v>23</v>
      </c>
      <c r="G225" s="9" t="s">
        <v>464</v>
      </c>
    </row>
    <row r="231" spans="3:9" s="9" customFormat="1" ht="12.75">
      <c r="D231" s="31"/>
    </row>
    <row r="232" spans="3:9" s="9" customFormat="1" ht="15.75">
      <c r="C232" s="11" t="s">
        <v>465</v>
      </c>
      <c r="D232" s="31">
        <v>1</v>
      </c>
      <c r="G232" s="9" t="s">
        <v>468</v>
      </c>
      <c r="H232" s="25"/>
      <c r="I232" s="17"/>
    </row>
    <row r="233" spans="3:9" s="9" customFormat="1" ht="12.75">
      <c r="C233" s="11" t="s">
        <v>466</v>
      </c>
      <c r="D233" s="35">
        <f>MAX(D102:D104)</f>
        <v>2900</v>
      </c>
      <c r="E233" s="9" t="s">
        <v>7</v>
      </c>
      <c r="G233" s="9" t="s">
        <v>469</v>
      </c>
      <c r="H233" s="25"/>
      <c r="I233" s="17"/>
    </row>
    <row r="234" spans="3:9" s="9" customFormat="1" ht="15.75">
      <c r="C234" s="11" t="s">
        <v>467</v>
      </c>
      <c r="D234" s="31">
        <v>0</v>
      </c>
      <c r="G234" s="9" t="s">
        <v>470</v>
      </c>
      <c r="H234" s="25"/>
      <c r="I234" s="17"/>
    </row>
    <row r="235" spans="3:9" s="9" customFormat="1" ht="15.75">
      <c r="C235" s="11" t="s">
        <v>404</v>
      </c>
      <c r="D235" s="31">
        <v>0</v>
      </c>
      <c r="G235" s="9" t="s">
        <v>473</v>
      </c>
      <c r="H235" s="25"/>
      <c r="I235" s="17"/>
    </row>
    <row r="236" spans="3:9" s="9" customFormat="1" ht="12.75">
      <c r="C236" s="11"/>
      <c r="H236" s="25"/>
      <c r="I236" s="17"/>
    </row>
    <row r="237" spans="3:9" s="9" customFormat="1" ht="15.75">
      <c r="C237" s="11" t="s">
        <v>471</v>
      </c>
      <c r="D237" s="36">
        <f>D232*PI()^2*E.br*Iy.br/2/(D233^2)*(D234+SQRT(D234^2+4*(G.br*J.br*D233^2/PI()^2/E.br/Iy.br+D235/Iy.br)))/1000000</f>
        <v>32.536316484376982</v>
      </c>
      <c r="E237" s="9" t="s">
        <v>480</v>
      </c>
      <c r="H237" s="25"/>
      <c r="I237" s="17"/>
    </row>
    <row r="238" spans="3:9" s="9" customFormat="1" ht="12.75">
      <c r="C238" s="11"/>
      <c r="H238" s="25"/>
      <c r="I238" s="17"/>
    </row>
    <row r="239" spans="3:9" s="9" customFormat="1" ht="15.75">
      <c r="C239" s="11" t="s">
        <v>472</v>
      </c>
      <c r="D239" s="17" t="b">
        <f>D237&gt;D225</f>
        <v>1</v>
      </c>
      <c r="E239" s="17" t="str">
        <f>IF(D239,"Use 13.6e.i","Use 13.6e.ii")</f>
        <v>Use 13.6e.i</v>
      </c>
      <c r="H239" s="25"/>
      <c r="I239" s="17"/>
    </row>
    <row r="240" spans="3:9" s="9" customFormat="1" ht="12.75">
      <c r="C240" s="11"/>
      <c r="D240" s="17"/>
      <c r="E240" s="17"/>
      <c r="H240" s="25"/>
      <c r="I240" s="17"/>
    </row>
    <row r="241" spans="3:9" s="9" customFormat="1" ht="12.75">
      <c r="C241" s="11"/>
      <c r="D241" s="17"/>
      <c r="E241" s="17"/>
      <c r="H241" s="25"/>
      <c r="I241" s="17"/>
    </row>
    <row r="242" spans="3:9" s="9" customFormat="1" ht="12.75">
      <c r="C242" s="11"/>
      <c r="D242" s="17"/>
      <c r="E242" s="17"/>
      <c r="H242" s="25"/>
      <c r="I242" s="17"/>
    </row>
    <row r="243" spans="3:9" s="9" customFormat="1" ht="12.75">
      <c r="C243" s="11"/>
      <c r="D243" s="17"/>
      <c r="E243" s="17"/>
      <c r="H243" s="25"/>
      <c r="I243" s="17"/>
    </row>
    <row r="244" spans="3:9" s="9" customFormat="1" ht="12.75">
      <c r="H244" s="25"/>
      <c r="I244" s="17"/>
    </row>
    <row r="245" spans="3:9" s="9" customFormat="1" ht="12.75">
      <c r="C245" s="11"/>
      <c r="H245" s="25"/>
      <c r="I245" s="17"/>
    </row>
    <row r="246" spans="3:9" s="9" customFormat="1" ht="12.75">
      <c r="C246" s="11"/>
      <c r="H246" s="25"/>
      <c r="I246" s="17"/>
    </row>
    <row r="247" spans="3:9" s="9" customFormat="1" ht="12.75">
      <c r="C247" s="11"/>
      <c r="H247" s="25"/>
      <c r="I247" s="17"/>
    </row>
    <row r="248" spans="3:9" s="9" customFormat="1" ht="12.75">
      <c r="C248" s="11"/>
      <c r="H248" s="25"/>
      <c r="I248" s="17"/>
    </row>
    <row r="249" spans="3:9" s="9" customFormat="1" ht="12.75">
      <c r="C249" s="11"/>
      <c r="H249" s="25"/>
      <c r="I249" s="17"/>
    </row>
    <row r="250" spans="3:9" s="9" customFormat="1" ht="12.75">
      <c r="C250" s="11"/>
      <c r="H250" s="25"/>
      <c r="I250" s="17"/>
    </row>
    <row r="251" spans="3:9" s="9" customFormat="1" ht="12.75">
      <c r="C251" s="11"/>
      <c r="H251" s="25"/>
      <c r="I251" s="17"/>
    </row>
    <row r="252" spans="3:9" s="9" customFormat="1" ht="12.75">
      <c r="C252" s="11"/>
      <c r="H252" s="25"/>
      <c r="I252" s="17"/>
    </row>
    <row r="253" spans="3:9" s="9" customFormat="1" ht="12.75">
      <c r="H253" s="25"/>
      <c r="I253" s="17"/>
    </row>
    <row r="254" spans="3:9" s="9" customFormat="1" ht="12.75">
      <c r="H254" s="25"/>
      <c r="I254" s="17"/>
    </row>
    <row r="255" spans="3:9" s="9" customFormat="1" ht="15.75">
      <c r="C255" s="11" t="s">
        <v>487</v>
      </c>
      <c r="D255" s="35">
        <f>y.br</f>
        <v>21.3</v>
      </c>
      <c r="E255" s="9" t="s">
        <v>7</v>
      </c>
      <c r="G255" s="9" t="s">
        <v>490</v>
      </c>
      <c r="H255" s="25"/>
      <c r="I255" s="17"/>
    </row>
    <row r="256" spans="3:9" s="9" customFormat="1" ht="15.75">
      <c r="C256" s="11" t="s">
        <v>488</v>
      </c>
      <c r="D256" s="35">
        <f>2*b.br</f>
        <v>266</v>
      </c>
      <c r="E256" s="9" t="s">
        <v>7</v>
      </c>
      <c r="G256" s="9" t="s">
        <v>491</v>
      </c>
      <c r="H256" s="25"/>
      <c r="I256" s="17"/>
    </row>
    <row r="257" spans="3:9" s="9" customFormat="1" ht="15.75">
      <c r="C257" s="11" t="s">
        <v>489</v>
      </c>
      <c r="D257" s="35">
        <f>t.br</f>
        <v>8.4</v>
      </c>
      <c r="E257" s="9" t="s">
        <v>7</v>
      </c>
      <c r="G257" s="9" t="s">
        <v>492</v>
      </c>
      <c r="H257" s="25"/>
      <c r="I257" s="17"/>
    </row>
    <row r="258" spans="3:9" s="9" customFormat="1" ht="15.75">
      <c r="C258" s="11" t="s">
        <v>493</v>
      </c>
      <c r="D258" s="35">
        <f>2*w.br</f>
        <v>11.6</v>
      </c>
      <c r="E258" s="9" t="s">
        <v>7</v>
      </c>
      <c r="G258" s="9" t="s">
        <v>494</v>
      </c>
      <c r="H258" s="25"/>
      <c r="I258" s="17"/>
    </row>
    <row r="259" spans="3:9" s="9" customFormat="1" ht="12.75">
      <c r="C259" s="11"/>
      <c r="D259" s="35"/>
      <c r="H259" s="25"/>
      <c r="I259" s="17"/>
    </row>
    <row r="260" spans="3:9" s="9" customFormat="1" ht="15.75">
      <c r="C260" s="11" t="s">
        <v>474</v>
      </c>
      <c r="D260" s="36">
        <f>D256/SQRT(12*(1+D255*D258/(3*D256*D257)))</f>
        <v>75.410349191649956</v>
      </c>
      <c r="E260" s="9" t="s">
        <v>7</v>
      </c>
      <c r="H260" s="25"/>
      <c r="I260" s="17"/>
    </row>
    <row r="261" spans="3:9" s="9" customFormat="1" ht="15.75">
      <c r="C261" s="11" t="s">
        <v>475</v>
      </c>
      <c r="D261" s="35">
        <f>1.1*D260*SQRT(E.br/Fy.br)</f>
        <v>1982.9173494626496</v>
      </c>
      <c r="E261" s="9" t="s">
        <v>7</v>
      </c>
      <c r="H261" s="25"/>
      <c r="I261" s="17"/>
    </row>
    <row r="262" spans="3:9" s="9" customFormat="1" ht="12.75">
      <c r="C262" s="11"/>
      <c r="H262" s="25"/>
      <c r="I262" s="17"/>
    </row>
    <row r="263" spans="3:9" s="9" customFormat="1" ht="15.75">
      <c r="C263" s="11" t="s">
        <v>476</v>
      </c>
      <c r="D263" s="40">
        <v>22261.480447065052</v>
      </c>
      <c r="E263" s="9" t="s">
        <v>7</v>
      </c>
      <c r="H263" s="25"/>
      <c r="I263" s="17"/>
    </row>
    <row r="264" spans="3:9" s="9" customFormat="1" ht="15.75">
      <c r="C264" s="11" t="s">
        <v>477</v>
      </c>
      <c r="D264" s="47">
        <f>D232*PI()^2*E.br*Iy.br/2/(D263^2)*(D234+SQRT(D234^2+4*(G.br*J.br*D263^2/PI()^2/E.br/Iy.br+D235/Iy.br)))/1000000</f>
        <v>4.2385014792281268</v>
      </c>
      <c r="E264" s="9" t="s">
        <v>480</v>
      </c>
      <c r="H264" s="25"/>
      <c r="I264" s="17"/>
    </row>
    <row r="265" spans="3:9" s="9" customFormat="1" ht="12.75">
      <c r="C265" s="11"/>
      <c r="H265" s="25"/>
      <c r="I265" s="17"/>
    </row>
    <row r="266" spans="3:9" s="9" customFormat="1" ht="12.75">
      <c r="C266" s="11"/>
      <c r="H266" s="25"/>
      <c r="I266" s="17"/>
    </row>
    <row r="267" spans="3:9" s="9" customFormat="1" ht="12.75">
      <c r="H267" s="25"/>
      <c r="I267" s="17"/>
    </row>
    <row r="268" spans="3:9" s="9" customFormat="1" ht="12.75">
      <c r="C268" s="11"/>
      <c r="H268" s="25"/>
      <c r="I268" s="17"/>
    </row>
    <row r="269" spans="3:9" s="9" customFormat="1" ht="12.75">
      <c r="C269" s="11"/>
      <c r="H269" s="25"/>
      <c r="I269" s="17"/>
    </row>
    <row r="270" spans="3:9" s="9" customFormat="1" ht="12.75">
      <c r="C270" s="11"/>
      <c r="H270" s="25"/>
      <c r="I270" s="17"/>
    </row>
    <row r="271" spans="3:9" s="9" customFormat="1" ht="12.75">
      <c r="C271" s="11"/>
      <c r="H271" s="25"/>
      <c r="I271" s="17"/>
    </row>
    <row r="272" spans="3:9" s="9" customFormat="1" ht="12.75">
      <c r="C272" s="11"/>
      <c r="H272" s="25"/>
      <c r="I272" s="17"/>
    </row>
    <row r="273" spans="3:9" s="9" customFormat="1" ht="15.75">
      <c r="C273" s="18" t="s">
        <v>478</v>
      </c>
      <c r="D273" s="49">
        <f>PHI.br*(Mrx.br-(Mrx.br-D225)*((D233-D261)/(D263-D261)))</f>
        <v>5.3755651475149016</v>
      </c>
      <c r="E273" s="17" t="s">
        <v>480</v>
      </c>
      <c r="G273" s="9" t="s">
        <v>479</v>
      </c>
      <c r="H273" s="25"/>
      <c r="I273" s="17"/>
    </row>
    <row r="274" spans="3:9" s="9" customFormat="1" ht="12.75">
      <c r="H274" s="25"/>
      <c r="I274" s="17"/>
    </row>
    <row r="275" spans="3:9" s="9" customFormat="1" ht="12.75">
      <c r="H275" s="25"/>
      <c r="I275" s="17"/>
    </row>
    <row r="276" spans="3:9" s="9" customFormat="1" ht="12.75">
      <c r="D276" s="17"/>
      <c r="H276" s="25"/>
      <c r="I276" s="17"/>
    </row>
    <row r="277" spans="3:9" s="9" customFormat="1" ht="12.75">
      <c r="C277" s="15" t="s">
        <v>482</v>
      </c>
      <c r="H277" s="25"/>
      <c r="I277" s="17"/>
    </row>
    <row r="278" spans="3:9" s="9" customFormat="1" ht="12.75">
      <c r="C278" s="9" t="s">
        <v>483</v>
      </c>
      <c r="H278" s="25"/>
      <c r="I278" s="17"/>
    </row>
    <row r="281" spans="3:9" s="9" customFormat="1" ht="15.75">
      <c r="C281" s="18" t="s">
        <v>512</v>
      </c>
      <c r="D281" s="49">
        <f>PHI.br*D94*Fy.br/10^6</f>
        <v>7.8120000000000003</v>
      </c>
      <c r="E281" s="17" t="s">
        <v>23</v>
      </c>
      <c r="G281" s="9" t="s">
        <v>485</v>
      </c>
    </row>
    <row r="282" spans="3:9" s="9" customFormat="1" ht="12.75">
      <c r="C282" s="11"/>
      <c r="H282" s="25"/>
      <c r="I282" s="17"/>
    </row>
    <row r="283" spans="3:9" s="9" customFormat="1" ht="12.75">
      <c r="C283" s="11"/>
      <c r="H283" s="25"/>
      <c r="I283" s="17"/>
    </row>
    <row r="284" spans="3:9" s="9" customFormat="1" ht="12.75">
      <c r="C284" s="11"/>
      <c r="H284" s="25"/>
      <c r="I284" s="17"/>
    </row>
    <row r="285" spans="3:9" s="9" customFormat="1" ht="12.75">
      <c r="C285" s="15" t="s">
        <v>486</v>
      </c>
      <c r="H285" s="25"/>
      <c r="I285" s="17"/>
    </row>
    <row r="286" spans="3:9" s="9" customFormat="1" ht="12.75">
      <c r="C286" s="11"/>
      <c r="H286" s="25"/>
      <c r="I286" s="17"/>
    </row>
    <row r="287" spans="3:9" s="9" customFormat="1" ht="12.75">
      <c r="C287" s="11"/>
      <c r="H287" s="25"/>
      <c r="I287" s="17"/>
    </row>
    <row r="288" spans="3:9" s="9" customFormat="1" ht="12.75">
      <c r="C288" s="11"/>
      <c r="H288" s="25"/>
      <c r="I288" s="17"/>
    </row>
    <row r="289" spans="3:9" s="9" customFormat="1" ht="12.75">
      <c r="C289" s="11"/>
      <c r="H289" s="25"/>
      <c r="I289" s="17"/>
    </row>
    <row r="290" spans="3:9" s="9" customFormat="1" ht="12.75">
      <c r="C290" s="11"/>
      <c r="H290" s="25"/>
      <c r="I290" s="17"/>
    </row>
    <row r="291" spans="3:9" s="9" customFormat="1" ht="12.75">
      <c r="C291" s="11"/>
      <c r="H291" s="25"/>
      <c r="I291" s="17"/>
    </row>
    <row r="292" spans="3:9" s="9" customFormat="1" ht="12.75">
      <c r="C292" s="11"/>
      <c r="H292" s="25"/>
      <c r="I292" s="17"/>
    </row>
    <row r="293" spans="3:9" s="9" customFormat="1" ht="12.75">
      <c r="C293" s="11"/>
      <c r="H293" s="25"/>
      <c r="I293" s="17"/>
    </row>
    <row r="294" spans="3:9" s="9" customFormat="1" ht="12.75">
      <c r="C294" s="11"/>
      <c r="H294" s="25"/>
      <c r="I294" s="17"/>
    </row>
    <row r="295" spans="3:9" s="9" customFormat="1" ht="12.75">
      <c r="C295" s="11"/>
      <c r="H295" s="25"/>
      <c r="I295" s="17"/>
    </row>
    <row r="296" spans="3:9" s="9" customFormat="1" ht="12.75">
      <c r="C296" s="11"/>
      <c r="H296" s="25"/>
      <c r="I296" s="17"/>
    </row>
    <row r="297" spans="3:9" s="9" customFormat="1" ht="12.75">
      <c r="C297" s="11"/>
      <c r="H297" s="25"/>
      <c r="I297" s="17"/>
    </row>
    <row r="298" spans="3:9" s="9" customFormat="1" ht="12.75">
      <c r="C298" s="11"/>
      <c r="H298" s="25"/>
      <c r="I298" s="17"/>
    </row>
    <row r="299" spans="3:9" s="9" customFormat="1" ht="12.75">
      <c r="C299" s="11"/>
      <c r="H299" s="25"/>
      <c r="I299" s="17"/>
    </row>
    <row r="300" spans="3:9" s="9" customFormat="1" ht="12.75">
      <c r="C300" s="11"/>
      <c r="H300" s="25"/>
      <c r="I300" s="17"/>
    </row>
    <row r="301" spans="3:9" s="9" customFormat="1" ht="12.75">
      <c r="C301" s="11"/>
      <c r="H301" s="25"/>
      <c r="I301" s="17"/>
    </row>
    <row r="302" spans="3:9" s="9" customFormat="1" ht="12.75">
      <c r="C302" s="11"/>
      <c r="H302" s="25"/>
      <c r="I302" s="17"/>
    </row>
    <row r="303" spans="3:9" s="9" customFormat="1" ht="12.75">
      <c r="C303" s="11"/>
      <c r="H303" s="25"/>
      <c r="I303" s="17"/>
    </row>
    <row r="304" spans="3:9" s="9" customFormat="1" ht="12.75">
      <c r="C304" s="11"/>
      <c r="H304" s="25"/>
      <c r="I304" s="17"/>
    </row>
    <row r="305" spans="3:9" s="9" customFormat="1" ht="12.75">
      <c r="C305" s="11"/>
      <c r="H305" s="25"/>
      <c r="I305" s="17"/>
    </row>
    <row r="306" spans="3:9" s="9" customFormat="1" ht="12.75">
      <c r="C306" s="11"/>
      <c r="H306" s="25"/>
      <c r="I306" s="17"/>
    </row>
    <row r="307" spans="3:9" s="9" customFormat="1" ht="12.75">
      <c r="C307" s="11"/>
      <c r="H307" s="25"/>
      <c r="I307" s="17"/>
    </row>
    <row r="308" spans="3:9" s="9" customFormat="1" ht="12.75">
      <c r="C308" s="11"/>
      <c r="H308" s="25"/>
      <c r="I308" s="17"/>
    </row>
    <row r="309" spans="3:9" s="9" customFormat="1" ht="12.75">
      <c r="C309" s="11"/>
      <c r="H309" s="25"/>
      <c r="I309" s="17"/>
    </row>
    <row r="310" spans="3:9" s="9" customFormat="1" ht="15.75">
      <c r="C310" s="48" t="s">
        <v>496</v>
      </c>
      <c r="D310" s="26">
        <f>PI()^2*E.br*Ix.br/Lx.br^2/1000</f>
        <v>335.63696298591634</v>
      </c>
      <c r="E310" t="s">
        <v>12</v>
      </c>
      <c r="H310" s="25"/>
      <c r="I310" s="17"/>
    </row>
    <row r="311" spans="3:9" s="9" customFormat="1" ht="12.75">
      <c r="C311" s="48" t="s">
        <v>495</v>
      </c>
      <c r="D311">
        <v>-1</v>
      </c>
      <c r="F311" t="s">
        <v>501</v>
      </c>
      <c r="H311" s="25"/>
      <c r="I311" s="17"/>
    </row>
    <row r="312" spans="3:9" s="9" customFormat="1" ht="15.75">
      <c r="C312" s="48" t="s">
        <v>497</v>
      </c>
      <c r="D312">
        <f>0.6-0.4*D311</f>
        <v>1</v>
      </c>
      <c r="F312" t="s">
        <v>502</v>
      </c>
      <c r="H312" s="25"/>
      <c r="I312" s="17"/>
    </row>
    <row r="313" spans="3:9" s="9" customFormat="1" ht="15.75">
      <c r="C313" s="48" t="s">
        <v>498</v>
      </c>
      <c r="D313" s="27">
        <f>D312/(1-Cf.br/D310)</f>
        <v>1.1353010787149289</v>
      </c>
      <c r="F313"/>
      <c r="H313" s="25"/>
      <c r="I313" s="17"/>
    </row>
    <row r="314" spans="3:9" s="9" customFormat="1" ht="12.75">
      <c r="C314"/>
      <c r="D314"/>
      <c r="F314"/>
      <c r="H314" s="25"/>
      <c r="I314" s="17"/>
    </row>
    <row r="315" spans="3:9" s="9" customFormat="1" ht="15.75">
      <c r="C315" s="48" t="s">
        <v>499</v>
      </c>
      <c r="D315" s="26">
        <f>PI()^2*E.br*Iy.br/Ly.br^2/1000</f>
        <v>387.27341882990345</v>
      </c>
      <c r="E315" t="s">
        <v>12</v>
      </c>
      <c r="H315" s="25"/>
      <c r="I315" s="17"/>
    </row>
    <row r="316" spans="3:9" s="9" customFormat="1" ht="12.75">
      <c r="C316" s="48" t="s">
        <v>495</v>
      </c>
      <c r="D316">
        <v>-1</v>
      </c>
      <c r="F316" t="s">
        <v>501</v>
      </c>
      <c r="H316" s="25"/>
      <c r="I316" s="17"/>
    </row>
    <row r="317" spans="3:9" s="9" customFormat="1" ht="15.75">
      <c r="C317" s="48" t="s">
        <v>497</v>
      </c>
      <c r="D317">
        <f>0.6-0.4*D316</f>
        <v>1</v>
      </c>
      <c r="F317" t="s">
        <v>502</v>
      </c>
      <c r="H317" s="25"/>
      <c r="I317" s="17"/>
    </row>
    <row r="318" spans="3:9" ht="15.75">
      <c r="C318" s="48" t="s">
        <v>500</v>
      </c>
      <c r="D318" s="27">
        <f>D317/(1-Cf.br/D315)</f>
        <v>1.1151830166984138</v>
      </c>
      <c r="F318"/>
      <c r="H318" s="25"/>
      <c r="I318" s="17"/>
    </row>
    <row r="319" spans="3:9">
      <c r="C319" s="11"/>
      <c r="H319" s="25"/>
      <c r="I319" s="17"/>
    </row>
    <row r="320" spans="3:9">
      <c r="C320" s="11"/>
      <c r="H320" s="25"/>
      <c r="I320" s="17"/>
    </row>
    <row r="321" spans="1:11">
      <c r="C321" s="11"/>
      <c r="H321" s="25"/>
      <c r="I321" s="17"/>
    </row>
    <row r="322" spans="1:11">
      <c r="C322" s="11"/>
      <c r="H322" s="25"/>
      <c r="I322" s="17"/>
    </row>
    <row r="323" spans="1:11">
      <c r="C323" s="11"/>
      <c r="H323" s="25"/>
      <c r="I323" s="17"/>
    </row>
    <row r="324" spans="1:11">
      <c r="C324" s="11"/>
      <c r="H324" s="25"/>
      <c r="I324" s="17"/>
    </row>
    <row r="325" spans="1:11">
      <c r="C325" s="11"/>
      <c r="H325" s="25"/>
      <c r="I325" s="17"/>
    </row>
    <row r="327" spans="1:11">
      <c r="A327"/>
      <c r="B327"/>
      <c r="C327"/>
      <c r="D327"/>
      <c r="E327"/>
      <c r="F327"/>
      <c r="G327"/>
      <c r="H327"/>
      <c r="I327"/>
      <c r="J327"/>
      <c r="K327"/>
    </row>
    <row r="328" spans="1:11">
      <c r="A328"/>
      <c r="B328"/>
      <c r="C328"/>
      <c r="D328"/>
      <c r="E328"/>
      <c r="F328"/>
      <c r="G328"/>
      <c r="H328"/>
      <c r="I328"/>
      <c r="J328"/>
      <c r="K328"/>
    </row>
    <row r="329" spans="1:11">
      <c r="A329"/>
      <c r="B329"/>
      <c r="C329"/>
      <c r="D329"/>
      <c r="E329"/>
      <c r="F329"/>
      <c r="G329"/>
      <c r="H329"/>
      <c r="I329"/>
      <c r="J329"/>
      <c r="K329"/>
    </row>
    <row r="330" spans="1:11">
      <c r="A330"/>
      <c r="B330"/>
      <c r="C330"/>
      <c r="D330"/>
      <c r="E330"/>
      <c r="F330"/>
      <c r="G330"/>
      <c r="H330"/>
      <c r="I330"/>
      <c r="J330"/>
      <c r="K330"/>
    </row>
    <row r="331" spans="1:11">
      <c r="A331"/>
      <c r="B331"/>
      <c r="C331"/>
      <c r="D331"/>
      <c r="E331"/>
      <c r="F331"/>
      <c r="G331"/>
      <c r="H331"/>
      <c r="I331"/>
      <c r="J331"/>
      <c r="K331"/>
    </row>
    <row r="332" spans="1:11">
      <c r="A332"/>
      <c r="B332"/>
      <c r="C332"/>
      <c r="D332"/>
      <c r="E332"/>
      <c r="F332"/>
      <c r="G332"/>
      <c r="H332"/>
      <c r="I332"/>
      <c r="J332"/>
      <c r="K332"/>
    </row>
    <row r="333" spans="1:11">
      <c r="A333"/>
      <c r="B333"/>
      <c r="C333"/>
      <c r="D333"/>
      <c r="E333"/>
      <c r="F333"/>
      <c r="G333"/>
      <c r="H333"/>
      <c r="I333"/>
      <c r="J333"/>
      <c r="K333"/>
    </row>
    <row r="334" spans="1:11">
      <c r="A334"/>
      <c r="B334"/>
      <c r="C334"/>
      <c r="D334"/>
      <c r="E334"/>
      <c r="F334"/>
      <c r="G334"/>
      <c r="H334"/>
      <c r="I334"/>
      <c r="J334"/>
      <c r="K334"/>
    </row>
    <row r="335" spans="1:11">
      <c r="A335"/>
      <c r="F335"/>
      <c r="G335"/>
      <c r="H335"/>
      <c r="I335"/>
      <c r="J335"/>
      <c r="K335"/>
    </row>
    <row r="336" spans="1:11">
      <c r="A336"/>
      <c r="C336" s="28" t="s">
        <v>26</v>
      </c>
      <c r="F336"/>
      <c r="G336"/>
      <c r="H336"/>
      <c r="I336"/>
      <c r="J336"/>
      <c r="K336"/>
    </row>
    <row r="337" spans="1:11">
      <c r="A337"/>
      <c r="F337"/>
      <c r="G337"/>
      <c r="H337"/>
      <c r="I337"/>
      <c r="J337"/>
      <c r="K337"/>
    </row>
    <row r="338" spans="1:11" ht="15.75">
      <c r="A338"/>
      <c r="C338" s="11" t="s">
        <v>504</v>
      </c>
      <c r="D338" s="36">
        <f>PHI.br*A.br*Fy.br/1000</f>
        <v>535.5</v>
      </c>
      <c r="E338" s="9" t="s">
        <v>12</v>
      </c>
      <c r="F338"/>
      <c r="G338" t="s">
        <v>515</v>
      </c>
      <c r="H338"/>
      <c r="I338"/>
      <c r="J338"/>
      <c r="K338"/>
    </row>
    <row r="339" spans="1:11" ht="15.75">
      <c r="A339"/>
      <c r="C339" s="11" t="s">
        <v>503</v>
      </c>
      <c r="D339" s="47">
        <f>PHI.br*Sx.br*Fy.br/10^6</f>
        <v>5.4494999999999996</v>
      </c>
      <c r="E339" s="9" t="s">
        <v>480</v>
      </c>
      <c r="F339"/>
      <c r="G339" s="9" t="s">
        <v>506</v>
      </c>
      <c r="H339"/>
      <c r="I339"/>
      <c r="J339"/>
      <c r="K339"/>
    </row>
    <row r="340" spans="1:11" ht="15.75">
      <c r="A340"/>
      <c r="C340" s="11" t="s">
        <v>505</v>
      </c>
      <c r="D340" s="47">
        <f>D281</f>
        <v>7.8120000000000003</v>
      </c>
      <c r="E340" s="9" t="s">
        <v>480</v>
      </c>
      <c r="F340"/>
      <c r="G340" s="9" t="s">
        <v>522</v>
      </c>
      <c r="H340"/>
      <c r="I340"/>
      <c r="J340"/>
      <c r="K340"/>
    </row>
    <row r="341" spans="1:11">
      <c r="A341"/>
      <c r="F341"/>
      <c r="G341"/>
      <c r="H341"/>
      <c r="I341"/>
      <c r="J341"/>
      <c r="K341"/>
    </row>
    <row r="342" spans="1:11" ht="15.75">
      <c r="A342"/>
      <c r="C342" s="29" t="s">
        <v>507</v>
      </c>
      <c r="F342"/>
      <c r="G342"/>
      <c r="H342"/>
      <c r="I342"/>
      <c r="J342"/>
      <c r="K342"/>
    </row>
    <row r="343" spans="1:11" ht="15.75">
      <c r="A343"/>
      <c r="C343" s="48" t="s">
        <v>498</v>
      </c>
      <c r="D343" s="47">
        <f>MAX(1,$D$313)</f>
        <v>1.1353010787149289</v>
      </c>
      <c r="F343"/>
      <c r="G343"/>
      <c r="H343"/>
      <c r="I343"/>
      <c r="J343"/>
      <c r="K343"/>
    </row>
    <row r="344" spans="1:11" ht="15.75">
      <c r="A344"/>
      <c r="C344" s="48" t="s">
        <v>500</v>
      </c>
      <c r="D344" s="47">
        <f>MAX(1,$D$318)</f>
        <v>1.1151830166984138</v>
      </c>
      <c r="F344"/>
      <c r="G344"/>
      <c r="H344"/>
      <c r="I344"/>
      <c r="J344"/>
      <c r="K344"/>
    </row>
    <row r="345" spans="1:11">
      <c r="A345"/>
      <c r="F345"/>
      <c r="G345"/>
      <c r="H345"/>
      <c r="I345"/>
      <c r="J345"/>
      <c r="K345"/>
    </row>
    <row r="346" spans="1:11" ht="15.75">
      <c r="A346"/>
      <c r="C346" s="11" t="s">
        <v>509</v>
      </c>
      <c r="D346" s="47">
        <f>Cf.br/D338</f>
        <v>7.4696545284780577E-2</v>
      </c>
      <c r="E346" s="29"/>
      <c r="F346"/>
      <c r="G346"/>
      <c r="H346"/>
      <c r="I346"/>
      <c r="J346"/>
      <c r="K346"/>
    </row>
    <row r="347" spans="1:11" ht="15.75">
      <c r="A347"/>
      <c r="C347" s="11" t="s">
        <v>508</v>
      </c>
      <c r="D347" s="47">
        <f>D131/D339</f>
        <v>0.21212955317001564</v>
      </c>
      <c r="F347"/>
      <c r="G347"/>
      <c r="H347"/>
      <c r="I347"/>
      <c r="J347"/>
      <c r="K347"/>
    </row>
    <row r="348" spans="1:11" ht="15.75">
      <c r="A348"/>
      <c r="C348" s="11" t="s">
        <v>510</v>
      </c>
      <c r="D348" s="47">
        <f>D127/D340</f>
        <v>2.1761392729134667E-2</v>
      </c>
      <c r="F348"/>
      <c r="G348"/>
      <c r="H348"/>
      <c r="I348"/>
      <c r="J348"/>
      <c r="K348"/>
    </row>
    <row r="349" spans="1:11">
      <c r="A349"/>
      <c r="F349"/>
      <c r="G349"/>
      <c r="H349"/>
      <c r="I349"/>
      <c r="J349"/>
      <c r="K349"/>
    </row>
    <row r="350" spans="1:11" ht="15">
      <c r="A350"/>
      <c r="D350" s="18" t="s">
        <v>514</v>
      </c>
      <c r="E350" s="51">
        <f>D346+D343*D347+D344*D348</f>
        <v>0.33979539141725051</v>
      </c>
      <c r="F350" s="50" t="s">
        <v>513</v>
      </c>
      <c r="G350"/>
      <c r="H350"/>
      <c r="I350"/>
      <c r="J350"/>
      <c r="K350"/>
    </row>
    <row r="351" spans="1:11">
      <c r="A351"/>
      <c r="F351"/>
      <c r="G351"/>
      <c r="H351"/>
      <c r="I351"/>
      <c r="J351"/>
      <c r="K351"/>
    </row>
    <row r="352" spans="1:11">
      <c r="A352"/>
      <c r="F352"/>
      <c r="G352"/>
      <c r="H352"/>
      <c r="I352"/>
      <c r="J352"/>
      <c r="K352"/>
    </row>
    <row r="353" spans="1:11">
      <c r="A353"/>
      <c r="F353"/>
      <c r="G353"/>
      <c r="H353"/>
      <c r="I353"/>
      <c r="J353"/>
      <c r="K353"/>
    </row>
    <row r="354" spans="1:11">
      <c r="A354"/>
      <c r="F354"/>
      <c r="G354"/>
      <c r="H354"/>
      <c r="I354"/>
      <c r="J354"/>
      <c r="K354"/>
    </row>
    <row r="355" spans="1:11">
      <c r="A355"/>
      <c r="F355"/>
      <c r="G355"/>
      <c r="H355"/>
      <c r="I355"/>
      <c r="J355"/>
      <c r="K355"/>
    </row>
    <row r="356" spans="1:11">
      <c r="A356"/>
      <c r="F356"/>
      <c r="G356"/>
      <c r="H356"/>
      <c r="I356"/>
      <c r="J356"/>
      <c r="K356"/>
    </row>
    <row r="357" spans="1:11">
      <c r="A357"/>
      <c r="F357"/>
      <c r="G357"/>
      <c r="H357"/>
      <c r="I357"/>
      <c r="J357"/>
      <c r="K357"/>
    </row>
    <row r="358" spans="1:11">
      <c r="A358"/>
      <c r="F358"/>
      <c r="G358"/>
      <c r="H358"/>
      <c r="I358"/>
      <c r="J358"/>
      <c r="K358"/>
    </row>
    <row r="359" spans="1:11">
      <c r="A359"/>
      <c r="F359"/>
      <c r="G359"/>
      <c r="H359"/>
      <c r="I359"/>
      <c r="J359"/>
      <c r="K359"/>
    </row>
    <row r="360" spans="1:11">
      <c r="A360"/>
      <c r="F360"/>
      <c r="G360"/>
      <c r="H360"/>
      <c r="I360"/>
      <c r="J360"/>
      <c r="K360"/>
    </row>
    <row r="361" spans="1:11">
      <c r="A361"/>
      <c r="F361"/>
      <c r="G361"/>
      <c r="H361"/>
      <c r="I361"/>
      <c r="J361"/>
      <c r="K361"/>
    </row>
    <row r="362" spans="1:11">
      <c r="A362"/>
      <c r="F362"/>
      <c r="G362"/>
      <c r="H362"/>
      <c r="I362"/>
      <c r="J362"/>
      <c r="K362"/>
    </row>
    <row r="363" spans="1:11">
      <c r="A363"/>
      <c r="F363"/>
      <c r="G363"/>
      <c r="H363"/>
      <c r="I363"/>
      <c r="J363"/>
      <c r="K363"/>
    </row>
    <row r="364" spans="1:11">
      <c r="A364"/>
      <c r="F364"/>
      <c r="G364"/>
      <c r="H364"/>
      <c r="I364"/>
      <c r="J364"/>
      <c r="K364"/>
    </row>
    <row r="365" spans="1:11">
      <c r="A365"/>
      <c r="F365"/>
      <c r="G365"/>
      <c r="H365"/>
      <c r="I365"/>
      <c r="J365"/>
      <c r="K365"/>
    </row>
    <row r="366" spans="1:11">
      <c r="A366"/>
      <c r="F366"/>
      <c r="G366"/>
      <c r="H366"/>
      <c r="I366"/>
      <c r="J366"/>
      <c r="K366"/>
    </row>
    <row r="367" spans="1:11">
      <c r="A367"/>
      <c r="F367"/>
      <c r="G367"/>
      <c r="H367"/>
      <c r="I367"/>
      <c r="J367"/>
      <c r="K367"/>
    </row>
    <row r="368" spans="1:11">
      <c r="A368"/>
      <c r="B368" s="11"/>
      <c r="C368" s="11"/>
      <c r="D368" s="11"/>
    </row>
    <row r="369" spans="1:7">
      <c r="A369"/>
      <c r="B369" s="11"/>
      <c r="C369" s="28" t="s">
        <v>27</v>
      </c>
      <c r="D369" s="11"/>
    </row>
    <row r="370" spans="1:7" ht="15.75">
      <c r="A370"/>
      <c r="B370" s="11"/>
      <c r="C370" s="11" t="s">
        <v>504</v>
      </c>
      <c r="D370" s="35">
        <f>PHI.br*A.br*Fy.br*(1+Lambda.br^(2*n.br))^(-1/n.br)/1000</f>
        <v>228.28705951606327</v>
      </c>
      <c r="E370" s="9" t="s">
        <v>12</v>
      </c>
      <c r="F370"/>
      <c r="G370" t="s">
        <v>511</v>
      </c>
    </row>
    <row r="371" spans="1:7" ht="15.75">
      <c r="A371"/>
      <c r="B371" s="11"/>
      <c r="C371" s="11" t="s">
        <v>503</v>
      </c>
      <c r="D371" s="47">
        <f>PHI.br*Sx.br*Fy.br/10^6</f>
        <v>5.4494999999999996</v>
      </c>
      <c r="E371" s="9" t="s">
        <v>480</v>
      </c>
      <c r="F371"/>
      <c r="G371" s="9" t="s">
        <v>506</v>
      </c>
    </row>
    <row r="372" spans="1:7" ht="15.75">
      <c r="A372"/>
      <c r="B372" s="11"/>
      <c r="C372" s="11" t="s">
        <v>505</v>
      </c>
      <c r="D372" s="47">
        <f>D281</f>
        <v>7.8120000000000003</v>
      </c>
      <c r="E372" s="9" t="s">
        <v>480</v>
      </c>
      <c r="F372"/>
      <c r="G372" s="9" t="s">
        <v>522</v>
      </c>
    </row>
    <row r="373" spans="1:7">
      <c r="A373"/>
      <c r="B373" s="11"/>
      <c r="F373"/>
      <c r="G373"/>
    </row>
    <row r="374" spans="1:7" ht="15.75">
      <c r="A374"/>
      <c r="B374" s="11"/>
      <c r="C374" s="29" t="s">
        <v>507</v>
      </c>
      <c r="F374"/>
      <c r="G374"/>
    </row>
    <row r="375" spans="1:7" ht="15.75">
      <c r="A375"/>
      <c r="B375" s="11"/>
      <c r="C375" s="48" t="s">
        <v>498</v>
      </c>
      <c r="D375" s="47">
        <f>MAX(1,$D$313)</f>
        <v>1.1353010787149289</v>
      </c>
      <c r="F375"/>
      <c r="G375"/>
    </row>
    <row r="376" spans="1:7" ht="15.75">
      <c r="A376"/>
      <c r="B376" s="11"/>
      <c r="C376" s="48" t="s">
        <v>500</v>
      </c>
      <c r="D376" s="47">
        <f>MAX(1,$D$318)</f>
        <v>1.1151830166984138</v>
      </c>
      <c r="F376"/>
      <c r="G376"/>
    </row>
    <row r="377" spans="1:7">
      <c r="A377"/>
      <c r="B377" s="11"/>
      <c r="F377"/>
      <c r="G377"/>
    </row>
    <row r="378" spans="1:7" ht="15.75">
      <c r="A378"/>
      <c r="B378" s="11"/>
      <c r="C378" s="11" t="s">
        <v>509</v>
      </c>
      <c r="D378" s="47">
        <f>Cf.br/D370</f>
        <v>0.17521799126413221</v>
      </c>
      <c r="E378" s="29"/>
      <c r="F378"/>
      <c r="G378"/>
    </row>
    <row r="379" spans="1:7" ht="15.75">
      <c r="A379"/>
      <c r="B379" s="11"/>
      <c r="C379" s="11" t="s">
        <v>508</v>
      </c>
      <c r="D379" s="47">
        <f>D131/D371</f>
        <v>0.21212955317001564</v>
      </c>
      <c r="F379"/>
      <c r="G379"/>
    </row>
    <row r="380" spans="1:7" ht="15.75">
      <c r="A380"/>
      <c r="B380" s="11"/>
      <c r="C380" s="11" t="s">
        <v>510</v>
      </c>
      <c r="D380" s="47">
        <f>D127/D372</f>
        <v>2.1761392729134667E-2</v>
      </c>
      <c r="F380"/>
      <c r="G380"/>
    </row>
    <row r="381" spans="1:7">
      <c r="A381"/>
      <c r="B381" s="11"/>
      <c r="F381"/>
      <c r="G381"/>
    </row>
    <row r="382" spans="1:7" s="9" customFormat="1">
      <c r="A382"/>
      <c r="B382" s="11"/>
      <c r="C382" s="11"/>
      <c r="D382" s="18" t="s">
        <v>514</v>
      </c>
      <c r="E382" s="51">
        <f>D378+D375*D379+D376*D380</f>
        <v>0.4403168373966021</v>
      </c>
      <c r="F382" s="50" t="s">
        <v>513</v>
      </c>
    </row>
    <row r="383" spans="1:7" s="9" customFormat="1" ht="12.75">
      <c r="A383"/>
      <c r="B383" s="11"/>
      <c r="C383" s="11"/>
      <c r="D383" s="11"/>
    </row>
    <row r="384" spans="1:7" s="9" customFormat="1" ht="12.75">
      <c r="A384"/>
      <c r="B384" s="11"/>
      <c r="C384" s="11"/>
      <c r="D384" s="11"/>
    </row>
    <row r="385" spans="1:7" s="9" customFormat="1" ht="12.75">
      <c r="A385"/>
      <c r="B385" s="11"/>
      <c r="C385" s="11"/>
      <c r="D385" s="11"/>
    </row>
    <row r="386" spans="1:7" s="9" customFormat="1" ht="12.75">
      <c r="A386"/>
      <c r="B386" s="11"/>
      <c r="C386" s="11"/>
      <c r="D386" s="11"/>
    </row>
    <row r="387" spans="1:7" s="9" customFormat="1" ht="12.75">
      <c r="A387"/>
      <c r="B387" s="11"/>
      <c r="C387" s="28" t="s">
        <v>28</v>
      </c>
      <c r="D387" s="11"/>
    </row>
    <row r="388" spans="1:7" s="9" customFormat="1" ht="15.75">
      <c r="A388"/>
      <c r="B388" s="11"/>
      <c r="C388" s="11" t="s">
        <v>504</v>
      </c>
      <c r="D388" s="35">
        <f>PHI.br*A.br*Fy.br*(1+Lambda.br^(2*n.br))^(-1/n.br)/1000</f>
        <v>228.28705951606327</v>
      </c>
      <c r="E388" s="9" t="s">
        <v>12</v>
      </c>
      <c r="F388"/>
      <c r="G388" t="s">
        <v>511</v>
      </c>
    </row>
    <row r="389" spans="1:7" s="9" customFormat="1" ht="15.75">
      <c r="A389"/>
      <c r="B389" s="11"/>
      <c r="C389" s="11" t="s">
        <v>503</v>
      </c>
      <c r="D389" s="47">
        <f>D273</f>
        <v>5.3755651475149016</v>
      </c>
      <c r="E389" s="9" t="s">
        <v>480</v>
      </c>
      <c r="F389"/>
      <c r="G389" s="29" t="s">
        <v>516</v>
      </c>
    </row>
    <row r="390" spans="1:7" s="9" customFormat="1" ht="15.75">
      <c r="A390"/>
      <c r="C390" s="11" t="s">
        <v>505</v>
      </c>
      <c r="D390" s="47">
        <f>D281</f>
        <v>7.8120000000000003</v>
      </c>
      <c r="E390" s="9" t="s">
        <v>480</v>
      </c>
      <c r="F390"/>
      <c r="G390" s="9" t="s">
        <v>522</v>
      </c>
    </row>
    <row r="391" spans="1:7" s="9" customFormat="1" ht="12.75">
      <c r="A391"/>
      <c r="F391"/>
      <c r="G391"/>
    </row>
    <row r="392" spans="1:7" s="9" customFormat="1" ht="15.75">
      <c r="A392"/>
      <c r="C392" s="29" t="s">
        <v>507</v>
      </c>
      <c r="F392"/>
      <c r="G392"/>
    </row>
    <row r="393" spans="1:7" s="9" customFormat="1" ht="15.75">
      <c r="A393"/>
      <c r="C393" s="48" t="s">
        <v>498</v>
      </c>
      <c r="D393" s="47">
        <f>MAX(1,$D$313)</f>
        <v>1.1353010787149289</v>
      </c>
      <c r="F393"/>
      <c r="G393"/>
    </row>
    <row r="394" spans="1:7" s="9" customFormat="1" ht="15.75">
      <c r="A394"/>
      <c r="C394" s="48" t="s">
        <v>500</v>
      </c>
      <c r="D394" s="47">
        <f>MAX(1,$D$318)</f>
        <v>1.1151830166984138</v>
      </c>
      <c r="F394"/>
      <c r="G394"/>
    </row>
    <row r="395" spans="1:7" s="9" customFormat="1" ht="12.75">
      <c r="A395"/>
      <c r="F395"/>
      <c r="G395"/>
    </row>
    <row r="396" spans="1:7" s="9" customFormat="1" ht="15.75">
      <c r="A396"/>
      <c r="C396" s="11" t="s">
        <v>509</v>
      </c>
      <c r="D396" s="47">
        <f>Cf.br/D388</f>
        <v>0.17521799126413221</v>
      </c>
      <c r="E396" s="29"/>
      <c r="F396"/>
      <c r="G396"/>
    </row>
    <row r="397" spans="1:7" s="9" customFormat="1" ht="15.75">
      <c r="A397"/>
      <c r="C397" s="11" t="s">
        <v>508</v>
      </c>
      <c r="D397" s="47">
        <f>D131/D389</f>
        <v>0.21504715658304568</v>
      </c>
      <c r="F397"/>
      <c r="G397"/>
    </row>
    <row r="398" spans="1:7" ht="15.75">
      <c r="A398"/>
      <c r="C398" s="11" t="s">
        <v>510</v>
      </c>
      <c r="D398" s="47">
        <f>D127/D390</f>
        <v>2.1761392729134667E-2</v>
      </c>
      <c r="F398"/>
      <c r="G398"/>
    </row>
    <row r="399" spans="1:7">
      <c r="A399"/>
      <c r="F399"/>
      <c r="G399"/>
    </row>
    <row r="400" spans="1:7" ht="15">
      <c r="A400"/>
      <c r="C400" s="11"/>
      <c r="D400" s="18" t="s">
        <v>514</v>
      </c>
      <c r="E400" s="51">
        <f>D396+D393*D397+D394*D398</f>
        <v>0.44362919569867754</v>
      </c>
      <c r="F400" s="50" t="s">
        <v>513</v>
      </c>
    </row>
    <row r="401" spans="1:11">
      <c r="A401"/>
      <c r="C401"/>
      <c r="D401"/>
      <c r="E401"/>
    </row>
    <row r="402" spans="1:11">
      <c r="A402"/>
      <c r="C402"/>
      <c r="D402"/>
      <c r="E402"/>
    </row>
    <row r="403" spans="1:11">
      <c r="A403"/>
      <c r="B403" s="11"/>
      <c r="C403" s="11"/>
      <c r="D403" s="11"/>
      <c r="I403" s="25"/>
      <c r="J403" s="17"/>
      <c r="K403" s="11"/>
    </row>
    <row r="404" spans="1:11">
      <c r="A404"/>
      <c r="B404" s="11"/>
      <c r="C404" s="28" t="s">
        <v>29</v>
      </c>
      <c r="D404" s="11"/>
      <c r="I404" s="25"/>
      <c r="J404" s="17"/>
      <c r="K404" s="11"/>
    </row>
    <row r="405" spans="1:11" ht="15.75">
      <c r="A405"/>
      <c r="B405" s="11"/>
      <c r="C405" s="11" t="s">
        <v>503</v>
      </c>
      <c r="D405" s="47">
        <f>D273</f>
        <v>5.3755651475149016</v>
      </c>
      <c r="E405" s="9" t="s">
        <v>480</v>
      </c>
      <c r="G405" s="29" t="s">
        <v>516</v>
      </c>
      <c r="I405" s="25"/>
      <c r="J405" s="17"/>
      <c r="K405" s="11"/>
    </row>
    <row r="406" spans="1:11" ht="15.75">
      <c r="A406"/>
      <c r="B406" s="11"/>
      <c r="C406" s="11" t="s">
        <v>505</v>
      </c>
      <c r="D406" s="47">
        <f>D281</f>
        <v>7.8120000000000003</v>
      </c>
      <c r="E406" s="9" t="s">
        <v>480</v>
      </c>
      <c r="G406" s="9" t="s">
        <v>522</v>
      </c>
      <c r="I406" s="25"/>
      <c r="J406" s="17"/>
      <c r="K406" s="11"/>
    </row>
    <row r="407" spans="1:11">
      <c r="A407"/>
      <c r="B407" s="11"/>
      <c r="C407" s="11"/>
      <c r="D407" s="11"/>
      <c r="I407" s="25"/>
      <c r="J407" s="17"/>
      <c r="K407" s="11"/>
    </row>
    <row r="408" spans="1:11" ht="15.75">
      <c r="A408"/>
      <c r="B408" s="11"/>
      <c r="C408" s="11" t="s">
        <v>508</v>
      </c>
      <c r="D408" s="47">
        <f>D131/D405</f>
        <v>0.21504715658304568</v>
      </c>
      <c r="I408" s="25"/>
      <c r="J408" s="17"/>
      <c r="K408" s="11"/>
    </row>
    <row r="409" spans="1:11" ht="15.75">
      <c r="A409"/>
      <c r="B409" s="11"/>
      <c r="C409" s="11" t="s">
        <v>510</v>
      </c>
      <c r="D409" s="47">
        <f>D127/D406</f>
        <v>2.1761392729134667E-2</v>
      </c>
      <c r="I409" s="25"/>
      <c r="J409" s="17"/>
      <c r="K409" s="11"/>
    </row>
    <row r="410" spans="1:11">
      <c r="A410"/>
      <c r="B410" s="11"/>
      <c r="C410" s="11"/>
      <c r="D410" s="11"/>
      <c r="I410" s="25"/>
      <c r="J410" s="17"/>
      <c r="K410" s="11"/>
    </row>
    <row r="411" spans="1:11" ht="15">
      <c r="A411"/>
      <c r="B411" s="11"/>
      <c r="C411" s="11"/>
      <c r="D411" s="18" t="s">
        <v>517</v>
      </c>
      <c r="E411" s="51">
        <f>D408+D409</f>
        <v>0.23680854931218034</v>
      </c>
      <c r="F411" s="50" t="s">
        <v>513</v>
      </c>
      <c r="I411" s="25"/>
      <c r="J411" s="17"/>
      <c r="K411" s="11"/>
    </row>
    <row r="412" spans="1:11">
      <c r="A412"/>
      <c r="B412" s="11"/>
      <c r="C412" s="11"/>
      <c r="D412" s="11"/>
      <c r="I412" s="25"/>
      <c r="J412" s="17"/>
      <c r="K412" s="11"/>
    </row>
    <row r="413" spans="1:11">
      <c r="A413"/>
      <c r="B413" s="11"/>
      <c r="C413" s="11"/>
      <c r="D413" s="11"/>
      <c r="I413" s="25"/>
      <c r="J413" s="17"/>
      <c r="K413" s="11"/>
    </row>
    <row r="414" spans="1:11">
      <c r="A414"/>
      <c r="B414" s="11"/>
      <c r="C414" s="11"/>
      <c r="D414" s="11"/>
      <c r="I414" s="25"/>
      <c r="J414" s="17"/>
      <c r="K414" s="11"/>
    </row>
    <row r="415" spans="1:11">
      <c r="A415"/>
      <c r="B415" s="11"/>
      <c r="C415" s="11"/>
      <c r="D415" s="11"/>
      <c r="I415" s="25"/>
      <c r="J415" s="17"/>
      <c r="K415" s="11"/>
    </row>
    <row r="416" spans="1:11">
      <c r="A416"/>
      <c r="B416" s="11"/>
      <c r="C416" s="11"/>
      <c r="D416" s="11"/>
      <c r="I416" s="25"/>
      <c r="J416" s="17"/>
      <c r="K416" s="11"/>
    </row>
    <row r="417" spans="1:11">
      <c r="A417"/>
      <c r="B417" s="11"/>
      <c r="C417" s="11"/>
      <c r="D417" s="11"/>
      <c r="I417" s="25"/>
      <c r="J417" s="17"/>
      <c r="K417" s="11"/>
    </row>
    <row r="418" spans="1:11">
      <c r="A418"/>
      <c r="B418" s="11"/>
      <c r="C418" s="11"/>
      <c r="D418" s="11"/>
      <c r="I418" s="25"/>
      <c r="J418" s="17"/>
      <c r="K418" s="11"/>
    </row>
    <row r="419" spans="1:11">
      <c r="A419"/>
      <c r="B419" s="11"/>
      <c r="C419" s="11"/>
      <c r="D419" s="11"/>
      <c r="I419" s="25"/>
      <c r="J419" s="17"/>
      <c r="K419" s="11"/>
    </row>
    <row r="420" spans="1:11">
      <c r="A420"/>
      <c r="B420" s="11"/>
      <c r="C420" s="11"/>
      <c r="D420" s="11"/>
      <c r="I420" s="25"/>
      <c r="J420" s="17"/>
      <c r="K420" s="11"/>
    </row>
    <row r="421" spans="1:11">
      <c r="A421"/>
      <c r="B421" s="11"/>
      <c r="C421" s="11"/>
      <c r="D421" s="11"/>
      <c r="I421" s="25"/>
      <c r="J421" s="17"/>
      <c r="K421" s="11"/>
    </row>
    <row r="422" spans="1:11">
      <c r="A422"/>
      <c r="B422" s="11"/>
      <c r="C422" s="11"/>
      <c r="D422" s="11"/>
      <c r="I422" s="25"/>
      <c r="J422" s="17"/>
      <c r="K422" s="11"/>
    </row>
    <row r="423" spans="1:11">
      <c r="A423"/>
      <c r="B423" s="11"/>
      <c r="C423" s="11"/>
      <c r="D423" s="11"/>
      <c r="I423" s="25"/>
      <c r="J423" s="17"/>
      <c r="K423" s="11"/>
    </row>
    <row r="424" spans="1:11">
      <c r="A424"/>
      <c r="B424" s="11"/>
      <c r="C424" s="11"/>
      <c r="D424" s="11"/>
      <c r="I424" s="25"/>
      <c r="J424" s="17"/>
      <c r="K424" s="11"/>
    </row>
    <row r="425" spans="1:11">
      <c r="A425"/>
      <c r="B425" s="11"/>
      <c r="C425" s="11"/>
      <c r="D425" s="11"/>
      <c r="I425" s="25"/>
      <c r="J425" s="17"/>
      <c r="K425" s="11"/>
    </row>
    <row r="426" spans="1:11">
      <c r="A426"/>
      <c r="C426"/>
      <c r="D426"/>
      <c r="E426"/>
      <c r="F426"/>
      <c r="G426"/>
      <c r="H426"/>
      <c r="I426"/>
      <c r="J426"/>
      <c r="K426"/>
    </row>
    <row r="427" spans="1:11">
      <c r="B427" s="11"/>
      <c r="C427" s="15" t="s">
        <v>518</v>
      </c>
      <c r="D427" s="11"/>
      <c r="I427" s="25"/>
      <c r="J427" s="17"/>
      <c r="K427" s="11"/>
    </row>
    <row r="428" spans="1:11">
      <c r="A428"/>
      <c r="B428" s="11"/>
      <c r="C428" s="11"/>
      <c r="D428" s="11"/>
      <c r="I428" s="25"/>
      <c r="J428" s="17"/>
      <c r="K428" s="11"/>
    </row>
    <row r="429" spans="1:11">
      <c r="C429" s="11"/>
      <c r="H429" s="25"/>
      <c r="I429" s="17"/>
    </row>
    <row r="430" spans="1:11">
      <c r="A430"/>
      <c r="B430" s="11"/>
      <c r="C430" s="11"/>
      <c r="D430" s="11"/>
      <c r="I430" s="25"/>
      <c r="J430" s="17"/>
      <c r="K430" s="11"/>
    </row>
    <row r="431" spans="1:11">
      <c r="A431"/>
      <c r="B431" s="11"/>
      <c r="C431" s="11"/>
      <c r="D431" s="11"/>
      <c r="I431" s="25"/>
      <c r="J431" s="17"/>
      <c r="K431" s="11"/>
    </row>
    <row r="432" spans="1:11">
      <c r="A432"/>
      <c r="B432" s="11"/>
      <c r="C432" s="11"/>
      <c r="D432" s="11"/>
      <c r="I432" s="25"/>
      <c r="J432" s="17"/>
      <c r="K432" s="11"/>
    </row>
    <row r="433" spans="1:11">
      <c r="A433"/>
      <c r="B433" s="11"/>
      <c r="C433" s="11"/>
      <c r="D433" s="11"/>
      <c r="I433" s="25"/>
      <c r="J433" s="17"/>
      <c r="K433" s="11"/>
    </row>
    <row r="434" spans="1:11">
      <c r="A434"/>
      <c r="B434" s="11"/>
      <c r="C434" s="11"/>
      <c r="D434" s="11"/>
      <c r="I434" s="25"/>
      <c r="J434" s="17"/>
      <c r="K434" s="11"/>
    </row>
    <row r="435" spans="1:11">
      <c r="A435"/>
      <c r="B435" s="11"/>
      <c r="C435" s="11"/>
      <c r="D435" s="11"/>
      <c r="I435" s="25"/>
      <c r="J435" s="17"/>
      <c r="K435" s="11"/>
    </row>
    <row r="436" spans="1:11">
      <c r="A436"/>
      <c r="B436" s="11"/>
      <c r="C436" s="11"/>
      <c r="D436" s="11"/>
      <c r="I436" s="25"/>
      <c r="J436" s="17"/>
      <c r="K436" s="11"/>
    </row>
    <row r="437" spans="1:11">
      <c r="A437"/>
      <c r="B437" s="11"/>
      <c r="C437" s="11"/>
      <c r="D437" s="11"/>
      <c r="I437" s="25"/>
      <c r="J437" s="17"/>
      <c r="K437" s="11"/>
    </row>
    <row r="438" spans="1:11">
      <c r="A438"/>
      <c r="B438" s="11"/>
      <c r="C438" s="11"/>
      <c r="D438" s="11"/>
      <c r="I438" s="25"/>
      <c r="J438" s="17"/>
      <c r="K438" s="11"/>
    </row>
    <row r="440" spans="1:11">
      <c r="C440" s="28" t="s">
        <v>30</v>
      </c>
    </row>
    <row r="441" spans="1:11" ht="15.75">
      <c r="C441" s="11" t="s">
        <v>519</v>
      </c>
      <c r="D441" s="35">
        <f>E199</f>
        <v>430.3125</v>
      </c>
      <c r="E441" s="9" t="s">
        <v>12</v>
      </c>
      <c r="F441"/>
      <c r="G441"/>
    </row>
    <row r="442" spans="1:11" ht="15.75">
      <c r="C442" s="11" t="s">
        <v>503</v>
      </c>
      <c r="D442" s="47">
        <f>PHI.br*Sx.br*Fy.br/10^6</f>
        <v>5.4494999999999996</v>
      </c>
      <c r="E442" s="9" t="s">
        <v>480</v>
      </c>
      <c r="F442"/>
      <c r="G442" s="9" t="s">
        <v>506</v>
      </c>
    </row>
    <row r="443" spans="1:11" ht="15.75">
      <c r="C443" s="11" t="s">
        <v>505</v>
      </c>
      <c r="D443" s="47">
        <f>D281</f>
        <v>7.8120000000000003</v>
      </c>
      <c r="E443" s="9" t="s">
        <v>480</v>
      </c>
      <c r="F443"/>
      <c r="G443" s="9" t="s">
        <v>522</v>
      </c>
    </row>
    <row r="445" spans="1:11" ht="15.75">
      <c r="C445" s="11" t="s">
        <v>520</v>
      </c>
      <c r="D445" s="47">
        <f>Tf.br/D441</f>
        <v>9.2955700798838053E-2</v>
      </c>
      <c r="E445" s="29"/>
      <c r="F445"/>
    </row>
    <row r="446" spans="1:11" s="9" customFormat="1" ht="15.75">
      <c r="C446" s="11" t="s">
        <v>508</v>
      </c>
      <c r="D446" s="47">
        <f>D131/D442</f>
        <v>0.21212955317001564</v>
      </c>
      <c r="F446"/>
    </row>
    <row r="447" spans="1:11" s="9" customFormat="1" ht="15.75">
      <c r="C447" s="11" t="s">
        <v>510</v>
      </c>
      <c r="D447" s="47">
        <f>D127/D443</f>
        <v>2.1761392729134667E-2</v>
      </c>
      <c r="F447"/>
    </row>
    <row r="448" spans="1:11" s="9" customFormat="1" ht="12.75">
      <c r="F448"/>
    </row>
    <row r="449" spans="3:7" s="9" customFormat="1">
      <c r="C449" s="11"/>
      <c r="D449" s="18" t="s">
        <v>521</v>
      </c>
      <c r="E449" s="51">
        <f>D445+D446+D447</f>
        <v>0.32684664669798835</v>
      </c>
      <c r="F449" s="50" t="s">
        <v>513</v>
      </c>
    </row>
    <row r="461" spans="3:7" s="9" customFormat="1" ht="12.75">
      <c r="C461" s="28" t="s">
        <v>523</v>
      </c>
    </row>
    <row r="462" spans="3:7" s="9" customFormat="1" ht="15.75">
      <c r="C462" s="9" t="s">
        <v>524</v>
      </c>
    </row>
    <row r="464" spans="3:7" s="9" customFormat="1" ht="15.75">
      <c r="C464" s="11" t="s">
        <v>503</v>
      </c>
      <c r="D464" s="47">
        <f>D273</f>
        <v>5.3755651475149016</v>
      </c>
      <c r="E464" s="9" t="s">
        <v>480</v>
      </c>
      <c r="F464"/>
      <c r="G464" s="29" t="s">
        <v>516</v>
      </c>
    </row>
    <row r="465" spans="3:7" s="9" customFormat="1" ht="15.75">
      <c r="C465" s="11" t="s">
        <v>505</v>
      </c>
      <c r="D465" s="47">
        <f>D281</f>
        <v>7.8120000000000003</v>
      </c>
      <c r="E465" s="9" t="s">
        <v>480</v>
      </c>
      <c r="F465"/>
      <c r="G465" s="9" t="s">
        <v>522</v>
      </c>
    </row>
    <row r="467" spans="3:7" s="9" customFormat="1" ht="15.75">
      <c r="C467" s="11" t="s">
        <v>526</v>
      </c>
      <c r="D467" s="47">
        <f>Tf.br*Sx.br/(D464*A.br)/1000</f>
        <v>7.5723912250899444E-2</v>
      </c>
      <c r="E467" s="29"/>
      <c r="F467"/>
    </row>
    <row r="468" spans="3:7" s="9" customFormat="1" ht="15.75">
      <c r="C468" s="11" t="s">
        <v>508</v>
      </c>
      <c r="D468" s="47">
        <f>D131/D464</f>
        <v>0.21504715658304568</v>
      </c>
      <c r="F468"/>
    </row>
    <row r="469" spans="3:7" s="9" customFormat="1" ht="15.75">
      <c r="C469" s="11" t="s">
        <v>510</v>
      </c>
      <c r="D469" s="47">
        <f>D127/D465</f>
        <v>2.1761392729134667E-2</v>
      </c>
      <c r="F469"/>
    </row>
    <row r="470" spans="3:7" s="9" customFormat="1" ht="12.75">
      <c r="F470"/>
    </row>
    <row r="471" spans="3:7" s="9" customFormat="1">
      <c r="C471" s="11"/>
      <c r="D471" s="18" t="s">
        <v>525</v>
      </c>
      <c r="E471" s="51">
        <f>D468+D469-D467</f>
        <v>0.1610846370612809</v>
      </c>
      <c r="F471" s="50" t="s">
        <v>513</v>
      </c>
    </row>
  </sheetData>
  <mergeCells count="1">
    <mergeCell ref="D189:K190"/>
  </mergeCells>
  <pageMargins left="0.7" right="0.7" top="1.25" bottom="0.75" header="0.3" footer="0.3"/>
  <pageSetup scale="77" fitToHeight="0" orientation="portrait" horizontalDpi="1200" verticalDpi="1200" r:id="rId1"/>
  <headerFooter>
    <oddHeader>&amp;L&amp;G
Client: Keyera
Project No: F3KY&amp;C&amp;G&amp;RDesigned By: CW
Checked By: NP
Date: 25-Feb-2026
Revision: 0</oddHeader>
    <oddFooter>&amp;LContractor Document No:  F3KY-215-CAL-031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9B16A-B923-41B1-B230-DEC59212AF16}">
  <dimension ref="A1:AE218"/>
  <sheetViews>
    <sheetView workbookViewId="0">
      <selection activeCell="Q79" sqref="Q79"/>
    </sheetView>
  </sheetViews>
  <sheetFormatPr defaultRowHeight="15"/>
  <cols>
    <col min="1" max="1" width="9.140625" style="2"/>
    <col min="2" max="2" width="15.85546875" style="2" customWidth="1"/>
    <col min="3" max="16384" width="9.140625" style="2"/>
  </cols>
  <sheetData>
    <row r="1" spans="1:31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46</v>
      </c>
      <c r="M1" s="1" t="s">
        <v>47</v>
      </c>
      <c r="N1" s="1" t="s">
        <v>48</v>
      </c>
      <c r="O1" s="1" t="s">
        <v>49</v>
      </c>
      <c r="P1" s="1" t="s">
        <v>50</v>
      </c>
      <c r="Q1" s="1" t="s">
        <v>51</v>
      </c>
      <c r="R1" s="1" t="s">
        <v>52</v>
      </c>
      <c r="S1" s="1" t="s">
        <v>53</v>
      </c>
      <c r="T1" s="1" t="s">
        <v>54</v>
      </c>
      <c r="U1" s="1" t="s">
        <v>55</v>
      </c>
      <c r="V1" s="1" t="s">
        <v>56</v>
      </c>
      <c r="W1" s="1" t="s">
        <v>57</v>
      </c>
      <c r="X1" s="1" t="s">
        <v>58</v>
      </c>
      <c r="Y1" s="1" t="s">
        <v>59</v>
      </c>
      <c r="Z1" s="1" t="s">
        <v>60</v>
      </c>
      <c r="AA1" s="1" t="s">
        <v>61</v>
      </c>
      <c r="AB1" s="1" t="s">
        <v>24</v>
      </c>
      <c r="AC1" s="1" t="s">
        <v>62</v>
      </c>
      <c r="AD1" s="1" t="s">
        <v>63</v>
      </c>
      <c r="AE1" s="1" t="s">
        <v>64</v>
      </c>
    </row>
    <row r="2" spans="1:3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 t="s">
        <v>65</v>
      </c>
      <c r="Q2" s="1" t="s">
        <v>66</v>
      </c>
      <c r="R2" s="1"/>
      <c r="S2" s="1"/>
      <c r="T2" s="1"/>
      <c r="U2" s="1"/>
      <c r="V2" s="1"/>
      <c r="W2" s="1"/>
      <c r="X2" s="1"/>
      <c r="Y2" s="1"/>
      <c r="Z2" s="1"/>
      <c r="AA2" s="1" t="s">
        <v>66</v>
      </c>
      <c r="AB2" s="1" t="s">
        <v>67</v>
      </c>
      <c r="AC2" s="1"/>
      <c r="AD2" s="1"/>
      <c r="AE2" s="1"/>
    </row>
    <row r="3" spans="1:31">
      <c r="A3" s="3" t="s">
        <v>68</v>
      </c>
      <c r="B3" s="1"/>
      <c r="C3" s="1"/>
      <c r="D3" s="1"/>
      <c r="E3" s="1"/>
      <c r="F3" s="1" t="s">
        <v>7</v>
      </c>
      <c r="G3" s="1" t="s">
        <v>7</v>
      </c>
      <c r="H3" s="1" t="s">
        <v>7</v>
      </c>
      <c r="I3" s="1" t="s">
        <v>7</v>
      </c>
      <c r="J3" s="1"/>
      <c r="K3" s="1"/>
      <c r="L3" s="1" t="s">
        <v>7</v>
      </c>
      <c r="M3" s="1"/>
      <c r="N3" s="1" t="s">
        <v>69</v>
      </c>
      <c r="O3" s="1" t="s">
        <v>17</v>
      </c>
      <c r="P3" s="1" t="s">
        <v>70</v>
      </c>
      <c r="Q3" s="1" t="s">
        <v>71</v>
      </c>
      <c r="R3" s="1" t="s">
        <v>7</v>
      </c>
      <c r="S3" s="1" t="s">
        <v>7</v>
      </c>
      <c r="T3" s="1" t="s">
        <v>7</v>
      </c>
      <c r="U3" s="1" t="s">
        <v>7</v>
      </c>
      <c r="V3" s="1" t="s">
        <v>7</v>
      </c>
      <c r="W3" s="1" t="s">
        <v>7</v>
      </c>
      <c r="X3" s="1" t="s">
        <v>7</v>
      </c>
      <c r="Y3" s="1" t="s">
        <v>7</v>
      </c>
      <c r="Z3" s="1" t="s">
        <v>7</v>
      </c>
      <c r="AA3" s="1" t="s">
        <v>70</v>
      </c>
      <c r="AB3" s="1" t="s">
        <v>72</v>
      </c>
      <c r="AC3" s="1" t="s">
        <v>73</v>
      </c>
      <c r="AD3" s="1"/>
      <c r="AE3" s="1" t="s">
        <v>74</v>
      </c>
    </row>
    <row r="4" spans="1:31">
      <c r="A4" s="3" t="s">
        <v>75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idden="1">
      <c r="A5" s="4" t="s">
        <v>76</v>
      </c>
      <c r="B5" s="5" t="s">
        <v>77</v>
      </c>
      <c r="C5" s="4" t="s">
        <v>76</v>
      </c>
      <c r="D5" s="4">
        <v>11</v>
      </c>
      <c r="E5" s="4">
        <v>3</v>
      </c>
      <c r="F5" s="4">
        <v>152</v>
      </c>
      <c r="G5" s="4">
        <v>203</v>
      </c>
      <c r="H5" s="4">
        <v>25.4</v>
      </c>
      <c r="I5" s="4">
        <v>32.4</v>
      </c>
      <c r="J5" s="4">
        <v>7.99</v>
      </c>
      <c r="K5" s="4">
        <v>5.98</v>
      </c>
      <c r="L5" s="4">
        <v>40</v>
      </c>
      <c r="M5" s="4">
        <v>0.54100000000000004</v>
      </c>
      <c r="N5" s="4">
        <v>131</v>
      </c>
      <c r="O5" s="4">
        <v>16700</v>
      </c>
      <c r="P5" s="4">
        <v>32</v>
      </c>
      <c r="Q5" s="4">
        <v>291</v>
      </c>
      <c r="R5" s="4">
        <v>43.7</v>
      </c>
      <c r="S5" s="4">
        <v>41.9</v>
      </c>
      <c r="T5" s="4">
        <v>92.4</v>
      </c>
      <c r="U5" s="4">
        <v>95.4</v>
      </c>
      <c r="V5" s="4">
        <v>96.1</v>
      </c>
      <c r="W5" s="4">
        <v>96.9</v>
      </c>
      <c r="X5" s="4">
        <v>98.4</v>
      </c>
      <c r="Y5" s="4">
        <v>100</v>
      </c>
      <c r="Z5" s="4">
        <v>29.2</v>
      </c>
      <c r="AA5" s="4">
        <v>3600</v>
      </c>
      <c r="AB5" s="4">
        <v>8.73</v>
      </c>
      <c r="AC5" s="4">
        <v>1.42</v>
      </c>
      <c r="AD5" s="4" t="s">
        <v>78</v>
      </c>
      <c r="AE5" s="4">
        <v>88.3</v>
      </c>
    </row>
    <row r="6" spans="1:31" hidden="1">
      <c r="A6" s="4"/>
      <c r="B6" s="5" t="s">
        <v>79</v>
      </c>
      <c r="C6" s="4" t="s">
        <v>76</v>
      </c>
      <c r="D6" s="4">
        <v>11</v>
      </c>
      <c r="E6" s="4">
        <v>3</v>
      </c>
      <c r="F6" s="4">
        <v>152</v>
      </c>
      <c r="G6" s="4">
        <v>203</v>
      </c>
      <c r="H6" s="4">
        <v>22.2</v>
      </c>
      <c r="I6" s="4">
        <v>32.5</v>
      </c>
      <c r="J6" s="4">
        <v>9.14</v>
      </c>
      <c r="K6" s="4">
        <v>6.85</v>
      </c>
      <c r="L6" s="4">
        <v>36</v>
      </c>
      <c r="M6" s="4">
        <v>0.54500000000000004</v>
      </c>
      <c r="N6" s="4">
        <v>116</v>
      </c>
      <c r="O6" s="4">
        <v>14800</v>
      </c>
      <c r="P6" s="4">
        <v>28.8</v>
      </c>
      <c r="Q6" s="4">
        <v>259</v>
      </c>
      <c r="R6" s="4">
        <v>44.1</v>
      </c>
      <c r="S6" s="4">
        <v>40.700000000000003</v>
      </c>
      <c r="T6" s="4">
        <v>91.9</v>
      </c>
      <c r="U6" s="4">
        <v>94.8</v>
      </c>
      <c r="V6" s="4">
        <v>95.6</v>
      </c>
      <c r="W6" s="4">
        <v>96.3</v>
      </c>
      <c r="X6" s="4">
        <v>97.8</v>
      </c>
      <c r="Y6" s="4">
        <v>99.3</v>
      </c>
      <c r="Z6" s="4">
        <v>29.6</v>
      </c>
      <c r="AA6" s="4">
        <v>2430</v>
      </c>
      <c r="AB6" s="4">
        <v>6</v>
      </c>
      <c r="AC6" s="4">
        <v>1.42</v>
      </c>
      <c r="AD6" s="4" t="s">
        <v>80</v>
      </c>
      <c r="AE6" s="4">
        <v>77.900000000000006</v>
      </c>
    </row>
    <row r="7" spans="1:31" hidden="1">
      <c r="A7" s="4"/>
      <c r="B7" s="5" t="s">
        <v>81</v>
      </c>
      <c r="C7" s="4" t="s">
        <v>76</v>
      </c>
      <c r="D7" s="4">
        <v>11</v>
      </c>
      <c r="E7" s="4">
        <v>2</v>
      </c>
      <c r="F7" s="4">
        <v>152</v>
      </c>
      <c r="G7" s="4">
        <v>203</v>
      </c>
      <c r="H7" s="4">
        <v>19.100000000000001</v>
      </c>
      <c r="I7" s="4">
        <v>32.6</v>
      </c>
      <c r="J7" s="4">
        <v>10.6</v>
      </c>
      <c r="K7" s="4">
        <v>7.96</v>
      </c>
      <c r="L7" s="4">
        <v>34</v>
      </c>
      <c r="M7" s="4">
        <v>0.54900000000000004</v>
      </c>
      <c r="N7" s="4">
        <v>101</v>
      </c>
      <c r="O7" s="4">
        <v>12800</v>
      </c>
      <c r="P7" s="4">
        <v>25.4</v>
      </c>
      <c r="Q7" s="4">
        <v>226</v>
      </c>
      <c r="R7" s="4">
        <v>44.5</v>
      </c>
      <c r="S7" s="4">
        <v>39.6</v>
      </c>
      <c r="T7" s="4">
        <v>91.4</v>
      </c>
      <c r="U7" s="4">
        <v>94.3</v>
      </c>
      <c r="V7" s="4">
        <v>95</v>
      </c>
      <c r="W7" s="4">
        <v>95.7</v>
      </c>
      <c r="X7" s="4">
        <v>97.2</v>
      </c>
      <c r="Y7" s="4">
        <v>98.8</v>
      </c>
      <c r="Z7" s="4">
        <v>30.1</v>
      </c>
      <c r="AA7" s="4">
        <v>1560</v>
      </c>
      <c r="AB7" s="4">
        <v>3.92</v>
      </c>
      <c r="AC7" s="4">
        <v>1.42</v>
      </c>
      <c r="AD7" s="4" t="s">
        <v>82</v>
      </c>
      <c r="AE7" s="4">
        <v>67.7</v>
      </c>
    </row>
    <row r="8" spans="1:31" hidden="1">
      <c r="A8" s="4"/>
      <c r="B8" s="5" t="s">
        <v>83</v>
      </c>
      <c r="C8" s="4" t="s">
        <v>76</v>
      </c>
      <c r="D8" s="4">
        <v>11</v>
      </c>
      <c r="E8" s="4">
        <v>2</v>
      </c>
      <c r="F8" s="4">
        <v>152</v>
      </c>
      <c r="G8" s="4">
        <v>203</v>
      </c>
      <c r="H8" s="4">
        <v>15.9</v>
      </c>
      <c r="I8" s="4">
        <v>32.799999999999997</v>
      </c>
      <c r="J8" s="4">
        <v>12.8</v>
      </c>
      <c r="K8" s="4">
        <v>9.56</v>
      </c>
      <c r="L8" s="4">
        <v>30</v>
      </c>
      <c r="M8" s="4">
        <v>0.55300000000000005</v>
      </c>
      <c r="N8" s="4">
        <v>84.6</v>
      </c>
      <c r="O8" s="4">
        <v>10800</v>
      </c>
      <c r="P8" s="4">
        <v>21.8</v>
      </c>
      <c r="Q8" s="4">
        <v>192</v>
      </c>
      <c r="R8" s="4">
        <v>44.9</v>
      </c>
      <c r="S8" s="4">
        <v>38.5</v>
      </c>
      <c r="T8" s="4">
        <v>90.9</v>
      </c>
      <c r="U8" s="4">
        <v>93.7</v>
      </c>
      <c r="V8" s="4">
        <v>94.5</v>
      </c>
      <c r="W8" s="4">
        <v>95.2</v>
      </c>
      <c r="X8" s="4">
        <v>96.7</v>
      </c>
      <c r="Y8" s="4">
        <v>98.2</v>
      </c>
      <c r="Z8" s="4">
        <v>30.5</v>
      </c>
      <c r="AA8" s="4">
        <v>909</v>
      </c>
      <c r="AB8" s="4">
        <v>2.3199999999999998</v>
      </c>
      <c r="AC8" s="4">
        <v>1.42</v>
      </c>
      <c r="AD8" s="4" t="s">
        <v>84</v>
      </c>
      <c r="AE8" s="4">
        <v>56.9</v>
      </c>
    </row>
    <row r="9" spans="1:31" hidden="1">
      <c r="A9" s="4"/>
      <c r="B9" s="5" t="s">
        <v>85</v>
      </c>
      <c r="C9" s="4" t="s">
        <v>76</v>
      </c>
      <c r="D9" s="4">
        <v>11</v>
      </c>
      <c r="E9" s="4">
        <v>2</v>
      </c>
      <c r="F9" s="4">
        <v>152</v>
      </c>
      <c r="G9" s="4">
        <v>203</v>
      </c>
      <c r="H9" s="4">
        <v>14.3</v>
      </c>
      <c r="I9" s="4">
        <v>32.9</v>
      </c>
      <c r="J9" s="4">
        <v>14.2</v>
      </c>
      <c r="K9" s="4">
        <v>10.6</v>
      </c>
      <c r="L9" s="4">
        <v>28</v>
      </c>
      <c r="M9" s="4">
        <v>0.55400000000000005</v>
      </c>
      <c r="N9" s="4">
        <v>76.5</v>
      </c>
      <c r="O9" s="4">
        <v>9740</v>
      </c>
      <c r="P9" s="4">
        <v>19.899999999999999</v>
      </c>
      <c r="Q9" s="4">
        <v>174</v>
      </c>
      <c r="R9" s="4">
        <v>45.2</v>
      </c>
      <c r="S9" s="4">
        <v>37.9</v>
      </c>
      <c r="T9" s="4">
        <v>90.6</v>
      </c>
      <c r="U9" s="4">
        <v>93.5</v>
      </c>
      <c r="V9" s="4">
        <v>94.2</v>
      </c>
      <c r="W9" s="4">
        <v>94.9</v>
      </c>
      <c r="X9" s="4">
        <v>96.4</v>
      </c>
      <c r="Y9" s="4">
        <v>97.9</v>
      </c>
      <c r="Z9" s="4">
        <v>30.7</v>
      </c>
      <c r="AA9" s="4">
        <v>664</v>
      </c>
      <c r="AB9" s="4">
        <v>1.71</v>
      </c>
      <c r="AC9" s="4">
        <v>1.42</v>
      </c>
      <c r="AD9" s="4" t="s">
        <v>86</v>
      </c>
      <c r="AE9" s="4">
        <v>51.4</v>
      </c>
    </row>
    <row r="10" spans="1:31" hidden="1">
      <c r="A10" s="4"/>
      <c r="B10" s="5" t="s">
        <v>87</v>
      </c>
      <c r="C10" s="4" t="s">
        <v>76</v>
      </c>
      <c r="D10" s="4">
        <v>11</v>
      </c>
      <c r="E10" s="4">
        <v>1</v>
      </c>
      <c r="F10" s="4">
        <v>152</v>
      </c>
      <c r="G10" s="4">
        <v>203</v>
      </c>
      <c r="H10" s="4">
        <v>12.7</v>
      </c>
      <c r="I10" s="4">
        <v>33</v>
      </c>
      <c r="J10" s="4">
        <v>16</v>
      </c>
      <c r="K10" s="4">
        <v>12</v>
      </c>
      <c r="L10" s="4">
        <v>26</v>
      </c>
      <c r="M10" s="4">
        <v>0.55600000000000005</v>
      </c>
      <c r="N10" s="4">
        <v>68.3</v>
      </c>
      <c r="O10" s="4">
        <v>8690</v>
      </c>
      <c r="P10" s="4">
        <v>17.899999999999999</v>
      </c>
      <c r="Q10" s="4">
        <v>156</v>
      </c>
      <c r="R10" s="4">
        <v>45.4</v>
      </c>
      <c r="S10" s="4">
        <v>37.299999999999997</v>
      </c>
      <c r="T10" s="4">
        <v>90.4</v>
      </c>
      <c r="U10" s="4">
        <v>93.2</v>
      </c>
      <c r="V10" s="4">
        <v>93.9</v>
      </c>
      <c r="W10" s="4">
        <v>94.6</v>
      </c>
      <c r="X10" s="4">
        <v>96.1</v>
      </c>
      <c r="Y10" s="4">
        <v>97.6</v>
      </c>
      <c r="Z10" s="4">
        <v>30.9</v>
      </c>
      <c r="AA10" s="4">
        <v>467</v>
      </c>
      <c r="AB10" s="4">
        <v>1.22</v>
      </c>
      <c r="AC10" s="4">
        <v>1.42</v>
      </c>
      <c r="AD10" s="4" t="s">
        <v>88</v>
      </c>
      <c r="AE10" s="4">
        <v>45.9</v>
      </c>
    </row>
    <row r="11" spans="1:31" hidden="1">
      <c r="A11" s="4" t="s">
        <v>76</v>
      </c>
      <c r="B11" s="5" t="s">
        <v>89</v>
      </c>
      <c r="C11" s="4" t="s">
        <v>76</v>
      </c>
      <c r="D11" s="4">
        <v>11</v>
      </c>
      <c r="E11" s="4">
        <v>3</v>
      </c>
      <c r="F11" s="4">
        <v>102</v>
      </c>
      <c r="G11" s="4">
        <v>203</v>
      </c>
      <c r="H11" s="4">
        <v>25.4</v>
      </c>
      <c r="I11" s="4">
        <v>21.6</v>
      </c>
      <c r="J11" s="4">
        <v>7.99</v>
      </c>
      <c r="K11" s="4">
        <v>4.0199999999999996</v>
      </c>
      <c r="L11" s="4">
        <v>40</v>
      </c>
      <c r="M11" s="4">
        <v>0.249</v>
      </c>
      <c r="N11" s="4">
        <v>111</v>
      </c>
      <c r="O11" s="4">
        <v>14200</v>
      </c>
      <c r="P11" s="4">
        <v>9.81</v>
      </c>
      <c r="Q11" s="4">
        <v>130</v>
      </c>
      <c r="R11" s="4">
        <v>26.3</v>
      </c>
      <c r="S11" s="4">
        <v>26.7</v>
      </c>
      <c r="T11" s="4">
        <v>100</v>
      </c>
      <c r="U11" s="4">
        <v>103</v>
      </c>
      <c r="V11" s="4">
        <v>104</v>
      </c>
      <c r="W11" s="4">
        <v>105</v>
      </c>
      <c r="X11" s="4">
        <v>106</v>
      </c>
      <c r="Y11" s="4">
        <v>108</v>
      </c>
      <c r="Z11" s="4">
        <v>14</v>
      </c>
      <c r="AA11" s="4">
        <v>3050</v>
      </c>
      <c r="AB11" s="4">
        <v>6.92</v>
      </c>
      <c r="AC11" s="4">
        <v>1.22</v>
      </c>
      <c r="AD11" s="4" t="s">
        <v>90</v>
      </c>
      <c r="AE11" s="4">
        <v>74.900000000000006</v>
      </c>
    </row>
    <row r="12" spans="1:31" hidden="1">
      <c r="A12" s="4"/>
      <c r="B12" s="5" t="s">
        <v>91</v>
      </c>
      <c r="C12" s="4" t="s">
        <v>76</v>
      </c>
      <c r="D12" s="4">
        <v>11</v>
      </c>
      <c r="E12" s="4">
        <v>2</v>
      </c>
      <c r="F12" s="4">
        <v>102</v>
      </c>
      <c r="G12" s="4">
        <v>203</v>
      </c>
      <c r="H12" s="4">
        <v>19.100000000000001</v>
      </c>
      <c r="I12" s="4">
        <v>21.7</v>
      </c>
      <c r="J12" s="4">
        <v>10.6</v>
      </c>
      <c r="K12" s="4">
        <v>5.34</v>
      </c>
      <c r="L12" s="4">
        <v>34</v>
      </c>
      <c r="M12" s="4">
        <v>0.26</v>
      </c>
      <c r="N12" s="4">
        <v>85.7</v>
      </c>
      <c r="O12" s="4">
        <v>10900</v>
      </c>
      <c r="P12" s="4">
        <v>7.9</v>
      </c>
      <c r="Q12" s="4">
        <v>102</v>
      </c>
      <c r="R12" s="4">
        <v>26.9</v>
      </c>
      <c r="S12" s="4">
        <v>24.3</v>
      </c>
      <c r="T12" s="4">
        <v>98.9</v>
      </c>
      <c r="U12" s="4">
        <v>102</v>
      </c>
      <c r="V12" s="4">
        <v>103</v>
      </c>
      <c r="W12" s="4">
        <v>104</v>
      </c>
      <c r="X12" s="4">
        <v>105</v>
      </c>
      <c r="Y12" s="4">
        <v>107</v>
      </c>
      <c r="Z12" s="4">
        <v>14.8</v>
      </c>
      <c r="AA12" s="4">
        <v>1330</v>
      </c>
      <c r="AB12" s="4">
        <v>3.11</v>
      </c>
      <c r="AC12" s="4">
        <v>1.22</v>
      </c>
      <c r="AD12" s="4" t="s">
        <v>92</v>
      </c>
      <c r="AE12" s="4">
        <v>57.6</v>
      </c>
    </row>
    <row r="13" spans="1:31" hidden="1">
      <c r="A13" s="4"/>
      <c r="B13" s="5" t="s">
        <v>93</v>
      </c>
      <c r="C13" s="4" t="s">
        <v>76</v>
      </c>
      <c r="D13" s="4">
        <v>11</v>
      </c>
      <c r="E13" s="4">
        <v>1</v>
      </c>
      <c r="F13" s="4">
        <v>102</v>
      </c>
      <c r="G13" s="4">
        <v>203</v>
      </c>
      <c r="H13" s="4">
        <v>12.7</v>
      </c>
      <c r="I13" s="4">
        <v>22.1</v>
      </c>
      <c r="J13" s="4">
        <v>16</v>
      </c>
      <c r="K13" s="4">
        <v>8.0299999999999994</v>
      </c>
      <c r="L13" s="4">
        <v>26</v>
      </c>
      <c r="M13" s="4">
        <v>0.26900000000000002</v>
      </c>
      <c r="N13" s="4">
        <v>58.3</v>
      </c>
      <c r="O13" s="4">
        <v>7420</v>
      </c>
      <c r="P13" s="4">
        <v>5.67</v>
      </c>
      <c r="Q13" s="4">
        <v>70.900000000000006</v>
      </c>
      <c r="R13" s="4">
        <v>27.6</v>
      </c>
      <c r="S13" s="4">
        <v>21.9</v>
      </c>
      <c r="T13" s="4">
        <v>97.8</v>
      </c>
      <c r="U13" s="4">
        <v>101</v>
      </c>
      <c r="V13" s="4">
        <v>102</v>
      </c>
      <c r="W13" s="4">
        <v>102</v>
      </c>
      <c r="X13" s="4">
        <v>104</v>
      </c>
      <c r="Y13" s="4">
        <v>105</v>
      </c>
      <c r="Z13" s="4">
        <v>15.6</v>
      </c>
      <c r="AA13" s="4">
        <v>399</v>
      </c>
      <c r="AB13" s="4">
        <v>0.96499999999999997</v>
      </c>
      <c r="AC13" s="4">
        <v>1.22</v>
      </c>
      <c r="AD13" s="4" t="s">
        <v>94</v>
      </c>
      <c r="AE13" s="4">
        <v>39.200000000000003</v>
      </c>
    </row>
    <row r="14" spans="1:31" hidden="1">
      <c r="A14" s="4" t="s">
        <v>76</v>
      </c>
      <c r="B14" s="5" t="s">
        <v>95</v>
      </c>
      <c r="C14" s="4" t="s">
        <v>76</v>
      </c>
      <c r="D14" s="4">
        <v>11</v>
      </c>
      <c r="E14" s="4">
        <v>2</v>
      </c>
      <c r="F14" s="4">
        <v>102</v>
      </c>
      <c r="G14" s="4">
        <v>178</v>
      </c>
      <c r="H14" s="4">
        <v>19.100000000000001</v>
      </c>
      <c r="I14" s="4">
        <v>21.9</v>
      </c>
      <c r="J14" s="4">
        <v>9.32</v>
      </c>
      <c r="K14" s="4">
        <v>5.34</v>
      </c>
      <c r="L14" s="4">
        <v>34</v>
      </c>
      <c r="M14" s="4">
        <v>0.32500000000000001</v>
      </c>
      <c r="N14" s="4">
        <v>78.2</v>
      </c>
      <c r="O14" s="4">
        <v>9970</v>
      </c>
      <c r="P14" s="4">
        <v>7.64</v>
      </c>
      <c r="Q14" s="4">
        <v>100</v>
      </c>
      <c r="R14" s="4">
        <v>27.7</v>
      </c>
      <c r="S14" s="4">
        <v>25.8</v>
      </c>
      <c r="T14" s="4">
        <v>85.1</v>
      </c>
      <c r="U14" s="4">
        <v>88.1</v>
      </c>
      <c r="V14" s="4">
        <v>88.9</v>
      </c>
      <c r="W14" s="4">
        <v>89.7</v>
      </c>
      <c r="X14" s="4">
        <v>91.3</v>
      </c>
      <c r="Y14" s="4">
        <v>92.8</v>
      </c>
      <c r="Z14" s="4">
        <v>16.2</v>
      </c>
      <c r="AA14" s="4">
        <v>1210</v>
      </c>
      <c r="AB14" s="4">
        <v>2.16</v>
      </c>
      <c r="AC14" s="4">
        <v>1.1200000000000001</v>
      </c>
      <c r="AD14" s="4" t="s">
        <v>96</v>
      </c>
      <c r="AE14" s="4">
        <v>52.6</v>
      </c>
    </row>
    <row r="15" spans="1:31" hidden="1">
      <c r="A15" s="4"/>
      <c r="B15" s="5" t="s">
        <v>97</v>
      </c>
      <c r="C15" s="4" t="s">
        <v>76</v>
      </c>
      <c r="D15" s="4">
        <v>11</v>
      </c>
      <c r="E15" s="4">
        <v>2</v>
      </c>
      <c r="F15" s="4">
        <v>102</v>
      </c>
      <c r="G15" s="4">
        <v>178</v>
      </c>
      <c r="H15" s="4">
        <v>15.9</v>
      </c>
      <c r="I15" s="4">
        <v>22.1</v>
      </c>
      <c r="J15" s="4">
        <v>11.2</v>
      </c>
      <c r="K15" s="4">
        <v>6.42</v>
      </c>
      <c r="L15" s="4">
        <v>30</v>
      </c>
      <c r="M15" s="4">
        <v>0.33100000000000002</v>
      </c>
      <c r="N15" s="4">
        <v>65.900000000000006</v>
      </c>
      <c r="O15" s="4">
        <v>8400</v>
      </c>
      <c r="P15" s="4">
        <v>6.61</v>
      </c>
      <c r="Q15" s="4">
        <v>85.4</v>
      </c>
      <c r="R15" s="4">
        <v>28.1</v>
      </c>
      <c r="S15" s="4">
        <v>24.6</v>
      </c>
      <c r="T15" s="4">
        <v>84.5</v>
      </c>
      <c r="U15" s="4">
        <v>87.5</v>
      </c>
      <c r="V15" s="4">
        <v>88.3</v>
      </c>
      <c r="W15" s="4">
        <v>89.1</v>
      </c>
      <c r="X15" s="4">
        <v>90.6</v>
      </c>
      <c r="Y15" s="4">
        <v>92.2</v>
      </c>
      <c r="Z15" s="4">
        <v>16.600000000000001</v>
      </c>
      <c r="AA15" s="4">
        <v>708</v>
      </c>
      <c r="AB15" s="4">
        <v>1.28</v>
      </c>
      <c r="AC15" s="4">
        <v>1.1200000000000001</v>
      </c>
      <c r="AD15" s="4" t="s">
        <v>98</v>
      </c>
      <c r="AE15" s="4">
        <v>44.3</v>
      </c>
    </row>
    <row r="16" spans="1:31" hidden="1">
      <c r="A16" s="4"/>
      <c r="B16" s="5" t="s">
        <v>99</v>
      </c>
      <c r="C16" s="4"/>
      <c r="D16" s="4">
        <v>11</v>
      </c>
      <c r="E16" s="4">
        <v>1</v>
      </c>
      <c r="F16" s="4">
        <v>102</v>
      </c>
      <c r="G16" s="4">
        <v>178</v>
      </c>
      <c r="H16" s="4">
        <v>12.7</v>
      </c>
      <c r="I16" s="4">
        <v>22.2</v>
      </c>
      <c r="J16" s="4">
        <v>14</v>
      </c>
      <c r="K16" s="4">
        <v>8.0299999999999994</v>
      </c>
      <c r="L16" s="4">
        <v>26</v>
      </c>
      <c r="M16" s="4">
        <v>0.33600000000000002</v>
      </c>
      <c r="N16" s="4">
        <v>53.3</v>
      </c>
      <c r="O16" s="4">
        <v>6790</v>
      </c>
      <c r="P16" s="4">
        <v>5.5</v>
      </c>
      <c r="Q16" s="4">
        <v>69.900000000000006</v>
      </c>
      <c r="R16" s="4">
        <v>28.5</v>
      </c>
      <c r="S16" s="4">
        <v>23.4</v>
      </c>
      <c r="T16" s="4">
        <v>84</v>
      </c>
      <c r="U16" s="4">
        <v>86.9</v>
      </c>
      <c r="V16" s="4">
        <v>87.7</v>
      </c>
      <c r="W16" s="4">
        <v>88.5</v>
      </c>
      <c r="X16" s="4">
        <v>90</v>
      </c>
      <c r="Y16" s="4">
        <v>91.5</v>
      </c>
      <c r="Z16" s="4">
        <v>17</v>
      </c>
      <c r="AA16" s="4">
        <v>365</v>
      </c>
      <c r="AB16" s="4">
        <v>0.67500000000000004</v>
      </c>
      <c r="AC16" s="4">
        <v>1.1200000000000001</v>
      </c>
      <c r="AD16" s="4" t="s">
        <v>100</v>
      </c>
      <c r="AE16" s="4">
        <v>35.799999999999997</v>
      </c>
    </row>
    <row r="17" spans="1:31" hidden="1">
      <c r="A17" s="4"/>
      <c r="B17" s="5" t="s">
        <v>101</v>
      </c>
      <c r="C17" s="4" t="s">
        <v>76</v>
      </c>
      <c r="D17" s="4">
        <v>11</v>
      </c>
      <c r="E17" s="4">
        <v>1</v>
      </c>
      <c r="F17" s="4">
        <v>102</v>
      </c>
      <c r="G17" s="4">
        <v>178</v>
      </c>
      <c r="H17" s="4">
        <v>11.1</v>
      </c>
      <c r="I17" s="4">
        <v>22.3</v>
      </c>
      <c r="J17" s="4">
        <v>16</v>
      </c>
      <c r="K17" s="4">
        <v>9.19</v>
      </c>
      <c r="L17" s="4">
        <v>26</v>
      </c>
      <c r="M17" s="4">
        <v>0.33900000000000002</v>
      </c>
      <c r="N17" s="4">
        <v>46.9</v>
      </c>
      <c r="O17" s="4">
        <v>5970</v>
      </c>
      <c r="P17" s="4">
        <v>4.9000000000000004</v>
      </c>
      <c r="Q17" s="4">
        <v>61.9</v>
      </c>
      <c r="R17" s="4">
        <v>28.7</v>
      </c>
      <c r="S17" s="4">
        <v>22.8</v>
      </c>
      <c r="T17" s="4">
        <v>83.7</v>
      </c>
      <c r="U17" s="4">
        <v>86.6</v>
      </c>
      <c r="V17" s="4">
        <v>87.4</v>
      </c>
      <c r="W17" s="4">
        <v>88.2</v>
      </c>
      <c r="X17" s="4">
        <v>89.7</v>
      </c>
      <c r="Y17" s="4">
        <v>91.2</v>
      </c>
      <c r="Z17" s="4">
        <v>17.2</v>
      </c>
      <c r="AA17" s="4">
        <v>245</v>
      </c>
      <c r="AB17" s="4">
        <v>0.45800000000000002</v>
      </c>
      <c r="AC17" s="4">
        <v>1.1200000000000001</v>
      </c>
      <c r="AD17" s="4" t="s">
        <v>102</v>
      </c>
      <c r="AE17" s="4">
        <v>31.5</v>
      </c>
    </row>
    <row r="18" spans="1:31" hidden="1">
      <c r="A18" s="4"/>
      <c r="B18" s="5" t="s">
        <v>103</v>
      </c>
      <c r="C18" s="4"/>
      <c r="D18" s="4">
        <v>11</v>
      </c>
      <c r="E18" s="4">
        <v>1</v>
      </c>
      <c r="F18" s="4">
        <v>102</v>
      </c>
      <c r="G18" s="4">
        <v>178</v>
      </c>
      <c r="H18" s="4">
        <v>9.5299999999999994</v>
      </c>
      <c r="I18" s="4">
        <v>22.4</v>
      </c>
      <c r="J18" s="4">
        <v>18.7</v>
      </c>
      <c r="K18" s="4">
        <v>10.7</v>
      </c>
      <c r="L18" s="4">
        <v>24</v>
      </c>
      <c r="M18" s="4">
        <v>0.34100000000000003</v>
      </c>
      <c r="N18" s="4">
        <v>40.5</v>
      </c>
      <c r="O18" s="4">
        <v>5160</v>
      </c>
      <c r="P18" s="4">
        <v>4.3</v>
      </c>
      <c r="Q18" s="4">
        <v>53.9</v>
      </c>
      <c r="R18" s="4">
        <v>28.9</v>
      </c>
      <c r="S18" s="4">
        <v>22.2</v>
      </c>
      <c r="T18" s="4">
        <v>83.4</v>
      </c>
      <c r="U18" s="4">
        <v>86.4</v>
      </c>
      <c r="V18" s="4">
        <v>87.1</v>
      </c>
      <c r="W18" s="4">
        <v>87.9</v>
      </c>
      <c r="X18" s="4">
        <v>89.4</v>
      </c>
      <c r="Y18" s="4">
        <v>90.9</v>
      </c>
      <c r="Z18" s="4">
        <v>17.399999999999999</v>
      </c>
      <c r="AA18" s="4">
        <v>156</v>
      </c>
      <c r="AB18" s="4">
        <v>0.29399999999999998</v>
      </c>
      <c r="AC18" s="4">
        <v>1.1200000000000001</v>
      </c>
      <c r="AD18" s="4" t="s">
        <v>104</v>
      </c>
      <c r="AE18" s="4">
        <v>27.2</v>
      </c>
    </row>
    <row r="19" spans="1:31" hidden="1">
      <c r="A19" s="4" t="s">
        <v>76</v>
      </c>
      <c r="B19" s="5" t="s">
        <v>105</v>
      </c>
      <c r="C19" s="4" t="s">
        <v>76</v>
      </c>
      <c r="D19" s="4">
        <v>11</v>
      </c>
      <c r="E19" s="4">
        <v>3</v>
      </c>
      <c r="F19" s="4">
        <v>102</v>
      </c>
      <c r="G19" s="4">
        <v>152</v>
      </c>
      <c r="H19" s="4">
        <v>22.2</v>
      </c>
      <c r="I19" s="4">
        <v>21.9</v>
      </c>
      <c r="J19" s="4">
        <v>6.85</v>
      </c>
      <c r="K19" s="4">
        <v>4.59</v>
      </c>
      <c r="L19" s="4">
        <v>36</v>
      </c>
      <c r="M19" s="4">
        <v>0.42699999999999999</v>
      </c>
      <c r="N19" s="4">
        <v>80.8</v>
      </c>
      <c r="O19" s="4">
        <v>10300</v>
      </c>
      <c r="P19" s="4">
        <v>8.1999999999999993</v>
      </c>
      <c r="Q19" s="4">
        <v>112</v>
      </c>
      <c r="R19" s="4">
        <v>28.2</v>
      </c>
      <c r="S19" s="4">
        <v>28.7</v>
      </c>
      <c r="T19" s="4">
        <v>71.5</v>
      </c>
      <c r="U19" s="4">
        <v>74.5</v>
      </c>
      <c r="V19" s="4">
        <v>75.3</v>
      </c>
      <c r="W19" s="4">
        <v>76.099999999999994</v>
      </c>
      <c r="X19" s="4">
        <v>77.599999999999994</v>
      </c>
      <c r="Y19" s="4">
        <v>79.2</v>
      </c>
      <c r="Z19" s="4">
        <v>17.600000000000001</v>
      </c>
      <c r="AA19" s="4">
        <v>1690</v>
      </c>
      <c r="AB19" s="4">
        <v>2.16</v>
      </c>
      <c r="AC19" s="4">
        <v>1.02</v>
      </c>
      <c r="AD19" s="4" t="s">
        <v>106</v>
      </c>
      <c r="AE19" s="4">
        <v>54.3</v>
      </c>
    </row>
    <row r="20" spans="1:31" hidden="1">
      <c r="A20" s="4"/>
      <c r="B20" s="5" t="s">
        <v>107</v>
      </c>
      <c r="C20" s="4"/>
      <c r="D20" s="4">
        <v>11</v>
      </c>
      <c r="E20" s="4">
        <v>2</v>
      </c>
      <c r="F20" s="4">
        <v>102</v>
      </c>
      <c r="G20" s="4">
        <v>152</v>
      </c>
      <c r="H20" s="4">
        <v>19.100000000000001</v>
      </c>
      <c r="I20" s="4">
        <v>21.9</v>
      </c>
      <c r="J20" s="4">
        <v>7.96</v>
      </c>
      <c r="K20" s="4">
        <v>5.34</v>
      </c>
      <c r="L20" s="4">
        <v>34</v>
      </c>
      <c r="M20" s="4">
        <v>0.434</v>
      </c>
      <c r="N20" s="4">
        <v>70.400000000000006</v>
      </c>
      <c r="O20" s="4">
        <v>8970</v>
      </c>
      <c r="P20" s="4">
        <v>7.32</v>
      </c>
      <c r="Q20" s="4">
        <v>98.3</v>
      </c>
      <c r="R20" s="4">
        <v>28.6</v>
      </c>
      <c r="S20" s="4">
        <v>27.5</v>
      </c>
      <c r="T20" s="4">
        <v>70.900000000000006</v>
      </c>
      <c r="U20" s="4">
        <v>73.900000000000006</v>
      </c>
      <c r="V20" s="4">
        <v>74.7</v>
      </c>
      <c r="W20" s="4">
        <v>75.5</v>
      </c>
      <c r="X20" s="4">
        <v>77</v>
      </c>
      <c r="Y20" s="4">
        <v>78.599999999999994</v>
      </c>
      <c r="Z20" s="4">
        <v>18</v>
      </c>
      <c r="AA20" s="4">
        <v>1090</v>
      </c>
      <c r="AB20" s="4">
        <v>1.42</v>
      </c>
      <c r="AC20" s="4">
        <v>1.02</v>
      </c>
      <c r="AD20" s="4" t="s">
        <v>108</v>
      </c>
      <c r="AE20" s="4">
        <v>47.3</v>
      </c>
    </row>
    <row r="21" spans="1:31" hidden="1">
      <c r="A21" s="4"/>
      <c r="B21" s="5" t="s">
        <v>109</v>
      </c>
      <c r="C21" s="4"/>
      <c r="D21" s="4">
        <v>11</v>
      </c>
      <c r="E21" s="4">
        <v>2</v>
      </c>
      <c r="F21" s="4">
        <v>102</v>
      </c>
      <c r="G21" s="4">
        <v>152</v>
      </c>
      <c r="H21" s="4">
        <v>15.9</v>
      </c>
      <c r="I21" s="4">
        <v>22</v>
      </c>
      <c r="J21" s="4">
        <v>9.56</v>
      </c>
      <c r="K21" s="4">
        <v>6.42</v>
      </c>
      <c r="L21" s="4">
        <v>30</v>
      </c>
      <c r="M21" s="4">
        <v>0.44</v>
      </c>
      <c r="N21" s="4">
        <v>59.4</v>
      </c>
      <c r="O21" s="4">
        <v>7570</v>
      </c>
      <c r="P21" s="4">
        <v>6.34</v>
      </c>
      <c r="Q21" s="4">
        <v>83.8</v>
      </c>
      <c r="R21" s="4">
        <v>28.9</v>
      </c>
      <c r="S21" s="4">
        <v>26.4</v>
      </c>
      <c r="T21" s="4">
        <v>70.3</v>
      </c>
      <c r="U21" s="4">
        <v>73.3</v>
      </c>
      <c r="V21" s="4">
        <v>74.099999999999994</v>
      </c>
      <c r="W21" s="4">
        <v>74.8</v>
      </c>
      <c r="X21" s="4">
        <v>76.400000000000006</v>
      </c>
      <c r="Y21" s="4">
        <v>77.900000000000006</v>
      </c>
      <c r="Z21" s="4">
        <v>18.399999999999999</v>
      </c>
      <c r="AA21" s="4">
        <v>638</v>
      </c>
      <c r="AB21" s="4">
        <v>0.85299999999999998</v>
      </c>
      <c r="AC21" s="4">
        <v>1.02</v>
      </c>
      <c r="AD21" s="4" t="s">
        <v>110</v>
      </c>
      <c r="AE21" s="4">
        <v>39.9</v>
      </c>
    </row>
    <row r="22" spans="1:31" hidden="1">
      <c r="A22" s="4"/>
      <c r="B22" s="5" t="s">
        <v>111</v>
      </c>
      <c r="C22" s="4" t="s">
        <v>76</v>
      </c>
      <c r="D22" s="4">
        <v>11</v>
      </c>
      <c r="E22" s="4">
        <v>2</v>
      </c>
      <c r="F22" s="4">
        <v>102</v>
      </c>
      <c r="G22" s="4">
        <v>152</v>
      </c>
      <c r="H22" s="4">
        <v>14.3</v>
      </c>
      <c r="I22" s="4">
        <v>22.1</v>
      </c>
      <c r="J22" s="4">
        <v>10.6</v>
      </c>
      <c r="K22" s="4">
        <v>7.13</v>
      </c>
      <c r="L22" s="4">
        <v>28</v>
      </c>
      <c r="M22" s="4">
        <v>0.443</v>
      </c>
      <c r="N22" s="4">
        <v>53.8</v>
      </c>
      <c r="O22" s="4">
        <v>6860</v>
      </c>
      <c r="P22" s="4">
        <v>5.82</v>
      </c>
      <c r="Q22" s="4">
        <v>76.400000000000006</v>
      </c>
      <c r="R22" s="4">
        <v>29.1</v>
      </c>
      <c r="S22" s="4">
        <v>25.8</v>
      </c>
      <c r="T22" s="4">
        <v>70.099999999999994</v>
      </c>
      <c r="U22" s="4">
        <v>73</v>
      </c>
      <c r="V22" s="4">
        <v>73.8</v>
      </c>
      <c r="W22" s="4">
        <v>74.5</v>
      </c>
      <c r="X22" s="4">
        <v>76.099999999999994</v>
      </c>
      <c r="Y22" s="4">
        <v>77.599999999999994</v>
      </c>
      <c r="Z22" s="4">
        <v>18.7</v>
      </c>
      <c r="AA22" s="4">
        <v>467</v>
      </c>
      <c r="AB22" s="4">
        <v>0.63200000000000001</v>
      </c>
      <c r="AC22" s="4">
        <v>1.02</v>
      </c>
      <c r="AD22" s="4" t="s">
        <v>112</v>
      </c>
      <c r="AE22" s="4">
        <v>36.200000000000003</v>
      </c>
    </row>
    <row r="23" spans="1:31" hidden="1">
      <c r="A23" s="4"/>
      <c r="B23" s="5" t="s">
        <v>113</v>
      </c>
      <c r="C23" s="4"/>
      <c r="D23" s="4">
        <v>11</v>
      </c>
      <c r="E23" s="4">
        <v>1</v>
      </c>
      <c r="F23" s="4">
        <v>102</v>
      </c>
      <c r="G23" s="4">
        <v>152</v>
      </c>
      <c r="H23" s="4">
        <v>12.7</v>
      </c>
      <c r="I23" s="4">
        <v>22.2</v>
      </c>
      <c r="J23" s="4">
        <v>12</v>
      </c>
      <c r="K23" s="4">
        <v>8.0299999999999994</v>
      </c>
      <c r="L23" s="4">
        <v>26</v>
      </c>
      <c r="M23" s="4">
        <v>0.44600000000000001</v>
      </c>
      <c r="N23" s="4">
        <v>48.1</v>
      </c>
      <c r="O23" s="4">
        <v>6130</v>
      </c>
      <c r="P23" s="4">
        <v>5.28</v>
      </c>
      <c r="Q23" s="4">
        <v>68.7</v>
      </c>
      <c r="R23" s="4">
        <v>29.3</v>
      </c>
      <c r="S23" s="4">
        <v>25.2</v>
      </c>
      <c r="T23" s="4">
        <v>69.8</v>
      </c>
      <c r="U23" s="4">
        <v>72.7</v>
      </c>
      <c r="V23" s="4">
        <v>73.5</v>
      </c>
      <c r="W23" s="4">
        <v>74.2</v>
      </c>
      <c r="X23" s="4">
        <v>75.8</v>
      </c>
      <c r="Y23" s="4">
        <v>77.3</v>
      </c>
      <c r="Z23" s="4">
        <v>18.899999999999999</v>
      </c>
      <c r="AA23" s="4">
        <v>330</v>
      </c>
      <c r="AB23" s="4">
        <v>0.45100000000000001</v>
      </c>
      <c r="AC23" s="4">
        <v>1.02</v>
      </c>
      <c r="AD23" s="4" t="s">
        <v>114</v>
      </c>
      <c r="AE23" s="4">
        <v>32.299999999999997</v>
      </c>
    </row>
    <row r="24" spans="1:31" hidden="1">
      <c r="A24" s="4"/>
      <c r="B24" s="5" t="s">
        <v>115</v>
      </c>
      <c r="C24" s="4" t="s">
        <v>76</v>
      </c>
      <c r="D24" s="4">
        <v>11</v>
      </c>
      <c r="E24" s="4">
        <v>1</v>
      </c>
      <c r="F24" s="4">
        <v>102</v>
      </c>
      <c r="G24" s="4">
        <v>152</v>
      </c>
      <c r="H24" s="4">
        <v>11.1</v>
      </c>
      <c r="I24" s="4">
        <v>22.3</v>
      </c>
      <c r="J24" s="4">
        <v>13.7</v>
      </c>
      <c r="K24" s="4">
        <v>9.19</v>
      </c>
      <c r="L24" s="4">
        <v>26</v>
      </c>
      <c r="M24" s="4">
        <v>0.44900000000000001</v>
      </c>
      <c r="N24" s="4">
        <v>42.3</v>
      </c>
      <c r="O24" s="4">
        <v>5390</v>
      </c>
      <c r="P24" s="4">
        <v>4.71</v>
      </c>
      <c r="Q24" s="4">
        <v>60.9</v>
      </c>
      <c r="R24" s="4">
        <v>29.6</v>
      </c>
      <c r="S24" s="4">
        <v>24.6</v>
      </c>
      <c r="T24" s="4">
        <v>69.5</v>
      </c>
      <c r="U24" s="4">
        <v>72.400000000000006</v>
      </c>
      <c r="V24" s="4">
        <v>73.2</v>
      </c>
      <c r="W24" s="4">
        <v>73.900000000000006</v>
      </c>
      <c r="X24" s="4">
        <v>75.5</v>
      </c>
      <c r="Y24" s="4">
        <v>77</v>
      </c>
      <c r="Z24" s="4">
        <v>19.100000000000001</v>
      </c>
      <c r="AA24" s="4">
        <v>221</v>
      </c>
      <c r="AB24" s="4">
        <v>0.307</v>
      </c>
      <c r="AC24" s="4">
        <v>1.02</v>
      </c>
      <c r="AD24" s="4" t="s">
        <v>116</v>
      </c>
      <c r="AE24" s="4">
        <v>28.4</v>
      </c>
    </row>
    <row r="25" spans="1:31" hidden="1">
      <c r="A25" s="4"/>
      <c r="B25" s="5" t="s">
        <v>117</v>
      </c>
      <c r="C25" s="4"/>
      <c r="D25" s="4">
        <v>11</v>
      </c>
      <c r="E25" s="4">
        <v>1</v>
      </c>
      <c r="F25" s="4">
        <v>102</v>
      </c>
      <c r="G25" s="4">
        <v>152</v>
      </c>
      <c r="H25" s="4">
        <v>9.5299999999999994</v>
      </c>
      <c r="I25" s="4">
        <v>22.4</v>
      </c>
      <c r="J25" s="4">
        <v>15.9</v>
      </c>
      <c r="K25" s="4">
        <v>10.7</v>
      </c>
      <c r="L25" s="4">
        <v>24</v>
      </c>
      <c r="M25" s="4">
        <v>0.45100000000000001</v>
      </c>
      <c r="N25" s="4">
        <v>36.6</v>
      </c>
      <c r="O25" s="4">
        <v>4660</v>
      </c>
      <c r="P25" s="4">
        <v>4.13</v>
      </c>
      <c r="Q25" s="4">
        <v>53</v>
      </c>
      <c r="R25" s="4">
        <v>29.8</v>
      </c>
      <c r="S25" s="4">
        <v>24.1</v>
      </c>
      <c r="T25" s="4">
        <v>69.3</v>
      </c>
      <c r="U25" s="4">
        <v>72.2</v>
      </c>
      <c r="V25" s="4">
        <v>72.900000000000006</v>
      </c>
      <c r="W25" s="4">
        <v>73.7</v>
      </c>
      <c r="X25" s="4">
        <v>75.2</v>
      </c>
      <c r="Y25" s="4">
        <v>76.7</v>
      </c>
      <c r="Z25" s="4">
        <v>19.3</v>
      </c>
      <c r="AA25" s="4">
        <v>141</v>
      </c>
      <c r="AB25" s="4">
        <v>0.19800000000000001</v>
      </c>
      <c r="AC25" s="4">
        <v>1.02</v>
      </c>
      <c r="AD25" s="4" t="s">
        <v>118</v>
      </c>
      <c r="AE25" s="4">
        <v>24.6</v>
      </c>
    </row>
    <row r="26" spans="1:31" hidden="1">
      <c r="A26" s="4"/>
      <c r="B26" s="5" t="s">
        <v>119</v>
      </c>
      <c r="C26" s="4"/>
      <c r="D26" s="4">
        <v>11</v>
      </c>
      <c r="E26" s="4">
        <v>1</v>
      </c>
      <c r="F26" s="4">
        <v>102</v>
      </c>
      <c r="G26" s="4">
        <v>152</v>
      </c>
      <c r="H26" s="4">
        <v>7.94</v>
      </c>
      <c r="I26" s="4">
        <v>22.5</v>
      </c>
      <c r="J26" s="4">
        <v>19.100000000000001</v>
      </c>
      <c r="K26" s="4">
        <v>12.8</v>
      </c>
      <c r="L26" s="4">
        <v>22</v>
      </c>
      <c r="M26" s="4">
        <v>0.45400000000000001</v>
      </c>
      <c r="N26" s="4">
        <v>30.7</v>
      </c>
      <c r="O26" s="4">
        <v>3910</v>
      </c>
      <c r="P26" s="4">
        <v>3.51</v>
      </c>
      <c r="Q26" s="4">
        <v>44.7</v>
      </c>
      <c r="R26" s="4">
        <v>30</v>
      </c>
      <c r="S26" s="4">
        <v>23.5</v>
      </c>
      <c r="T26" s="4">
        <v>69</v>
      </c>
      <c r="U26" s="4">
        <v>71.900000000000006</v>
      </c>
      <c r="V26" s="4">
        <v>72.599999999999994</v>
      </c>
      <c r="W26" s="4">
        <v>73.400000000000006</v>
      </c>
      <c r="X26" s="4">
        <v>74.900000000000006</v>
      </c>
      <c r="Y26" s="4">
        <v>76.400000000000006</v>
      </c>
      <c r="Z26" s="4">
        <v>19.5</v>
      </c>
      <c r="AA26" s="4">
        <v>82.1</v>
      </c>
      <c r="AB26" s="4">
        <v>0.11600000000000001</v>
      </c>
      <c r="AC26" s="4">
        <v>1.02</v>
      </c>
      <c r="AD26" s="4" t="s">
        <v>120</v>
      </c>
      <c r="AE26" s="4">
        <v>20.6</v>
      </c>
    </row>
    <row r="27" spans="1:31" hidden="1">
      <c r="A27" s="4" t="s">
        <v>76</v>
      </c>
      <c r="B27" s="5" t="s">
        <v>121</v>
      </c>
      <c r="C27" s="4"/>
      <c r="D27" s="4">
        <v>11</v>
      </c>
      <c r="E27" s="4">
        <v>2</v>
      </c>
      <c r="F27" s="4">
        <v>88.9</v>
      </c>
      <c r="G27" s="4">
        <v>152</v>
      </c>
      <c r="H27" s="4">
        <v>15.9</v>
      </c>
      <c r="I27" s="4">
        <v>19.100000000000001</v>
      </c>
      <c r="J27" s="4">
        <v>9.56</v>
      </c>
      <c r="K27" s="4">
        <v>5.59</v>
      </c>
      <c r="L27" s="4">
        <v>30</v>
      </c>
      <c r="M27" s="4">
        <v>0.33900000000000002</v>
      </c>
      <c r="N27" s="4">
        <v>56.2</v>
      </c>
      <c r="O27" s="4">
        <v>7160</v>
      </c>
      <c r="P27" s="4">
        <v>4.2300000000000004</v>
      </c>
      <c r="Q27" s="4">
        <v>63.6</v>
      </c>
      <c r="R27" s="4">
        <v>24.3</v>
      </c>
      <c r="S27" s="4">
        <v>22.4</v>
      </c>
      <c r="T27" s="4">
        <v>72.3</v>
      </c>
      <c r="U27" s="4">
        <v>75.3</v>
      </c>
      <c r="V27" s="4">
        <v>76.099999999999994</v>
      </c>
      <c r="W27" s="4">
        <v>76.900000000000006</v>
      </c>
      <c r="X27" s="4">
        <v>78.5</v>
      </c>
      <c r="Y27" s="4">
        <v>80.099999999999994</v>
      </c>
      <c r="Z27" s="4">
        <v>14.4</v>
      </c>
      <c r="AA27" s="4">
        <v>603</v>
      </c>
      <c r="AB27" s="4">
        <v>0.78600000000000003</v>
      </c>
      <c r="AC27" s="4">
        <v>0.96399999999999997</v>
      </c>
      <c r="AD27" s="4" t="s">
        <v>122</v>
      </c>
      <c r="AE27" s="4">
        <v>37.700000000000003</v>
      </c>
    </row>
    <row r="28" spans="1:31" hidden="1">
      <c r="A28" s="4"/>
      <c r="B28" s="5" t="s">
        <v>123</v>
      </c>
      <c r="C28" s="4"/>
      <c r="D28" s="4">
        <v>11</v>
      </c>
      <c r="E28" s="4">
        <v>1</v>
      </c>
      <c r="F28" s="4">
        <v>88.9</v>
      </c>
      <c r="G28" s="4">
        <v>152</v>
      </c>
      <c r="H28" s="4">
        <v>12.7</v>
      </c>
      <c r="I28" s="4">
        <v>19.3</v>
      </c>
      <c r="J28" s="4">
        <v>12</v>
      </c>
      <c r="K28" s="4">
        <v>7</v>
      </c>
      <c r="L28" s="4">
        <v>26</v>
      </c>
      <c r="M28" s="4">
        <v>0.34499999999999997</v>
      </c>
      <c r="N28" s="4">
        <v>45.5</v>
      </c>
      <c r="O28" s="4">
        <v>5800</v>
      </c>
      <c r="P28" s="4">
        <v>3.54</v>
      </c>
      <c r="Q28" s="4">
        <v>52.2</v>
      </c>
      <c r="R28" s="4">
        <v>24.7</v>
      </c>
      <c r="S28" s="4">
        <v>21.2</v>
      </c>
      <c r="T28" s="4">
        <v>71.7</v>
      </c>
      <c r="U28" s="4">
        <v>74.7</v>
      </c>
      <c r="V28" s="4">
        <v>75.5</v>
      </c>
      <c r="W28" s="4">
        <v>76.3</v>
      </c>
      <c r="X28" s="4">
        <v>77.8</v>
      </c>
      <c r="Y28" s="4">
        <v>79.400000000000006</v>
      </c>
      <c r="Z28" s="4">
        <v>14.8</v>
      </c>
      <c r="AA28" s="4">
        <v>312</v>
      </c>
      <c r="AB28" s="4">
        <v>0.41599999999999998</v>
      </c>
      <c r="AC28" s="4">
        <v>0.96399999999999997</v>
      </c>
      <c r="AD28" s="4" t="s">
        <v>124</v>
      </c>
      <c r="AE28" s="4">
        <v>30.6</v>
      </c>
    </row>
    <row r="29" spans="1:31" hidden="1">
      <c r="A29" s="4"/>
      <c r="B29" s="5" t="s">
        <v>125</v>
      </c>
      <c r="C29" s="4"/>
      <c r="D29" s="4">
        <v>11</v>
      </c>
      <c r="E29" s="4">
        <v>1</v>
      </c>
      <c r="F29" s="4">
        <v>88.9</v>
      </c>
      <c r="G29" s="4">
        <v>152</v>
      </c>
      <c r="H29" s="4">
        <v>9.5299999999999994</v>
      </c>
      <c r="I29" s="4">
        <v>19.5</v>
      </c>
      <c r="J29" s="4">
        <v>15.9</v>
      </c>
      <c r="K29" s="4">
        <v>9.33</v>
      </c>
      <c r="L29" s="4">
        <v>24</v>
      </c>
      <c r="M29" s="4">
        <v>0.35099999999999998</v>
      </c>
      <c r="N29" s="4">
        <v>34.6</v>
      </c>
      <c r="O29" s="4">
        <v>4410</v>
      </c>
      <c r="P29" s="4">
        <v>2.78</v>
      </c>
      <c r="Q29" s="4">
        <v>40.4</v>
      </c>
      <c r="R29" s="4">
        <v>25.1</v>
      </c>
      <c r="S29" s="4">
        <v>20</v>
      </c>
      <c r="T29" s="4">
        <v>71.2</v>
      </c>
      <c r="U29" s="4">
        <v>74.2</v>
      </c>
      <c r="V29" s="4">
        <v>74.900000000000006</v>
      </c>
      <c r="W29" s="4">
        <v>75.7</v>
      </c>
      <c r="X29" s="4">
        <v>77.2</v>
      </c>
      <c r="Y29" s="4">
        <v>78.7</v>
      </c>
      <c r="Z29" s="4">
        <v>15.2</v>
      </c>
      <c r="AA29" s="4">
        <v>134</v>
      </c>
      <c r="AB29" s="4">
        <v>0.182</v>
      </c>
      <c r="AC29" s="4">
        <v>0.96399999999999997</v>
      </c>
      <c r="AD29" s="4" t="s">
        <v>126</v>
      </c>
      <c r="AE29" s="4">
        <v>23.3</v>
      </c>
    </row>
    <row r="30" spans="1:31" hidden="1">
      <c r="A30" s="4"/>
      <c r="B30" s="5" t="s">
        <v>127</v>
      </c>
      <c r="C30" s="4"/>
      <c r="D30" s="4">
        <v>11</v>
      </c>
      <c r="E30" s="4">
        <v>1</v>
      </c>
      <c r="F30" s="4">
        <v>88.9</v>
      </c>
      <c r="G30" s="4">
        <v>152</v>
      </c>
      <c r="H30" s="4">
        <v>7.94</v>
      </c>
      <c r="I30" s="4">
        <v>19.600000000000001</v>
      </c>
      <c r="J30" s="4">
        <v>19.100000000000001</v>
      </c>
      <c r="K30" s="4">
        <v>11.2</v>
      </c>
      <c r="L30" s="4">
        <v>22</v>
      </c>
      <c r="M30" s="4">
        <v>0.35399999999999998</v>
      </c>
      <c r="N30" s="4">
        <v>29</v>
      </c>
      <c r="O30" s="4">
        <v>3700</v>
      </c>
      <c r="P30" s="4">
        <v>2.37</v>
      </c>
      <c r="Q30" s="4">
        <v>34.1</v>
      </c>
      <c r="R30" s="4">
        <v>25.3</v>
      </c>
      <c r="S30" s="4">
        <v>19.399999999999999</v>
      </c>
      <c r="T30" s="4">
        <v>70.900000000000006</v>
      </c>
      <c r="U30" s="4">
        <v>73.900000000000006</v>
      </c>
      <c r="V30" s="4">
        <v>74.599999999999994</v>
      </c>
      <c r="W30" s="4">
        <v>75.400000000000006</v>
      </c>
      <c r="X30" s="4">
        <v>76.900000000000006</v>
      </c>
      <c r="Y30" s="4">
        <v>78.400000000000006</v>
      </c>
      <c r="Z30" s="4">
        <v>15.4</v>
      </c>
      <c r="AA30" s="4">
        <v>77.7</v>
      </c>
      <c r="AB30" s="4">
        <v>0.107</v>
      </c>
      <c r="AC30" s="4">
        <v>0.96399999999999997</v>
      </c>
      <c r="AD30" s="4" t="s">
        <v>128</v>
      </c>
      <c r="AE30" s="4">
        <v>19.5</v>
      </c>
    </row>
    <row r="31" spans="1:31" hidden="1">
      <c r="A31" s="4" t="s">
        <v>76</v>
      </c>
      <c r="B31" s="5" t="s">
        <v>129</v>
      </c>
      <c r="C31" s="4" t="s">
        <v>76</v>
      </c>
      <c r="D31" s="4">
        <v>11</v>
      </c>
      <c r="E31" s="4">
        <v>2</v>
      </c>
      <c r="F31" s="4">
        <v>88.9</v>
      </c>
      <c r="G31" s="4">
        <v>127</v>
      </c>
      <c r="H31" s="4">
        <v>19.100000000000001</v>
      </c>
      <c r="I31" s="4">
        <v>19</v>
      </c>
      <c r="J31" s="4">
        <v>6.65</v>
      </c>
      <c r="K31" s="4">
        <v>4.6500000000000004</v>
      </c>
      <c r="L31" s="4">
        <v>32</v>
      </c>
      <c r="M31" s="4">
        <v>0.46400000000000002</v>
      </c>
      <c r="N31" s="4">
        <v>59</v>
      </c>
      <c r="O31" s="4">
        <v>7520</v>
      </c>
      <c r="P31" s="4">
        <v>4.63</v>
      </c>
      <c r="Q31" s="4">
        <v>72.8</v>
      </c>
      <c r="R31" s="4">
        <v>24.8</v>
      </c>
      <c r="S31" s="4">
        <v>25.3</v>
      </c>
      <c r="T31" s="4">
        <v>59.3</v>
      </c>
      <c r="U31" s="4">
        <v>62.3</v>
      </c>
      <c r="V31" s="4">
        <v>63.1</v>
      </c>
      <c r="W31" s="4">
        <v>63.9</v>
      </c>
      <c r="X31" s="4">
        <v>65.5</v>
      </c>
      <c r="Y31" s="4">
        <v>67.099999999999994</v>
      </c>
      <c r="Z31" s="4">
        <v>15.8</v>
      </c>
      <c r="AA31" s="4">
        <v>914</v>
      </c>
      <c r="AB31" s="4">
        <v>0.82099999999999995</v>
      </c>
      <c r="AC31" s="4">
        <v>0.86399999999999999</v>
      </c>
      <c r="AD31" s="4" t="s">
        <v>130</v>
      </c>
      <c r="AE31" s="4">
        <v>39.700000000000003</v>
      </c>
    </row>
    <row r="32" spans="1:31" hidden="1">
      <c r="A32" s="4"/>
      <c r="B32" s="5" t="s">
        <v>131</v>
      </c>
      <c r="C32" s="4" t="s">
        <v>76</v>
      </c>
      <c r="D32" s="4">
        <v>11</v>
      </c>
      <c r="E32" s="4">
        <v>2</v>
      </c>
      <c r="F32" s="4">
        <v>88.9</v>
      </c>
      <c r="G32" s="4">
        <v>127</v>
      </c>
      <c r="H32" s="4">
        <v>15.9</v>
      </c>
      <c r="I32" s="4">
        <v>19.100000000000001</v>
      </c>
      <c r="J32" s="4">
        <v>7.99</v>
      </c>
      <c r="K32" s="4">
        <v>5.59</v>
      </c>
      <c r="L32" s="4">
        <v>28</v>
      </c>
      <c r="M32" s="4">
        <v>0.47199999999999998</v>
      </c>
      <c r="N32" s="4">
        <v>49.9</v>
      </c>
      <c r="O32" s="4">
        <v>6360</v>
      </c>
      <c r="P32" s="4">
        <v>4.03</v>
      </c>
      <c r="Q32" s="4">
        <v>62.2</v>
      </c>
      <c r="R32" s="4">
        <v>25.2</v>
      </c>
      <c r="S32" s="4">
        <v>24.2</v>
      </c>
      <c r="T32" s="4">
        <v>58.7</v>
      </c>
      <c r="U32" s="4">
        <v>61.7</v>
      </c>
      <c r="V32" s="4">
        <v>62.5</v>
      </c>
      <c r="W32" s="4">
        <v>63.2</v>
      </c>
      <c r="X32" s="4">
        <v>64.8</v>
      </c>
      <c r="Y32" s="4">
        <v>66.400000000000006</v>
      </c>
      <c r="Z32" s="4">
        <v>16.2</v>
      </c>
      <c r="AA32" s="4">
        <v>536</v>
      </c>
      <c r="AB32" s="4">
        <v>0.495</v>
      </c>
      <c r="AC32" s="4">
        <v>0.86399999999999999</v>
      </c>
      <c r="AD32" s="4" t="s">
        <v>132</v>
      </c>
      <c r="AE32" s="4">
        <v>33.6</v>
      </c>
    </row>
    <row r="33" spans="1:31" hidden="1">
      <c r="A33" s="4"/>
      <c r="B33" s="5" t="s">
        <v>133</v>
      </c>
      <c r="C33" s="4"/>
      <c r="D33" s="4">
        <v>11</v>
      </c>
      <c r="E33" s="4">
        <v>1</v>
      </c>
      <c r="F33" s="4">
        <v>88.9</v>
      </c>
      <c r="G33" s="4">
        <v>127</v>
      </c>
      <c r="H33" s="4">
        <v>12.7</v>
      </c>
      <c r="I33" s="4">
        <v>19.2</v>
      </c>
      <c r="J33" s="4">
        <v>10</v>
      </c>
      <c r="K33" s="4">
        <v>7</v>
      </c>
      <c r="L33" s="4">
        <v>24</v>
      </c>
      <c r="M33" s="4">
        <v>0.47899999999999998</v>
      </c>
      <c r="N33" s="4">
        <v>40.5</v>
      </c>
      <c r="O33" s="4">
        <v>5160</v>
      </c>
      <c r="P33" s="4">
        <v>3.37</v>
      </c>
      <c r="Q33" s="4">
        <v>51.2</v>
      </c>
      <c r="R33" s="4">
        <v>25.6</v>
      </c>
      <c r="S33" s="4">
        <v>23</v>
      </c>
      <c r="T33" s="4">
        <v>58.1</v>
      </c>
      <c r="U33" s="4">
        <v>61.1</v>
      </c>
      <c r="V33" s="4">
        <v>61.9</v>
      </c>
      <c r="W33" s="4">
        <v>62.6</v>
      </c>
      <c r="X33" s="4">
        <v>64.2</v>
      </c>
      <c r="Y33" s="4">
        <v>65.7</v>
      </c>
      <c r="Z33" s="4">
        <v>16.7</v>
      </c>
      <c r="AA33" s="4">
        <v>277</v>
      </c>
      <c r="AB33" s="4">
        <v>0.26400000000000001</v>
      </c>
      <c r="AC33" s="4">
        <v>0.86399999999999999</v>
      </c>
      <c r="AD33" s="4" t="s">
        <v>134</v>
      </c>
      <c r="AE33" s="4">
        <v>27.2</v>
      </c>
    </row>
    <row r="34" spans="1:31" hidden="1">
      <c r="A34" s="4"/>
      <c r="B34" s="5" t="s">
        <v>135</v>
      </c>
      <c r="C34" s="4"/>
      <c r="D34" s="4">
        <v>11</v>
      </c>
      <c r="E34" s="4">
        <v>1</v>
      </c>
      <c r="F34" s="4">
        <v>88.9</v>
      </c>
      <c r="G34" s="4">
        <v>127</v>
      </c>
      <c r="H34" s="4">
        <v>9.5299999999999994</v>
      </c>
      <c r="I34" s="4">
        <v>19.3</v>
      </c>
      <c r="J34" s="4">
        <v>13.3</v>
      </c>
      <c r="K34" s="4">
        <v>9.33</v>
      </c>
      <c r="L34" s="4">
        <v>22</v>
      </c>
      <c r="M34" s="4">
        <v>0.48599999999999999</v>
      </c>
      <c r="N34" s="4">
        <v>30.9</v>
      </c>
      <c r="O34" s="4">
        <v>3930</v>
      </c>
      <c r="P34" s="4">
        <v>2.65</v>
      </c>
      <c r="Q34" s="4">
        <v>39.6</v>
      </c>
      <c r="R34" s="4">
        <v>26</v>
      </c>
      <c r="S34" s="4">
        <v>21.9</v>
      </c>
      <c r="T34" s="4">
        <v>57.6</v>
      </c>
      <c r="U34" s="4">
        <v>60.5</v>
      </c>
      <c r="V34" s="4">
        <v>61.3</v>
      </c>
      <c r="W34" s="4">
        <v>62</v>
      </c>
      <c r="X34" s="4">
        <v>63.6</v>
      </c>
      <c r="Y34" s="4">
        <v>65.099999999999994</v>
      </c>
      <c r="Z34" s="4">
        <v>17.100000000000001</v>
      </c>
      <c r="AA34" s="4">
        <v>119</v>
      </c>
      <c r="AB34" s="4">
        <v>0.11600000000000001</v>
      </c>
      <c r="AC34" s="4">
        <v>0.86399999999999999</v>
      </c>
      <c r="AD34" s="4" t="s">
        <v>136</v>
      </c>
      <c r="AE34" s="4">
        <v>20.7</v>
      </c>
    </row>
    <row r="35" spans="1:31" hidden="1">
      <c r="A35" s="4"/>
      <c r="B35" s="5" t="s">
        <v>137</v>
      </c>
      <c r="C35" s="4"/>
      <c r="D35" s="4">
        <v>11</v>
      </c>
      <c r="E35" s="4">
        <v>1</v>
      </c>
      <c r="F35" s="4">
        <v>88.9</v>
      </c>
      <c r="G35" s="4">
        <v>127</v>
      </c>
      <c r="H35" s="4">
        <v>7.94</v>
      </c>
      <c r="I35" s="4">
        <v>19.399999999999999</v>
      </c>
      <c r="J35" s="4">
        <v>16</v>
      </c>
      <c r="K35" s="4">
        <v>11.2</v>
      </c>
      <c r="L35" s="4">
        <v>20</v>
      </c>
      <c r="M35" s="4">
        <v>0.48899999999999999</v>
      </c>
      <c r="N35" s="4">
        <v>25.9</v>
      </c>
      <c r="O35" s="4">
        <v>3300</v>
      </c>
      <c r="P35" s="4">
        <v>2.2599999999999998</v>
      </c>
      <c r="Q35" s="4">
        <v>33.5</v>
      </c>
      <c r="R35" s="4">
        <v>26.2</v>
      </c>
      <c r="S35" s="4">
        <v>21.3</v>
      </c>
      <c r="T35" s="4">
        <v>57.4</v>
      </c>
      <c r="U35" s="4">
        <v>60.3</v>
      </c>
      <c r="V35" s="4">
        <v>61</v>
      </c>
      <c r="W35" s="4">
        <v>61.7</v>
      </c>
      <c r="X35" s="4">
        <v>63.3</v>
      </c>
      <c r="Y35" s="4">
        <v>64.8</v>
      </c>
      <c r="Z35" s="4">
        <v>17.3</v>
      </c>
      <c r="AA35" s="4">
        <v>69.400000000000006</v>
      </c>
      <c r="AB35" s="4">
        <v>6.88E-2</v>
      </c>
      <c r="AC35" s="4">
        <v>0.86399999999999999</v>
      </c>
      <c r="AD35" s="4" t="s">
        <v>138</v>
      </c>
      <c r="AE35" s="4">
        <v>17.399999999999999</v>
      </c>
    </row>
    <row r="36" spans="1:31" hidden="1">
      <c r="A36" s="4"/>
      <c r="B36" s="5" t="s">
        <v>139</v>
      </c>
      <c r="C36" s="4"/>
      <c r="D36" s="4">
        <v>11</v>
      </c>
      <c r="E36" s="4">
        <v>1</v>
      </c>
      <c r="F36" s="4">
        <v>88.9</v>
      </c>
      <c r="G36" s="4">
        <v>127</v>
      </c>
      <c r="H36" s="4">
        <v>6.35</v>
      </c>
      <c r="I36" s="4">
        <v>19.600000000000001</v>
      </c>
      <c r="J36" s="4">
        <v>20</v>
      </c>
      <c r="K36" s="4">
        <v>14</v>
      </c>
      <c r="L36" s="4">
        <v>18</v>
      </c>
      <c r="M36" s="4">
        <v>0.49199999999999999</v>
      </c>
      <c r="N36" s="4">
        <v>20.9</v>
      </c>
      <c r="O36" s="4">
        <v>2660</v>
      </c>
      <c r="P36" s="4">
        <v>1.86</v>
      </c>
      <c r="Q36" s="4">
        <v>27.2</v>
      </c>
      <c r="R36" s="4">
        <v>26.4</v>
      </c>
      <c r="S36" s="4">
        <v>20.7</v>
      </c>
      <c r="T36" s="4">
        <v>57.1</v>
      </c>
      <c r="U36" s="4">
        <v>60</v>
      </c>
      <c r="V36" s="4">
        <v>60.7</v>
      </c>
      <c r="W36" s="4">
        <v>61.5</v>
      </c>
      <c r="X36" s="4">
        <v>63</v>
      </c>
      <c r="Y36" s="4">
        <v>64.5</v>
      </c>
      <c r="Z36" s="4">
        <v>17.5</v>
      </c>
      <c r="AA36" s="4">
        <v>35.799999999999997</v>
      </c>
      <c r="AB36" s="4">
        <v>3.5999999999999997E-2</v>
      </c>
      <c r="AC36" s="4">
        <v>0.86399999999999999</v>
      </c>
      <c r="AD36" s="4" t="s">
        <v>140</v>
      </c>
      <c r="AE36" s="4">
        <v>14</v>
      </c>
    </row>
    <row r="37" spans="1:31" hidden="1">
      <c r="A37" s="4" t="s">
        <v>76</v>
      </c>
      <c r="B37" s="5" t="s">
        <v>141</v>
      </c>
      <c r="C37" s="4"/>
      <c r="D37" s="4">
        <v>11</v>
      </c>
      <c r="E37" s="4">
        <v>1</v>
      </c>
      <c r="F37" s="4">
        <v>76.2</v>
      </c>
      <c r="G37" s="4">
        <v>127</v>
      </c>
      <c r="H37" s="4">
        <v>12.7</v>
      </c>
      <c r="I37" s="4">
        <v>16.5</v>
      </c>
      <c r="J37" s="4">
        <v>10</v>
      </c>
      <c r="K37" s="4">
        <v>6</v>
      </c>
      <c r="L37" s="4">
        <v>24</v>
      </c>
      <c r="M37" s="4">
        <v>0.35699999999999998</v>
      </c>
      <c r="N37" s="4">
        <v>38</v>
      </c>
      <c r="O37" s="4">
        <v>4840</v>
      </c>
      <c r="P37" s="4">
        <v>2.15</v>
      </c>
      <c r="Q37" s="4">
        <v>37.6</v>
      </c>
      <c r="R37" s="4">
        <v>21.1</v>
      </c>
      <c r="S37" s="4">
        <v>19.100000000000001</v>
      </c>
      <c r="T37" s="4">
        <v>60</v>
      </c>
      <c r="U37" s="4">
        <v>63</v>
      </c>
      <c r="V37" s="4">
        <v>63.8</v>
      </c>
      <c r="W37" s="4">
        <v>64.599999999999994</v>
      </c>
      <c r="X37" s="4">
        <v>66.2</v>
      </c>
      <c r="Y37" s="4">
        <v>67.8</v>
      </c>
      <c r="Z37" s="4">
        <v>12.7</v>
      </c>
      <c r="AA37" s="4">
        <v>260</v>
      </c>
      <c r="AB37" s="4">
        <v>0.23899999999999999</v>
      </c>
      <c r="AC37" s="4">
        <v>0.81300000000000006</v>
      </c>
      <c r="AD37" s="4" t="s">
        <v>142</v>
      </c>
      <c r="AE37" s="4">
        <v>25.5</v>
      </c>
    </row>
    <row r="38" spans="1:31" hidden="1">
      <c r="A38" s="4"/>
      <c r="B38" s="5" t="s">
        <v>143</v>
      </c>
      <c r="C38" s="4" t="s">
        <v>76</v>
      </c>
      <c r="D38" s="4">
        <v>11</v>
      </c>
      <c r="E38" s="4">
        <v>1</v>
      </c>
      <c r="F38" s="4">
        <v>76.2</v>
      </c>
      <c r="G38" s="4">
        <v>127</v>
      </c>
      <c r="H38" s="4">
        <v>11.1</v>
      </c>
      <c r="I38" s="4">
        <v>16.5</v>
      </c>
      <c r="J38" s="4">
        <v>11.4</v>
      </c>
      <c r="K38" s="4">
        <v>6.86</v>
      </c>
      <c r="L38" s="4">
        <v>24</v>
      </c>
      <c r="M38" s="4">
        <v>0.36099999999999999</v>
      </c>
      <c r="N38" s="4">
        <v>33.5</v>
      </c>
      <c r="O38" s="4">
        <v>4260</v>
      </c>
      <c r="P38" s="4">
        <v>1.93</v>
      </c>
      <c r="Q38" s="4">
        <v>33.4</v>
      </c>
      <c r="R38" s="4">
        <v>21.3</v>
      </c>
      <c r="S38" s="4">
        <v>18.5</v>
      </c>
      <c r="T38" s="4">
        <v>59.7</v>
      </c>
      <c r="U38" s="4">
        <v>62.7</v>
      </c>
      <c r="V38" s="4">
        <v>63.5</v>
      </c>
      <c r="W38" s="4">
        <v>64.3</v>
      </c>
      <c r="X38" s="4">
        <v>65.8</v>
      </c>
      <c r="Y38" s="4">
        <v>67.400000000000006</v>
      </c>
      <c r="Z38" s="4">
        <v>12.9</v>
      </c>
      <c r="AA38" s="4">
        <v>175</v>
      </c>
      <c r="AB38" s="4">
        <v>0.16300000000000001</v>
      </c>
      <c r="AC38" s="4">
        <v>0.81300000000000006</v>
      </c>
      <c r="AD38" s="4" t="s">
        <v>144</v>
      </c>
      <c r="AE38" s="4">
        <v>22.5</v>
      </c>
    </row>
    <row r="39" spans="1:31" hidden="1">
      <c r="A39" s="4"/>
      <c r="B39" s="5" t="s">
        <v>145</v>
      </c>
      <c r="C39" s="4"/>
      <c r="D39" s="4">
        <v>11</v>
      </c>
      <c r="E39" s="4">
        <v>1</v>
      </c>
      <c r="F39" s="4">
        <v>76.2</v>
      </c>
      <c r="G39" s="4">
        <v>127</v>
      </c>
      <c r="H39" s="4">
        <v>9.5299999999999994</v>
      </c>
      <c r="I39" s="4">
        <v>16.600000000000001</v>
      </c>
      <c r="J39" s="4">
        <v>13.3</v>
      </c>
      <c r="K39" s="4">
        <v>8</v>
      </c>
      <c r="L39" s="4">
        <v>22</v>
      </c>
      <c r="M39" s="4">
        <v>0.36399999999999999</v>
      </c>
      <c r="N39" s="4">
        <v>29</v>
      </c>
      <c r="O39" s="4">
        <v>3690</v>
      </c>
      <c r="P39" s="4">
        <v>1.7</v>
      </c>
      <c r="Q39" s="4">
        <v>29.1</v>
      </c>
      <c r="R39" s="4">
        <v>21.5</v>
      </c>
      <c r="S39" s="4">
        <v>17.899999999999999</v>
      </c>
      <c r="T39" s="4">
        <v>59.5</v>
      </c>
      <c r="U39" s="4">
        <v>62.4</v>
      </c>
      <c r="V39" s="4">
        <v>63.2</v>
      </c>
      <c r="W39" s="4">
        <v>64</v>
      </c>
      <c r="X39" s="4">
        <v>65.5</v>
      </c>
      <c r="Y39" s="4">
        <v>67.099999999999994</v>
      </c>
      <c r="Z39" s="4">
        <v>13.1</v>
      </c>
      <c r="AA39" s="4">
        <v>112</v>
      </c>
      <c r="AB39" s="4">
        <v>0.105</v>
      </c>
      <c r="AC39" s="4">
        <v>0.81300000000000006</v>
      </c>
      <c r="AD39" s="4" t="s">
        <v>146</v>
      </c>
      <c r="AE39" s="4">
        <v>19.5</v>
      </c>
    </row>
    <row r="40" spans="1:31" hidden="1">
      <c r="A40" s="4"/>
      <c r="B40" s="5" t="s">
        <v>147</v>
      </c>
      <c r="C40" s="4"/>
      <c r="D40" s="4">
        <v>11</v>
      </c>
      <c r="E40" s="4">
        <v>1</v>
      </c>
      <c r="F40" s="4">
        <v>76.2</v>
      </c>
      <c r="G40" s="4">
        <v>127</v>
      </c>
      <c r="H40" s="4">
        <v>7.94</v>
      </c>
      <c r="I40" s="4">
        <v>16.7</v>
      </c>
      <c r="J40" s="4">
        <v>16</v>
      </c>
      <c r="K40" s="4">
        <v>9.6</v>
      </c>
      <c r="L40" s="4">
        <v>20</v>
      </c>
      <c r="M40" s="4">
        <v>0.36799999999999999</v>
      </c>
      <c r="N40" s="4">
        <v>24.3</v>
      </c>
      <c r="O40" s="4">
        <v>3100</v>
      </c>
      <c r="P40" s="4">
        <v>1.45</v>
      </c>
      <c r="Q40" s="4">
        <v>24.7</v>
      </c>
      <c r="R40" s="4">
        <v>21.7</v>
      </c>
      <c r="S40" s="4">
        <v>17.3</v>
      </c>
      <c r="T40" s="4">
        <v>59.2</v>
      </c>
      <c r="U40" s="4">
        <v>62.1</v>
      </c>
      <c r="V40" s="4">
        <v>62.9</v>
      </c>
      <c r="W40" s="4">
        <v>63.7</v>
      </c>
      <c r="X40" s="4">
        <v>65.2</v>
      </c>
      <c r="Y40" s="4">
        <v>66.8</v>
      </c>
      <c r="Z40" s="4">
        <v>13.3</v>
      </c>
      <c r="AA40" s="4">
        <v>65.2</v>
      </c>
      <c r="AB40" s="4">
        <v>6.2300000000000001E-2</v>
      </c>
      <c r="AC40" s="4">
        <v>0.81300000000000006</v>
      </c>
      <c r="AD40" s="4" t="s">
        <v>148</v>
      </c>
      <c r="AE40" s="4">
        <v>16.399999999999999</v>
      </c>
    </row>
    <row r="41" spans="1:31" hidden="1">
      <c r="A41" s="4"/>
      <c r="B41" s="5" t="s">
        <v>149</v>
      </c>
      <c r="C41" s="4"/>
      <c r="D41" s="4">
        <v>11</v>
      </c>
      <c r="E41" s="4">
        <v>1</v>
      </c>
      <c r="F41" s="4">
        <v>76.2</v>
      </c>
      <c r="G41" s="4">
        <v>127</v>
      </c>
      <c r="H41" s="4">
        <v>6.35</v>
      </c>
      <c r="I41" s="4">
        <v>16.8</v>
      </c>
      <c r="J41" s="4">
        <v>20</v>
      </c>
      <c r="K41" s="4">
        <v>12</v>
      </c>
      <c r="L41" s="4">
        <v>18</v>
      </c>
      <c r="M41" s="4">
        <v>0.371</v>
      </c>
      <c r="N41" s="4">
        <v>19.600000000000001</v>
      </c>
      <c r="O41" s="4">
        <v>2500</v>
      </c>
      <c r="P41" s="4">
        <v>1.2</v>
      </c>
      <c r="Q41" s="4">
        <v>20.100000000000001</v>
      </c>
      <c r="R41" s="4">
        <v>21.9</v>
      </c>
      <c r="S41" s="4">
        <v>16.7</v>
      </c>
      <c r="T41" s="4">
        <v>58.9</v>
      </c>
      <c r="U41" s="4">
        <v>61.9</v>
      </c>
      <c r="V41" s="4">
        <v>62.6</v>
      </c>
      <c r="W41" s="4">
        <v>63.4</v>
      </c>
      <c r="X41" s="4">
        <v>64.900000000000006</v>
      </c>
      <c r="Y41" s="4">
        <v>66.400000000000006</v>
      </c>
      <c r="Z41" s="4">
        <v>13.5</v>
      </c>
      <c r="AA41" s="4">
        <v>33.6</v>
      </c>
      <c r="AB41" s="4">
        <v>3.2500000000000001E-2</v>
      </c>
      <c r="AC41" s="4">
        <v>0.81300000000000006</v>
      </c>
      <c r="AD41" s="4" t="s">
        <v>150</v>
      </c>
      <c r="AE41" s="4">
        <v>13.2</v>
      </c>
    </row>
    <row r="42" spans="1:31" hidden="1">
      <c r="A42" s="4" t="s">
        <v>76</v>
      </c>
      <c r="B42" s="5" t="s">
        <v>151</v>
      </c>
      <c r="C42" s="4"/>
      <c r="D42" s="4">
        <v>11</v>
      </c>
      <c r="E42" s="4">
        <v>1</v>
      </c>
      <c r="F42" s="4">
        <v>88.9</v>
      </c>
      <c r="G42" s="4">
        <v>102</v>
      </c>
      <c r="H42" s="4">
        <v>12.7</v>
      </c>
      <c r="I42" s="4">
        <v>18.399999999999999</v>
      </c>
      <c r="J42" s="4">
        <v>8.0299999999999994</v>
      </c>
      <c r="K42" s="4">
        <v>7</v>
      </c>
      <c r="L42" s="4">
        <v>24</v>
      </c>
      <c r="M42" s="4">
        <v>0.74399999999999999</v>
      </c>
      <c r="N42" s="4">
        <v>35.5</v>
      </c>
      <c r="O42" s="4">
        <v>4530</v>
      </c>
      <c r="P42" s="4">
        <v>3.16</v>
      </c>
      <c r="Q42" s="4">
        <v>49.7</v>
      </c>
      <c r="R42" s="4">
        <v>26.4</v>
      </c>
      <c r="S42" s="4">
        <v>25.4</v>
      </c>
      <c r="T42" s="4">
        <v>44.8</v>
      </c>
      <c r="U42" s="4">
        <v>47.7</v>
      </c>
      <c r="V42" s="4">
        <v>48.5</v>
      </c>
      <c r="W42" s="4">
        <v>49.3</v>
      </c>
      <c r="X42" s="4">
        <v>50.8</v>
      </c>
      <c r="Y42" s="4">
        <v>52.4</v>
      </c>
      <c r="Z42" s="4">
        <v>19</v>
      </c>
      <c r="AA42" s="4">
        <v>243</v>
      </c>
      <c r="AB42" s="4">
        <v>0.16400000000000001</v>
      </c>
      <c r="AC42" s="4">
        <v>0.76400000000000001</v>
      </c>
      <c r="AD42" s="4" t="s">
        <v>152</v>
      </c>
      <c r="AE42" s="4">
        <v>23.9</v>
      </c>
    </row>
    <row r="43" spans="1:31" hidden="1">
      <c r="A43" s="4"/>
      <c r="B43" s="5" t="s">
        <v>153</v>
      </c>
      <c r="C43" s="4" t="s">
        <v>76</v>
      </c>
      <c r="D43" s="4">
        <v>11</v>
      </c>
      <c r="E43" s="4">
        <v>1</v>
      </c>
      <c r="F43" s="4">
        <v>88.9</v>
      </c>
      <c r="G43" s="4">
        <v>102</v>
      </c>
      <c r="H43" s="4">
        <v>11.1</v>
      </c>
      <c r="I43" s="4">
        <v>18.399999999999999</v>
      </c>
      <c r="J43" s="4">
        <v>9.19</v>
      </c>
      <c r="K43" s="4">
        <v>8.01</v>
      </c>
      <c r="L43" s="4">
        <v>22</v>
      </c>
      <c r="M43" s="4">
        <v>0.746</v>
      </c>
      <c r="N43" s="4">
        <v>31.3</v>
      </c>
      <c r="O43" s="4">
        <v>3990</v>
      </c>
      <c r="P43" s="4">
        <v>2.83</v>
      </c>
      <c r="Q43" s="4">
        <v>44.1</v>
      </c>
      <c r="R43" s="4">
        <v>26.6</v>
      </c>
      <c r="S43" s="4">
        <v>24.8</v>
      </c>
      <c r="T43" s="4">
        <v>44.6</v>
      </c>
      <c r="U43" s="4">
        <v>47.5</v>
      </c>
      <c r="V43" s="4">
        <v>48.2</v>
      </c>
      <c r="W43" s="4">
        <v>49</v>
      </c>
      <c r="X43" s="4">
        <v>50.5</v>
      </c>
      <c r="Y43" s="4">
        <v>52.1</v>
      </c>
      <c r="Z43" s="4">
        <v>19.2</v>
      </c>
      <c r="AA43" s="4">
        <v>164</v>
      </c>
      <c r="AB43" s="4">
        <v>0.112</v>
      </c>
      <c r="AC43" s="4">
        <v>0.76400000000000001</v>
      </c>
      <c r="AD43" s="4" t="s">
        <v>154</v>
      </c>
      <c r="AE43" s="4">
        <v>21.1</v>
      </c>
    </row>
    <row r="44" spans="1:31" hidden="1">
      <c r="A44" s="4"/>
      <c r="B44" s="5" t="s">
        <v>155</v>
      </c>
      <c r="C44" s="4"/>
      <c r="D44" s="4">
        <v>11</v>
      </c>
      <c r="E44" s="4">
        <v>1</v>
      </c>
      <c r="F44" s="4">
        <v>88.9</v>
      </c>
      <c r="G44" s="4">
        <v>102</v>
      </c>
      <c r="H44" s="4">
        <v>9.5299999999999994</v>
      </c>
      <c r="I44" s="4">
        <v>18.5</v>
      </c>
      <c r="J44" s="4">
        <v>10.7</v>
      </c>
      <c r="K44" s="4">
        <v>9.33</v>
      </c>
      <c r="L44" s="4">
        <v>20</v>
      </c>
      <c r="M44" s="4">
        <v>0.749</v>
      </c>
      <c r="N44" s="4">
        <v>27.1</v>
      </c>
      <c r="O44" s="4">
        <v>3460</v>
      </c>
      <c r="P44" s="4">
        <v>2.4900000000000002</v>
      </c>
      <c r="Q44" s="4">
        <v>38.5</v>
      </c>
      <c r="R44" s="4">
        <v>26.8</v>
      </c>
      <c r="S44" s="4">
        <v>24.2</v>
      </c>
      <c r="T44" s="4">
        <v>44.3</v>
      </c>
      <c r="U44" s="4">
        <v>47.2</v>
      </c>
      <c r="V44" s="4">
        <v>47.9</v>
      </c>
      <c r="W44" s="4">
        <v>48.7</v>
      </c>
      <c r="X44" s="4">
        <v>50.2</v>
      </c>
      <c r="Y44" s="4">
        <v>51.8</v>
      </c>
      <c r="Z44" s="4">
        <v>19.5</v>
      </c>
      <c r="AA44" s="4">
        <v>105</v>
      </c>
      <c r="AB44" s="4">
        <v>7.2800000000000004E-2</v>
      </c>
      <c r="AC44" s="4">
        <v>0.76400000000000001</v>
      </c>
      <c r="AD44" s="4" t="s">
        <v>156</v>
      </c>
      <c r="AE44" s="4">
        <v>18.2</v>
      </c>
    </row>
    <row r="45" spans="1:31" hidden="1">
      <c r="A45" s="4"/>
      <c r="B45" s="5" t="s">
        <v>157</v>
      </c>
      <c r="C45" s="4"/>
      <c r="D45" s="4">
        <v>11</v>
      </c>
      <c r="E45" s="4">
        <v>1</v>
      </c>
      <c r="F45" s="4">
        <v>88.9</v>
      </c>
      <c r="G45" s="4">
        <v>102</v>
      </c>
      <c r="H45" s="4">
        <v>7.94</v>
      </c>
      <c r="I45" s="4">
        <v>18.600000000000001</v>
      </c>
      <c r="J45" s="4">
        <v>12.8</v>
      </c>
      <c r="K45" s="4">
        <v>11.2</v>
      </c>
      <c r="L45" s="4">
        <v>18</v>
      </c>
      <c r="M45" s="4">
        <v>0.751</v>
      </c>
      <c r="N45" s="4">
        <v>22.8</v>
      </c>
      <c r="O45" s="4">
        <v>2910</v>
      </c>
      <c r="P45" s="4">
        <v>2.13</v>
      </c>
      <c r="Q45" s="4">
        <v>32.6</v>
      </c>
      <c r="R45" s="4">
        <v>27.1</v>
      </c>
      <c r="S45" s="4">
        <v>23.6</v>
      </c>
      <c r="T45" s="4">
        <v>44.1</v>
      </c>
      <c r="U45" s="4">
        <v>46.9</v>
      </c>
      <c r="V45" s="4">
        <v>47.6</v>
      </c>
      <c r="W45" s="4">
        <v>48.4</v>
      </c>
      <c r="X45" s="4">
        <v>49.9</v>
      </c>
      <c r="Y45" s="4">
        <v>51.4</v>
      </c>
      <c r="Z45" s="4">
        <v>19.7</v>
      </c>
      <c r="AA45" s="4">
        <v>61.1</v>
      </c>
      <c r="AB45" s="4">
        <v>4.3200000000000002E-2</v>
      </c>
      <c r="AC45" s="4">
        <v>0.76400000000000001</v>
      </c>
      <c r="AD45" s="4" t="s">
        <v>158</v>
      </c>
      <c r="AE45" s="4">
        <v>15.3</v>
      </c>
    </row>
    <row r="46" spans="1:31" hidden="1">
      <c r="A46" s="4"/>
      <c r="B46" s="5" t="s">
        <v>159</v>
      </c>
      <c r="C46" s="4"/>
      <c r="D46" s="4">
        <v>11</v>
      </c>
      <c r="E46" s="4">
        <v>1</v>
      </c>
      <c r="F46" s="4">
        <v>88.9</v>
      </c>
      <c r="G46" s="4">
        <v>102</v>
      </c>
      <c r="H46" s="4">
        <v>6.35</v>
      </c>
      <c r="I46" s="4">
        <v>18.7</v>
      </c>
      <c r="J46" s="4">
        <v>16.100000000000001</v>
      </c>
      <c r="K46" s="4">
        <v>14</v>
      </c>
      <c r="L46" s="4">
        <v>18</v>
      </c>
      <c r="M46" s="4">
        <v>0.753</v>
      </c>
      <c r="N46" s="4">
        <v>18.399999999999999</v>
      </c>
      <c r="O46" s="4">
        <v>2340</v>
      </c>
      <c r="P46" s="4">
        <v>1.74</v>
      </c>
      <c r="Q46" s="4">
        <v>26.5</v>
      </c>
      <c r="R46" s="4">
        <v>27.3</v>
      </c>
      <c r="S46" s="4">
        <v>23.1</v>
      </c>
      <c r="T46" s="4">
        <v>43.8</v>
      </c>
      <c r="U46" s="4">
        <v>46.6</v>
      </c>
      <c r="V46" s="4">
        <v>47.4</v>
      </c>
      <c r="W46" s="4">
        <v>48.1</v>
      </c>
      <c r="X46" s="4">
        <v>49.6</v>
      </c>
      <c r="Y46" s="4">
        <v>51.1</v>
      </c>
      <c r="Z46" s="4">
        <v>19.899999999999999</v>
      </c>
      <c r="AA46" s="4">
        <v>31.5</v>
      </c>
      <c r="AB46" s="4">
        <v>2.2700000000000001E-2</v>
      </c>
      <c r="AC46" s="4">
        <v>0.76400000000000001</v>
      </c>
      <c r="AD46" s="4" t="s">
        <v>160</v>
      </c>
      <c r="AE46" s="4">
        <v>12.4</v>
      </c>
    </row>
    <row r="47" spans="1:31" hidden="1">
      <c r="A47" s="4" t="s">
        <v>76</v>
      </c>
      <c r="B47" s="5" t="s">
        <v>161</v>
      </c>
      <c r="C47" s="4" t="s">
        <v>76</v>
      </c>
      <c r="D47" s="4">
        <v>11</v>
      </c>
      <c r="E47" s="4">
        <v>2</v>
      </c>
      <c r="F47" s="4">
        <v>76.2</v>
      </c>
      <c r="G47" s="4">
        <v>102</v>
      </c>
      <c r="H47" s="4">
        <v>15.9</v>
      </c>
      <c r="I47" s="4">
        <v>16.2</v>
      </c>
      <c r="J47" s="4">
        <v>6.42</v>
      </c>
      <c r="K47" s="4">
        <v>4.79</v>
      </c>
      <c r="L47" s="4">
        <v>26</v>
      </c>
      <c r="M47" s="4">
        <v>0.52900000000000003</v>
      </c>
      <c r="N47" s="4">
        <v>40.5</v>
      </c>
      <c r="O47" s="4">
        <v>5160</v>
      </c>
      <c r="P47" s="4">
        <v>2.4</v>
      </c>
      <c r="Q47" s="4">
        <v>44.3</v>
      </c>
      <c r="R47" s="4">
        <v>21.6</v>
      </c>
      <c r="S47" s="4">
        <v>22.1</v>
      </c>
      <c r="T47" s="4">
        <v>47</v>
      </c>
      <c r="U47" s="4">
        <v>50.1</v>
      </c>
      <c r="V47" s="4">
        <v>50.9</v>
      </c>
      <c r="W47" s="4">
        <v>51.6</v>
      </c>
      <c r="X47" s="4">
        <v>53.2</v>
      </c>
      <c r="Y47" s="4">
        <v>54.9</v>
      </c>
      <c r="Z47" s="4">
        <v>14.2</v>
      </c>
      <c r="AA47" s="4">
        <v>435</v>
      </c>
      <c r="AB47" s="4">
        <v>0.25700000000000001</v>
      </c>
      <c r="AC47" s="4">
        <v>0.71299999999999997</v>
      </c>
      <c r="AD47" s="4" t="s">
        <v>162</v>
      </c>
      <c r="AE47" s="4">
        <v>27.2</v>
      </c>
    </row>
    <row r="48" spans="1:31" hidden="1">
      <c r="A48" s="4"/>
      <c r="B48" s="5" t="s">
        <v>163</v>
      </c>
      <c r="C48" s="4"/>
      <c r="D48" s="4">
        <v>11</v>
      </c>
      <c r="E48" s="4">
        <v>1</v>
      </c>
      <c r="F48" s="4">
        <v>76.2</v>
      </c>
      <c r="G48" s="4">
        <v>102</v>
      </c>
      <c r="H48" s="4">
        <v>12.7</v>
      </c>
      <c r="I48" s="4">
        <v>16.2</v>
      </c>
      <c r="J48" s="4">
        <v>8.0299999999999994</v>
      </c>
      <c r="K48" s="4">
        <v>6</v>
      </c>
      <c r="L48" s="4">
        <v>24</v>
      </c>
      <c r="M48" s="4">
        <v>0.53800000000000003</v>
      </c>
      <c r="N48" s="4">
        <v>33</v>
      </c>
      <c r="O48" s="4">
        <v>4200</v>
      </c>
      <c r="P48" s="4">
        <v>2.02</v>
      </c>
      <c r="Q48" s="4">
        <v>36.6</v>
      </c>
      <c r="R48" s="4">
        <v>21.9</v>
      </c>
      <c r="S48" s="4">
        <v>21</v>
      </c>
      <c r="T48" s="4">
        <v>46.5</v>
      </c>
      <c r="U48" s="4">
        <v>49.4</v>
      </c>
      <c r="V48" s="4">
        <v>50.2</v>
      </c>
      <c r="W48" s="4">
        <v>51</v>
      </c>
      <c r="X48" s="4">
        <v>52.6</v>
      </c>
      <c r="Y48" s="4">
        <v>54.2</v>
      </c>
      <c r="Z48" s="4">
        <v>14.6</v>
      </c>
      <c r="AA48" s="4">
        <v>226</v>
      </c>
      <c r="AB48" s="4">
        <v>0.13800000000000001</v>
      </c>
      <c r="AC48" s="4">
        <v>0.71299999999999997</v>
      </c>
      <c r="AD48" s="4" t="s">
        <v>164</v>
      </c>
      <c r="AE48" s="4">
        <v>22.2</v>
      </c>
    </row>
    <row r="49" spans="1:31" hidden="1">
      <c r="A49" s="4"/>
      <c r="B49" s="5" t="s">
        <v>165</v>
      </c>
      <c r="C49" s="4" t="s">
        <v>76</v>
      </c>
      <c r="D49" s="4">
        <v>11</v>
      </c>
      <c r="E49" s="4">
        <v>1</v>
      </c>
      <c r="F49" s="4">
        <v>76.2</v>
      </c>
      <c r="G49" s="4">
        <v>102</v>
      </c>
      <c r="H49" s="4">
        <v>11.1</v>
      </c>
      <c r="I49" s="4">
        <v>16.3</v>
      </c>
      <c r="J49" s="4">
        <v>9.19</v>
      </c>
      <c r="K49" s="4">
        <v>6.86</v>
      </c>
      <c r="L49" s="4">
        <v>22</v>
      </c>
      <c r="M49" s="4">
        <v>0.54300000000000004</v>
      </c>
      <c r="N49" s="4">
        <v>29.1</v>
      </c>
      <c r="O49" s="4">
        <v>3710</v>
      </c>
      <c r="P49" s="4">
        <v>1.81</v>
      </c>
      <c r="Q49" s="4">
        <v>32.5</v>
      </c>
      <c r="R49" s="4">
        <v>22.1</v>
      </c>
      <c r="S49" s="4">
        <v>20.399999999999999</v>
      </c>
      <c r="T49" s="4">
        <v>46.2</v>
      </c>
      <c r="U49" s="4">
        <v>49.1</v>
      </c>
      <c r="V49" s="4">
        <v>49.9</v>
      </c>
      <c r="W49" s="4">
        <v>50.7</v>
      </c>
      <c r="X49" s="4">
        <v>52.2</v>
      </c>
      <c r="Y49" s="4">
        <v>53.8</v>
      </c>
      <c r="Z49" s="4">
        <v>14.8</v>
      </c>
      <c r="AA49" s="4">
        <v>152</v>
      </c>
      <c r="AB49" s="4">
        <v>9.5000000000000001E-2</v>
      </c>
      <c r="AC49" s="4">
        <v>0.71299999999999997</v>
      </c>
      <c r="AD49" s="4" t="s">
        <v>166</v>
      </c>
      <c r="AE49" s="4">
        <v>19.600000000000001</v>
      </c>
    </row>
    <row r="50" spans="1:31" hidden="1">
      <c r="A50" s="4"/>
      <c r="B50" s="5" t="s">
        <v>167</v>
      </c>
      <c r="C50" s="4"/>
      <c r="D50" s="4">
        <v>11</v>
      </c>
      <c r="E50" s="4">
        <v>1</v>
      </c>
      <c r="F50" s="4">
        <v>76.2</v>
      </c>
      <c r="G50" s="4">
        <v>102</v>
      </c>
      <c r="H50" s="4">
        <v>9.5299999999999994</v>
      </c>
      <c r="I50" s="4">
        <v>16.399999999999999</v>
      </c>
      <c r="J50" s="4">
        <v>10.7</v>
      </c>
      <c r="K50" s="4">
        <v>8</v>
      </c>
      <c r="L50" s="4">
        <v>20</v>
      </c>
      <c r="M50" s="4">
        <v>0.54700000000000004</v>
      </c>
      <c r="N50" s="4">
        <v>25.2</v>
      </c>
      <c r="O50" s="4">
        <v>3210</v>
      </c>
      <c r="P50" s="4">
        <v>1.6</v>
      </c>
      <c r="Q50" s="4">
        <v>28.4</v>
      </c>
      <c r="R50" s="4">
        <v>22.3</v>
      </c>
      <c r="S50" s="4">
        <v>19.8</v>
      </c>
      <c r="T50" s="4">
        <v>45.9</v>
      </c>
      <c r="U50" s="4">
        <v>48.9</v>
      </c>
      <c r="V50" s="4">
        <v>49.6</v>
      </c>
      <c r="W50" s="4">
        <v>50.4</v>
      </c>
      <c r="X50" s="4">
        <v>51.9</v>
      </c>
      <c r="Y50" s="4">
        <v>53.5</v>
      </c>
      <c r="Z50" s="4">
        <v>15.1</v>
      </c>
      <c r="AA50" s="4">
        <v>97.3</v>
      </c>
      <c r="AB50" s="4">
        <v>6.1699999999999998E-2</v>
      </c>
      <c r="AC50" s="4">
        <v>0.71299999999999997</v>
      </c>
      <c r="AD50" s="4" t="s">
        <v>168</v>
      </c>
      <c r="AE50" s="4">
        <v>17</v>
      </c>
    </row>
    <row r="51" spans="1:31" hidden="1">
      <c r="A51" s="4"/>
      <c r="B51" s="5" t="s">
        <v>169</v>
      </c>
      <c r="C51" s="4"/>
      <c r="D51" s="4">
        <v>11</v>
      </c>
      <c r="E51" s="4">
        <v>1</v>
      </c>
      <c r="F51" s="4">
        <v>76.2</v>
      </c>
      <c r="G51" s="4">
        <v>102</v>
      </c>
      <c r="H51" s="4">
        <v>7.94</v>
      </c>
      <c r="I51" s="4">
        <v>16.5</v>
      </c>
      <c r="J51" s="4">
        <v>12.8</v>
      </c>
      <c r="K51" s="4">
        <v>9.6</v>
      </c>
      <c r="L51" s="4">
        <v>18</v>
      </c>
      <c r="M51" s="4">
        <v>0.55000000000000004</v>
      </c>
      <c r="N51" s="4">
        <v>21.2</v>
      </c>
      <c r="O51" s="4">
        <v>2700</v>
      </c>
      <c r="P51" s="4">
        <v>1.37</v>
      </c>
      <c r="Q51" s="4">
        <v>24.1</v>
      </c>
      <c r="R51" s="4">
        <v>22.5</v>
      </c>
      <c r="S51" s="4">
        <v>19.2</v>
      </c>
      <c r="T51" s="4">
        <v>45.7</v>
      </c>
      <c r="U51" s="4">
        <v>48.6</v>
      </c>
      <c r="V51" s="4">
        <v>49.3</v>
      </c>
      <c r="W51" s="4">
        <v>50.1</v>
      </c>
      <c r="X51" s="4">
        <v>51.6</v>
      </c>
      <c r="Y51" s="4">
        <v>53.2</v>
      </c>
      <c r="Z51" s="4">
        <v>15.3</v>
      </c>
      <c r="AA51" s="4">
        <v>56.8</v>
      </c>
      <c r="AB51" s="4">
        <v>3.6700000000000003E-2</v>
      </c>
      <c r="AC51" s="4">
        <v>0.71299999999999997</v>
      </c>
      <c r="AD51" s="4" t="s">
        <v>170</v>
      </c>
      <c r="AE51" s="4">
        <v>14.3</v>
      </c>
    </row>
    <row r="52" spans="1:31" hidden="1">
      <c r="A52" s="4"/>
      <c r="B52" s="5" t="s">
        <v>171</v>
      </c>
      <c r="C52" s="4"/>
      <c r="D52" s="4">
        <v>11</v>
      </c>
      <c r="E52" s="4">
        <v>1</v>
      </c>
      <c r="F52" s="4">
        <v>76.2</v>
      </c>
      <c r="G52" s="4">
        <v>102</v>
      </c>
      <c r="H52" s="4">
        <v>6.35</v>
      </c>
      <c r="I52" s="4">
        <v>16.600000000000001</v>
      </c>
      <c r="J52" s="4">
        <v>16.100000000000001</v>
      </c>
      <c r="K52" s="4">
        <v>12</v>
      </c>
      <c r="L52" s="4">
        <v>18</v>
      </c>
      <c r="M52" s="4">
        <v>0.55400000000000005</v>
      </c>
      <c r="N52" s="4">
        <v>17.100000000000001</v>
      </c>
      <c r="O52" s="4">
        <v>2180</v>
      </c>
      <c r="P52" s="4">
        <v>1.1299999999999999</v>
      </c>
      <c r="Q52" s="4">
        <v>19.600000000000001</v>
      </c>
      <c r="R52" s="4">
        <v>22.7</v>
      </c>
      <c r="S52" s="4">
        <v>18.7</v>
      </c>
      <c r="T52" s="4">
        <v>45.4</v>
      </c>
      <c r="U52" s="4">
        <v>48.3</v>
      </c>
      <c r="V52" s="4">
        <v>49</v>
      </c>
      <c r="W52" s="4">
        <v>49.8</v>
      </c>
      <c r="X52" s="4">
        <v>51.3</v>
      </c>
      <c r="Y52" s="4">
        <v>52.9</v>
      </c>
      <c r="Z52" s="4">
        <v>15.5</v>
      </c>
      <c r="AA52" s="4">
        <v>29.3</v>
      </c>
      <c r="AB52" s="4">
        <v>1.9300000000000001E-2</v>
      </c>
      <c r="AC52" s="4">
        <v>0.71299999999999997</v>
      </c>
      <c r="AD52" s="4" t="s">
        <v>172</v>
      </c>
      <c r="AE52" s="4">
        <v>11.5</v>
      </c>
    </row>
    <row r="53" spans="1:31" hidden="1">
      <c r="A53" s="4" t="s">
        <v>76</v>
      </c>
      <c r="B53" s="5" t="s">
        <v>173</v>
      </c>
      <c r="C53" s="4"/>
      <c r="D53" s="4">
        <v>11</v>
      </c>
      <c r="E53" s="4">
        <v>1</v>
      </c>
      <c r="F53" s="4">
        <v>76.2</v>
      </c>
      <c r="G53" s="4">
        <v>88.9</v>
      </c>
      <c r="H53" s="4">
        <v>12.7</v>
      </c>
      <c r="I53" s="4">
        <v>15.8</v>
      </c>
      <c r="J53" s="4">
        <v>7</v>
      </c>
      <c r="K53" s="4">
        <v>6</v>
      </c>
      <c r="L53" s="4">
        <v>24</v>
      </c>
      <c r="M53" s="4">
        <v>0.71399999999999997</v>
      </c>
      <c r="N53" s="4">
        <v>30.4</v>
      </c>
      <c r="O53" s="4">
        <v>3870</v>
      </c>
      <c r="P53" s="4">
        <v>1.94</v>
      </c>
      <c r="Q53" s="4">
        <v>35.9</v>
      </c>
      <c r="R53" s="4">
        <v>22.4</v>
      </c>
      <c r="S53" s="4">
        <v>22.2</v>
      </c>
      <c r="T53" s="4">
        <v>39.5</v>
      </c>
      <c r="U53" s="4">
        <v>42.5</v>
      </c>
      <c r="V53" s="4">
        <v>43.2</v>
      </c>
      <c r="W53" s="4">
        <v>44</v>
      </c>
      <c r="X53" s="4">
        <v>45.6</v>
      </c>
      <c r="Y53" s="4">
        <v>47.2</v>
      </c>
      <c r="Z53" s="4">
        <v>15.9</v>
      </c>
      <c r="AA53" s="4">
        <v>208</v>
      </c>
      <c r="AB53" s="4">
        <v>0.10299999999999999</v>
      </c>
      <c r="AC53" s="4">
        <v>0.66</v>
      </c>
      <c r="AD53" s="4" t="s">
        <v>174</v>
      </c>
      <c r="AE53" s="4">
        <v>20.399999999999999</v>
      </c>
    </row>
    <row r="54" spans="1:31" hidden="1">
      <c r="A54" s="4"/>
      <c r="B54" s="5" t="s">
        <v>175</v>
      </c>
      <c r="C54" s="4"/>
      <c r="D54" s="4">
        <v>11</v>
      </c>
      <c r="E54" s="4">
        <v>1</v>
      </c>
      <c r="F54" s="4">
        <v>76.2</v>
      </c>
      <c r="G54" s="4">
        <v>88.9</v>
      </c>
      <c r="H54" s="4">
        <v>9.5299999999999994</v>
      </c>
      <c r="I54" s="4">
        <v>15.9</v>
      </c>
      <c r="J54" s="4">
        <v>9.33</v>
      </c>
      <c r="K54" s="4">
        <v>8</v>
      </c>
      <c r="L54" s="4">
        <v>20</v>
      </c>
      <c r="M54" s="4">
        <v>0.72099999999999997</v>
      </c>
      <c r="N54" s="4">
        <v>23.3</v>
      </c>
      <c r="O54" s="4">
        <v>2970</v>
      </c>
      <c r="P54" s="4">
        <v>1.54</v>
      </c>
      <c r="Q54" s="4">
        <v>27.9</v>
      </c>
      <c r="R54" s="4">
        <v>22.8</v>
      </c>
      <c r="S54" s="4">
        <v>21.1</v>
      </c>
      <c r="T54" s="4">
        <v>39</v>
      </c>
      <c r="U54" s="4">
        <v>41.9</v>
      </c>
      <c r="V54" s="4">
        <v>42.6</v>
      </c>
      <c r="W54" s="4">
        <v>43.4</v>
      </c>
      <c r="X54" s="4">
        <v>45</v>
      </c>
      <c r="Y54" s="4">
        <v>46.6</v>
      </c>
      <c r="Z54" s="4">
        <v>16.3</v>
      </c>
      <c r="AA54" s="4">
        <v>89.8</v>
      </c>
      <c r="AB54" s="4">
        <v>4.6199999999999998E-2</v>
      </c>
      <c r="AC54" s="4">
        <v>0.66</v>
      </c>
      <c r="AD54" s="4" t="s">
        <v>176</v>
      </c>
      <c r="AE54" s="4">
        <v>15.6</v>
      </c>
    </row>
    <row r="55" spans="1:31" hidden="1">
      <c r="A55" s="4"/>
      <c r="B55" s="5" t="s">
        <v>177</v>
      </c>
      <c r="C55" s="4"/>
      <c r="D55" s="4">
        <v>11</v>
      </c>
      <c r="E55" s="4">
        <v>1</v>
      </c>
      <c r="F55" s="4">
        <v>76.2</v>
      </c>
      <c r="G55" s="4">
        <v>88.9</v>
      </c>
      <c r="H55" s="4">
        <v>7.94</v>
      </c>
      <c r="I55" s="4">
        <v>15.9</v>
      </c>
      <c r="J55" s="4">
        <v>11.2</v>
      </c>
      <c r="K55" s="4">
        <v>9.6</v>
      </c>
      <c r="L55" s="4">
        <v>18</v>
      </c>
      <c r="M55" s="4">
        <v>0.72399999999999998</v>
      </c>
      <c r="N55" s="4">
        <v>19.600000000000001</v>
      </c>
      <c r="O55" s="4">
        <v>2500</v>
      </c>
      <c r="P55" s="4">
        <v>1.32</v>
      </c>
      <c r="Q55" s="4">
        <v>23.7</v>
      </c>
      <c r="R55" s="4">
        <v>23</v>
      </c>
      <c r="S55" s="4">
        <v>20.5</v>
      </c>
      <c r="T55" s="4">
        <v>38.700000000000003</v>
      </c>
      <c r="U55" s="4">
        <v>41.6</v>
      </c>
      <c r="V55" s="4">
        <v>42.3</v>
      </c>
      <c r="W55" s="4">
        <v>43.1</v>
      </c>
      <c r="X55" s="4">
        <v>44.6</v>
      </c>
      <c r="Y55" s="4">
        <v>46.2</v>
      </c>
      <c r="Z55" s="4">
        <v>16.5</v>
      </c>
      <c r="AA55" s="4">
        <v>52.4</v>
      </c>
      <c r="AB55" s="4">
        <v>2.75E-2</v>
      </c>
      <c r="AC55" s="4">
        <v>0.66</v>
      </c>
      <c r="AD55" s="4" t="s">
        <v>178</v>
      </c>
      <c r="AE55" s="4">
        <v>13.2</v>
      </c>
    </row>
    <row r="56" spans="1:31" hidden="1">
      <c r="A56" s="4"/>
      <c r="B56" s="5" t="s">
        <v>179</v>
      </c>
      <c r="C56" s="4"/>
      <c r="D56" s="4">
        <v>11</v>
      </c>
      <c r="E56" s="4">
        <v>1</v>
      </c>
      <c r="F56" s="4">
        <v>76.2</v>
      </c>
      <c r="G56" s="4">
        <v>88.9</v>
      </c>
      <c r="H56" s="4">
        <v>6.35</v>
      </c>
      <c r="I56" s="4">
        <v>16</v>
      </c>
      <c r="J56" s="4">
        <v>14</v>
      </c>
      <c r="K56" s="4">
        <v>12</v>
      </c>
      <c r="L56" s="4">
        <v>18</v>
      </c>
      <c r="M56" s="4">
        <v>0.72699999999999998</v>
      </c>
      <c r="N56" s="4">
        <v>15.8</v>
      </c>
      <c r="O56" s="4">
        <v>2020</v>
      </c>
      <c r="P56" s="4">
        <v>1.0900000000000001</v>
      </c>
      <c r="Q56" s="4">
        <v>19.3</v>
      </c>
      <c r="R56" s="4">
        <v>23.2</v>
      </c>
      <c r="S56" s="4">
        <v>19.899999999999999</v>
      </c>
      <c r="T56" s="4">
        <v>38.5</v>
      </c>
      <c r="U56" s="4">
        <v>41.3</v>
      </c>
      <c r="V56" s="4">
        <v>42.1</v>
      </c>
      <c r="W56" s="4">
        <v>42.8</v>
      </c>
      <c r="X56" s="4">
        <v>44.3</v>
      </c>
      <c r="Y56" s="4">
        <v>45.9</v>
      </c>
      <c r="Z56" s="4">
        <v>16.8</v>
      </c>
      <c r="AA56" s="4">
        <v>27.1</v>
      </c>
      <c r="AB56" s="4">
        <v>1.4500000000000001E-2</v>
      </c>
      <c r="AC56" s="4">
        <v>0.66</v>
      </c>
      <c r="AD56" s="4" t="s">
        <v>180</v>
      </c>
      <c r="AE56" s="4">
        <v>10.6</v>
      </c>
    </row>
    <row r="57" spans="1:31" hidden="1">
      <c r="A57" s="4" t="s">
        <v>76</v>
      </c>
      <c r="B57" s="5" t="s">
        <v>181</v>
      </c>
      <c r="C57" s="4"/>
      <c r="D57" s="4">
        <v>11</v>
      </c>
      <c r="E57" s="4">
        <v>1</v>
      </c>
      <c r="F57" s="4">
        <v>63.5</v>
      </c>
      <c r="G57" s="4">
        <v>88.9</v>
      </c>
      <c r="H57" s="4">
        <v>12.7</v>
      </c>
      <c r="I57" s="4">
        <v>13.6</v>
      </c>
      <c r="J57" s="4">
        <v>7</v>
      </c>
      <c r="K57" s="4">
        <v>5</v>
      </c>
      <c r="L57" s="4">
        <v>24</v>
      </c>
      <c r="M57" s="4">
        <v>0.48599999999999999</v>
      </c>
      <c r="N57" s="4">
        <v>27.9</v>
      </c>
      <c r="O57" s="4">
        <v>3550</v>
      </c>
      <c r="P57" s="4">
        <v>1.1399999999999999</v>
      </c>
      <c r="Q57" s="4">
        <v>24.9</v>
      </c>
      <c r="R57" s="4">
        <v>17.899999999999999</v>
      </c>
      <c r="S57" s="4">
        <v>17.899999999999999</v>
      </c>
      <c r="T57" s="4">
        <v>41.2</v>
      </c>
      <c r="U57" s="4">
        <v>44.2</v>
      </c>
      <c r="V57" s="4">
        <v>45</v>
      </c>
      <c r="W57" s="4">
        <v>45.8</v>
      </c>
      <c r="X57" s="4">
        <v>47.4</v>
      </c>
      <c r="Y57" s="4">
        <v>49.1</v>
      </c>
      <c r="Z57" s="4">
        <v>11.5</v>
      </c>
      <c r="AA57" s="4">
        <v>191</v>
      </c>
      <c r="AB57" s="4">
        <v>8.5300000000000001E-2</v>
      </c>
      <c r="AC57" s="4">
        <v>0.61</v>
      </c>
      <c r="AD57" s="4" t="s">
        <v>182</v>
      </c>
      <c r="AE57" s="4">
        <v>18.7</v>
      </c>
    </row>
    <row r="58" spans="1:31" hidden="1">
      <c r="A58" s="4"/>
      <c r="B58" s="5" t="s">
        <v>183</v>
      </c>
      <c r="C58" s="4"/>
      <c r="D58" s="4">
        <v>11</v>
      </c>
      <c r="E58" s="4">
        <v>1</v>
      </c>
      <c r="F58" s="4">
        <v>63.5</v>
      </c>
      <c r="G58" s="4">
        <v>88.9</v>
      </c>
      <c r="H58" s="4">
        <v>9.5299999999999994</v>
      </c>
      <c r="I58" s="4">
        <v>13.6</v>
      </c>
      <c r="J58" s="4">
        <v>9.33</v>
      </c>
      <c r="K58" s="4">
        <v>6.66</v>
      </c>
      <c r="L58" s="4">
        <v>20</v>
      </c>
      <c r="M58" s="4">
        <v>0.496</v>
      </c>
      <c r="N58" s="4">
        <v>21.4</v>
      </c>
      <c r="O58" s="4">
        <v>2720</v>
      </c>
      <c r="P58" s="4">
        <v>0.90800000000000003</v>
      </c>
      <c r="Q58" s="4">
        <v>19.399999999999999</v>
      </c>
      <c r="R58" s="4">
        <v>18.3</v>
      </c>
      <c r="S58" s="4">
        <v>16.8</v>
      </c>
      <c r="T58" s="4">
        <v>40.6</v>
      </c>
      <c r="U58" s="4">
        <v>43.6</v>
      </c>
      <c r="V58" s="4">
        <v>44.4</v>
      </c>
      <c r="W58" s="4">
        <v>45.2</v>
      </c>
      <c r="X58" s="4">
        <v>46.8</v>
      </c>
      <c r="Y58" s="4">
        <v>48.4</v>
      </c>
      <c r="Z58" s="4">
        <v>12</v>
      </c>
      <c r="AA58" s="4">
        <v>82.4</v>
      </c>
      <c r="AB58" s="4">
        <v>3.8399999999999997E-2</v>
      </c>
      <c r="AC58" s="4">
        <v>0.61</v>
      </c>
      <c r="AD58" s="4" t="s">
        <v>184</v>
      </c>
      <c r="AE58" s="4">
        <v>14.4</v>
      </c>
    </row>
    <row r="59" spans="1:31" hidden="1">
      <c r="A59" s="4"/>
      <c r="B59" s="5" t="s">
        <v>185</v>
      </c>
      <c r="C59" s="4"/>
      <c r="D59" s="4">
        <v>11</v>
      </c>
      <c r="E59" s="4">
        <v>1</v>
      </c>
      <c r="F59" s="4">
        <v>63.5</v>
      </c>
      <c r="G59" s="4">
        <v>88.9</v>
      </c>
      <c r="H59" s="4">
        <v>7.94</v>
      </c>
      <c r="I59" s="4">
        <v>13.7</v>
      </c>
      <c r="J59" s="4">
        <v>11.2</v>
      </c>
      <c r="K59" s="4">
        <v>8</v>
      </c>
      <c r="L59" s="4">
        <v>18</v>
      </c>
      <c r="M59" s="4">
        <v>0.501</v>
      </c>
      <c r="N59" s="4">
        <v>18</v>
      </c>
      <c r="O59" s="4">
        <v>2290</v>
      </c>
      <c r="P59" s="4">
        <v>0.78200000000000003</v>
      </c>
      <c r="Q59" s="4">
        <v>16.5</v>
      </c>
      <c r="R59" s="4">
        <v>18.5</v>
      </c>
      <c r="S59" s="4">
        <v>16.2</v>
      </c>
      <c r="T59" s="4">
        <v>40.4</v>
      </c>
      <c r="U59" s="4">
        <v>43.3</v>
      </c>
      <c r="V59" s="4">
        <v>44.1</v>
      </c>
      <c r="W59" s="4">
        <v>44.9</v>
      </c>
      <c r="X59" s="4">
        <v>46.4</v>
      </c>
      <c r="Y59" s="4">
        <v>48</v>
      </c>
      <c r="Z59" s="4">
        <v>12.2</v>
      </c>
      <c r="AA59" s="4">
        <v>48.2</v>
      </c>
      <c r="AB59" s="4">
        <v>2.29E-2</v>
      </c>
      <c r="AC59" s="4">
        <v>0.61</v>
      </c>
      <c r="AD59" s="4" t="s">
        <v>186</v>
      </c>
      <c r="AE59" s="4">
        <v>12.1</v>
      </c>
    </row>
    <row r="60" spans="1:31" hidden="1">
      <c r="A60" s="4"/>
      <c r="B60" s="5" t="s">
        <v>187</v>
      </c>
      <c r="C60" s="4"/>
      <c r="D60" s="4">
        <v>11</v>
      </c>
      <c r="E60" s="4">
        <v>1</v>
      </c>
      <c r="F60" s="4">
        <v>63.5</v>
      </c>
      <c r="G60" s="4">
        <v>88.9</v>
      </c>
      <c r="H60" s="4">
        <v>6.35</v>
      </c>
      <c r="I60" s="4">
        <v>13.8</v>
      </c>
      <c r="J60" s="4">
        <v>14</v>
      </c>
      <c r="K60" s="4">
        <v>10</v>
      </c>
      <c r="L60" s="4">
        <v>18</v>
      </c>
      <c r="M60" s="4">
        <v>0.50600000000000001</v>
      </c>
      <c r="N60" s="4">
        <v>14.6</v>
      </c>
      <c r="O60" s="4">
        <v>1850</v>
      </c>
      <c r="P60" s="4">
        <v>0.64700000000000002</v>
      </c>
      <c r="Q60" s="4">
        <v>13.5</v>
      </c>
      <c r="R60" s="4">
        <v>18.7</v>
      </c>
      <c r="S60" s="4">
        <v>15.6</v>
      </c>
      <c r="T60" s="4">
        <v>40.1</v>
      </c>
      <c r="U60" s="4">
        <v>43</v>
      </c>
      <c r="V60" s="4">
        <v>43.8</v>
      </c>
      <c r="W60" s="4">
        <v>44.5</v>
      </c>
      <c r="X60" s="4">
        <v>46.1</v>
      </c>
      <c r="Y60" s="4">
        <v>47.7</v>
      </c>
      <c r="Z60" s="4">
        <v>12.4</v>
      </c>
      <c r="AA60" s="4">
        <v>24.9</v>
      </c>
      <c r="AB60" s="4">
        <v>1.21E-2</v>
      </c>
      <c r="AC60" s="4">
        <v>0.61</v>
      </c>
      <c r="AD60" s="4" t="s">
        <v>188</v>
      </c>
      <c r="AE60" s="4">
        <v>9.7799999999999994</v>
      </c>
    </row>
    <row r="61" spans="1:31" hidden="1">
      <c r="A61" s="4" t="s">
        <v>76</v>
      </c>
      <c r="B61" s="5" t="s">
        <v>189</v>
      </c>
      <c r="C61" s="4" t="s">
        <v>76</v>
      </c>
      <c r="D61" s="4">
        <v>11</v>
      </c>
      <c r="E61" s="4">
        <v>1</v>
      </c>
      <c r="F61" s="4">
        <v>63.5</v>
      </c>
      <c r="G61" s="4">
        <v>76.2</v>
      </c>
      <c r="H61" s="4">
        <v>12.7</v>
      </c>
      <c r="I61" s="4">
        <v>13.2</v>
      </c>
      <c r="J61" s="4">
        <v>6</v>
      </c>
      <c r="K61" s="4">
        <v>5</v>
      </c>
      <c r="L61" s="4">
        <v>24</v>
      </c>
      <c r="M61" s="4">
        <v>0.66700000000000004</v>
      </c>
      <c r="N61" s="4">
        <v>25.3</v>
      </c>
      <c r="O61" s="4">
        <v>3230</v>
      </c>
      <c r="P61" s="4">
        <v>1.08</v>
      </c>
      <c r="Q61" s="4">
        <v>24.4</v>
      </c>
      <c r="R61" s="4">
        <v>18.3</v>
      </c>
      <c r="S61" s="4">
        <v>19.100000000000001</v>
      </c>
      <c r="T61" s="4">
        <v>34.4</v>
      </c>
      <c r="U61" s="4">
        <v>37.4</v>
      </c>
      <c r="V61" s="4">
        <v>38.200000000000003</v>
      </c>
      <c r="W61" s="4">
        <v>39</v>
      </c>
      <c r="X61" s="4">
        <v>40.700000000000003</v>
      </c>
      <c r="Y61" s="4">
        <v>42.3</v>
      </c>
      <c r="Z61" s="4">
        <v>12.7</v>
      </c>
      <c r="AA61" s="4">
        <v>173</v>
      </c>
      <c r="AB61" s="4">
        <v>0.06</v>
      </c>
      <c r="AC61" s="4">
        <v>0.55900000000000005</v>
      </c>
      <c r="AD61" s="4" t="s">
        <v>190</v>
      </c>
      <c r="AE61" s="4">
        <v>17</v>
      </c>
    </row>
    <row r="62" spans="1:31" hidden="1">
      <c r="A62" s="4"/>
      <c r="B62" s="5" t="s">
        <v>191</v>
      </c>
      <c r="C62" s="4"/>
      <c r="D62" s="4">
        <v>11</v>
      </c>
      <c r="E62" s="4">
        <v>1</v>
      </c>
      <c r="F62" s="4">
        <v>63.5</v>
      </c>
      <c r="G62" s="4">
        <v>76.2</v>
      </c>
      <c r="H62" s="4">
        <v>9.5299999999999994</v>
      </c>
      <c r="I62" s="4">
        <v>13.3</v>
      </c>
      <c r="J62" s="4">
        <v>8</v>
      </c>
      <c r="K62" s="4">
        <v>6.66</v>
      </c>
      <c r="L62" s="4">
        <v>20</v>
      </c>
      <c r="M62" s="4">
        <v>0.67600000000000005</v>
      </c>
      <c r="N62" s="4">
        <v>19.5</v>
      </c>
      <c r="O62" s="4">
        <v>2480</v>
      </c>
      <c r="P62" s="4">
        <v>0.86799999999999999</v>
      </c>
      <c r="Q62" s="4">
        <v>19</v>
      </c>
      <c r="R62" s="4">
        <v>18.7</v>
      </c>
      <c r="S62" s="4">
        <v>17.899999999999999</v>
      </c>
      <c r="T62" s="4">
        <v>33.799999999999997</v>
      </c>
      <c r="U62" s="4">
        <v>36.799999999999997</v>
      </c>
      <c r="V62" s="4">
        <v>37.6</v>
      </c>
      <c r="W62" s="4">
        <v>38.4</v>
      </c>
      <c r="X62" s="4">
        <v>40</v>
      </c>
      <c r="Y62" s="4">
        <v>41.6</v>
      </c>
      <c r="Z62" s="4">
        <v>13.2</v>
      </c>
      <c r="AA62" s="4">
        <v>75.099999999999994</v>
      </c>
      <c r="AB62" s="4">
        <v>2.7300000000000001E-2</v>
      </c>
      <c r="AC62" s="4">
        <v>0.55900000000000005</v>
      </c>
      <c r="AD62" s="4" t="s">
        <v>192</v>
      </c>
      <c r="AE62" s="4">
        <v>13.1</v>
      </c>
    </row>
    <row r="63" spans="1:31" hidden="1">
      <c r="A63" s="4"/>
      <c r="B63" s="5" t="s">
        <v>193</v>
      </c>
      <c r="C63" s="4"/>
      <c r="D63" s="4">
        <v>11</v>
      </c>
      <c r="E63" s="4">
        <v>1</v>
      </c>
      <c r="F63" s="4">
        <v>63.5</v>
      </c>
      <c r="G63" s="4">
        <v>76.2</v>
      </c>
      <c r="H63" s="4">
        <v>7.94</v>
      </c>
      <c r="I63" s="4">
        <v>13.3</v>
      </c>
      <c r="J63" s="4">
        <v>9.6</v>
      </c>
      <c r="K63" s="4">
        <v>8</v>
      </c>
      <c r="L63" s="4">
        <v>18</v>
      </c>
      <c r="M63" s="4">
        <v>0.68</v>
      </c>
      <c r="N63" s="4">
        <v>16.399999999999999</v>
      </c>
      <c r="O63" s="4">
        <v>2090</v>
      </c>
      <c r="P63" s="4">
        <v>0.748</v>
      </c>
      <c r="Q63" s="4">
        <v>16.2</v>
      </c>
      <c r="R63" s="4">
        <v>18.899999999999999</v>
      </c>
      <c r="S63" s="4">
        <v>17.399999999999999</v>
      </c>
      <c r="T63" s="4">
        <v>33.6</v>
      </c>
      <c r="U63" s="4">
        <v>36.5</v>
      </c>
      <c r="V63" s="4">
        <v>37.299999999999997</v>
      </c>
      <c r="W63" s="4">
        <v>38.1</v>
      </c>
      <c r="X63" s="4">
        <v>39.6</v>
      </c>
      <c r="Y63" s="4">
        <v>41.3</v>
      </c>
      <c r="Z63" s="4">
        <v>13.4</v>
      </c>
      <c r="AA63" s="4">
        <v>44</v>
      </c>
      <c r="AB63" s="4">
        <v>1.6299999999999999E-2</v>
      </c>
      <c r="AC63" s="4">
        <v>0.55900000000000005</v>
      </c>
      <c r="AD63" s="4" t="s">
        <v>194</v>
      </c>
      <c r="AE63" s="4">
        <v>11</v>
      </c>
    </row>
    <row r="64" spans="1:31" hidden="1">
      <c r="A64" s="4"/>
      <c r="B64" s="5" t="s">
        <v>195</v>
      </c>
      <c r="C64" s="4"/>
      <c r="D64" s="4">
        <v>11</v>
      </c>
      <c r="E64" s="4">
        <v>1</v>
      </c>
      <c r="F64" s="4">
        <v>63.5</v>
      </c>
      <c r="G64" s="4">
        <v>76.2</v>
      </c>
      <c r="H64" s="4">
        <v>6.35</v>
      </c>
      <c r="I64" s="4">
        <v>13.4</v>
      </c>
      <c r="J64" s="4">
        <v>12</v>
      </c>
      <c r="K64" s="4">
        <v>10</v>
      </c>
      <c r="L64" s="4">
        <v>18</v>
      </c>
      <c r="M64" s="4">
        <v>0.68400000000000005</v>
      </c>
      <c r="N64" s="4">
        <v>13.3</v>
      </c>
      <c r="O64" s="4">
        <v>1690</v>
      </c>
      <c r="P64" s="4">
        <v>0.61899999999999999</v>
      </c>
      <c r="Q64" s="4">
        <v>13.2</v>
      </c>
      <c r="R64" s="4">
        <v>19.100000000000001</v>
      </c>
      <c r="S64" s="4">
        <v>16.8</v>
      </c>
      <c r="T64" s="4">
        <v>33.299999999999997</v>
      </c>
      <c r="U64" s="4">
        <v>36.200000000000003</v>
      </c>
      <c r="V64" s="4">
        <v>37</v>
      </c>
      <c r="W64" s="4">
        <v>37.799999999999997</v>
      </c>
      <c r="X64" s="4">
        <v>39.299999999999997</v>
      </c>
      <c r="Y64" s="4">
        <v>40.9</v>
      </c>
      <c r="Z64" s="4">
        <v>13.6</v>
      </c>
      <c r="AA64" s="4">
        <v>22.8</v>
      </c>
      <c r="AB64" s="4">
        <v>8.6599999999999993E-3</v>
      </c>
      <c r="AC64" s="4">
        <v>0.55900000000000005</v>
      </c>
      <c r="AD64" s="4" t="s">
        <v>196</v>
      </c>
      <c r="AE64" s="4">
        <v>8.93</v>
      </c>
    </row>
    <row r="65" spans="1:31" hidden="1">
      <c r="A65" s="4"/>
      <c r="B65" s="5" t="s">
        <v>197</v>
      </c>
      <c r="C65" s="4" t="s">
        <v>76</v>
      </c>
      <c r="D65" s="4">
        <v>11</v>
      </c>
      <c r="E65" s="4">
        <v>1</v>
      </c>
      <c r="F65" s="4">
        <v>63.5</v>
      </c>
      <c r="G65" s="4">
        <v>76.2</v>
      </c>
      <c r="H65" s="4">
        <v>4.76</v>
      </c>
      <c r="I65" s="4">
        <v>13.5</v>
      </c>
      <c r="J65" s="4">
        <v>16</v>
      </c>
      <c r="K65" s="4">
        <v>13.3</v>
      </c>
      <c r="L65" s="4">
        <v>16</v>
      </c>
      <c r="M65" s="4">
        <v>0.68799999999999994</v>
      </c>
      <c r="N65" s="4">
        <v>10.1</v>
      </c>
      <c r="O65" s="4">
        <v>1280</v>
      </c>
      <c r="P65" s="4">
        <v>0.48</v>
      </c>
      <c r="Q65" s="4">
        <v>10.199999999999999</v>
      </c>
      <c r="R65" s="4">
        <v>19.3</v>
      </c>
      <c r="S65" s="4">
        <v>16.2</v>
      </c>
      <c r="T65" s="4">
        <v>33.1</v>
      </c>
      <c r="U65" s="4">
        <v>36</v>
      </c>
      <c r="V65" s="4">
        <v>36.700000000000003</v>
      </c>
      <c r="W65" s="4">
        <v>37.5</v>
      </c>
      <c r="X65" s="4">
        <v>39</v>
      </c>
      <c r="Y65" s="4">
        <v>40.6</v>
      </c>
      <c r="Z65" s="4">
        <v>13.8</v>
      </c>
      <c r="AA65" s="4">
        <v>9.6999999999999993</v>
      </c>
      <c r="AB65" s="4">
        <v>3.7799999999999999E-3</v>
      </c>
      <c r="AC65" s="4">
        <v>0.55900000000000005</v>
      </c>
      <c r="AD65" s="4" t="s">
        <v>198</v>
      </c>
      <c r="AE65" s="4">
        <v>6.78</v>
      </c>
    </row>
    <row r="66" spans="1:31" hidden="1">
      <c r="A66" s="4" t="s">
        <v>76</v>
      </c>
      <c r="B66" s="5" t="s">
        <v>199</v>
      </c>
      <c r="C66" s="4"/>
      <c r="D66" s="4">
        <v>11</v>
      </c>
      <c r="E66" s="4">
        <v>1</v>
      </c>
      <c r="F66" s="4">
        <v>50.8</v>
      </c>
      <c r="G66" s="4">
        <v>76.2</v>
      </c>
      <c r="H66" s="4">
        <v>12.7</v>
      </c>
      <c r="I66" s="4">
        <v>10.9</v>
      </c>
      <c r="J66" s="4">
        <v>6</v>
      </c>
      <c r="K66" s="4">
        <v>4</v>
      </c>
      <c r="L66" s="4">
        <v>22</v>
      </c>
      <c r="M66" s="4">
        <v>0.41399999999999998</v>
      </c>
      <c r="N66" s="4">
        <v>22.8</v>
      </c>
      <c r="O66" s="4">
        <v>2900</v>
      </c>
      <c r="P66" s="4">
        <v>0.55900000000000005</v>
      </c>
      <c r="Q66" s="4">
        <v>15.5</v>
      </c>
      <c r="R66" s="4">
        <v>13.9</v>
      </c>
      <c r="S66" s="4">
        <v>14.8</v>
      </c>
      <c r="T66" s="4">
        <v>36.200000000000003</v>
      </c>
      <c r="U66" s="4">
        <v>39.299999999999997</v>
      </c>
      <c r="V66" s="4">
        <v>40.1</v>
      </c>
      <c r="W66" s="4">
        <v>40.9</v>
      </c>
      <c r="X66" s="4">
        <v>42.6</v>
      </c>
      <c r="Y66" s="4">
        <v>44.3</v>
      </c>
      <c r="Z66" s="4">
        <v>8.4700000000000006</v>
      </c>
      <c r="AA66" s="4">
        <v>156</v>
      </c>
      <c r="AB66" s="4">
        <v>4.8800000000000003E-2</v>
      </c>
      <c r="AC66" s="4">
        <v>0.50800000000000001</v>
      </c>
      <c r="AD66" s="4" t="s">
        <v>200</v>
      </c>
      <c r="AE66" s="4">
        <v>15.3</v>
      </c>
    </row>
    <row r="67" spans="1:31" hidden="1">
      <c r="A67" s="4"/>
      <c r="B67" s="5" t="s">
        <v>201</v>
      </c>
      <c r="C67" s="4"/>
      <c r="D67" s="4">
        <v>11</v>
      </c>
      <c r="E67" s="4">
        <v>1</v>
      </c>
      <c r="F67" s="4">
        <v>50.8</v>
      </c>
      <c r="G67" s="4">
        <v>76.2</v>
      </c>
      <c r="H67" s="4">
        <v>9.5299999999999994</v>
      </c>
      <c r="I67" s="4">
        <v>10.9</v>
      </c>
      <c r="J67" s="4">
        <v>8</v>
      </c>
      <c r="K67" s="4">
        <v>5.33</v>
      </c>
      <c r="L67" s="4">
        <v>18</v>
      </c>
      <c r="M67" s="4">
        <v>0.42799999999999999</v>
      </c>
      <c r="N67" s="4">
        <v>17.600000000000001</v>
      </c>
      <c r="O67" s="4">
        <v>2240</v>
      </c>
      <c r="P67" s="4">
        <v>0.45200000000000001</v>
      </c>
      <c r="Q67" s="4">
        <v>12.2</v>
      </c>
      <c r="R67" s="4">
        <v>14.2</v>
      </c>
      <c r="S67" s="4">
        <v>13.7</v>
      </c>
      <c r="T67" s="4">
        <v>35.6</v>
      </c>
      <c r="U67" s="4">
        <v>38.6</v>
      </c>
      <c r="V67" s="4">
        <v>39.4</v>
      </c>
      <c r="W67" s="4">
        <v>40.200000000000003</v>
      </c>
      <c r="X67" s="4">
        <v>41.9</v>
      </c>
      <c r="Y67" s="4">
        <v>43.5</v>
      </c>
      <c r="Z67" s="4">
        <v>8.92</v>
      </c>
      <c r="AA67" s="4">
        <v>67.8</v>
      </c>
      <c r="AB67" s="4">
        <v>2.2200000000000001E-2</v>
      </c>
      <c r="AC67" s="4">
        <v>0.50800000000000001</v>
      </c>
      <c r="AD67" s="4" t="s">
        <v>202</v>
      </c>
      <c r="AE67" s="4">
        <v>11.8</v>
      </c>
    </row>
    <row r="68" spans="1:31" hidden="1">
      <c r="A68" s="4"/>
      <c r="B68" s="5" t="s">
        <v>203</v>
      </c>
      <c r="C68" s="4"/>
      <c r="D68" s="4">
        <v>11</v>
      </c>
      <c r="E68" s="4">
        <v>1</v>
      </c>
      <c r="F68" s="4">
        <v>50.8</v>
      </c>
      <c r="G68" s="4">
        <v>76.2</v>
      </c>
      <c r="H68" s="4">
        <v>7.94</v>
      </c>
      <c r="I68" s="4">
        <v>11</v>
      </c>
      <c r="J68" s="4">
        <v>9.6</v>
      </c>
      <c r="K68" s="4">
        <v>6.4</v>
      </c>
      <c r="L68" s="4">
        <v>16</v>
      </c>
      <c r="M68" s="4">
        <v>0.435</v>
      </c>
      <c r="N68" s="4">
        <v>14.8</v>
      </c>
      <c r="O68" s="4">
        <v>1890</v>
      </c>
      <c r="P68" s="4">
        <v>0.39200000000000002</v>
      </c>
      <c r="Q68" s="4">
        <v>10.4</v>
      </c>
      <c r="R68" s="4">
        <v>14.4</v>
      </c>
      <c r="S68" s="4">
        <v>13.1</v>
      </c>
      <c r="T68" s="4">
        <v>35.299999999999997</v>
      </c>
      <c r="U68" s="4">
        <v>38.299999999999997</v>
      </c>
      <c r="V68" s="4">
        <v>39.1</v>
      </c>
      <c r="W68" s="4">
        <v>39.9</v>
      </c>
      <c r="X68" s="4">
        <v>41.5</v>
      </c>
      <c r="Y68" s="4">
        <v>43.2</v>
      </c>
      <c r="Z68" s="4">
        <v>9.14</v>
      </c>
      <c r="AA68" s="4">
        <v>39.700000000000003</v>
      </c>
      <c r="AB68" s="4">
        <v>1.3299999999999999E-2</v>
      </c>
      <c r="AC68" s="4">
        <v>0.50800000000000001</v>
      </c>
      <c r="AD68" s="4" t="s">
        <v>204</v>
      </c>
      <c r="AE68" s="4">
        <v>9.9700000000000006</v>
      </c>
    </row>
    <row r="69" spans="1:31" hidden="1">
      <c r="A69" s="4"/>
      <c r="B69" s="5" t="s">
        <v>205</v>
      </c>
      <c r="C69" s="4"/>
      <c r="D69" s="4">
        <v>11</v>
      </c>
      <c r="E69" s="4">
        <v>1</v>
      </c>
      <c r="F69" s="4">
        <v>50.8</v>
      </c>
      <c r="G69" s="4">
        <v>76.2</v>
      </c>
      <c r="H69" s="4">
        <v>6.35</v>
      </c>
      <c r="I69" s="4">
        <v>11</v>
      </c>
      <c r="J69" s="4">
        <v>12</v>
      </c>
      <c r="K69" s="4">
        <v>8</v>
      </c>
      <c r="L69" s="4">
        <v>16</v>
      </c>
      <c r="M69" s="4">
        <v>0.44</v>
      </c>
      <c r="N69" s="4">
        <v>12</v>
      </c>
      <c r="O69" s="4">
        <v>1530</v>
      </c>
      <c r="P69" s="4">
        <v>0.32600000000000001</v>
      </c>
      <c r="Q69" s="4">
        <v>8.52</v>
      </c>
      <c r="R69" s="4">
        <v>14.6</v>
      </c>
      <c r="S69" s="4">
        <v>12.5</v>
      </c>
      <c r="T69" s="4">
        <v>35</v>
      </c>
      <c r="U69" s="4">
        <v>38</v>
      </c>
      <c r="V69" s="4">
        <v>38.799999999999997</v>
      </c>
      <c r="W69" s="4">
        <v>39.6</v>
      </c>
      <c r="X69" s="4">
        <v>41.2</v>
      </c>
      <c r="Y69" s="4">
        <v>42.8</v>
      </c>
      <c r="Z69" s="4">
        <v>9.36</v>
      </c>
      <c r="AA69" s="4">
        <v>20.6</v>
      </c>
      <c r="AB69" s="4">
        <v>7.0800000000000004E-3</v>
      </c>
      <c r="AC69" s="4">
        <v>0.50800000000000001</v>
      </c>
      <c r="AD69" s="4" t="s">
        <v>206</v>
      </c>
      <c r="AE69" s="4">
        <v>8.08</v>
      </c>
    </row>
    <row r="70" spans="1:31" hidden="1">
      <c r="A70" s="4"/>
      <c r="B70" s="5" t="s">
        <v>207</v>
      </c>
      <c r="C70" s="4"/>
      <c r="D70" s="4">
        <v>11</v>
      </c>
      <c r="E70" s="4">
        <v>1</v>
      </c>
      <c r="F70" s="4">
        <v>50.8</v>
      </c>
      <c r="G70" s="4">
        <v>76.2</v>
      </c>
      <c r="H70" s="4">
        <v>4.76</v>
      </c>
      <c r="I70" s="4">
        <v>11.1</v>
      </c>
      <c r="J70" s="4">
        <v>16</v>
      </c>
      <c r="K70" s="4">
        <v>10.7</v>
      </c>
      <c r="L70" s="4">
        <v>14</v>
      </c>
      <c r="M70" s="4">
        <v>0.44600000000000001</v>
      </c>
      <c r="N70" s="4">
        <v>9.14</v>
      </c>
      <c r="O70" s="4">
        <v>1160</v>
      </c>
      <c r="P70" s="4">
        <v>0.255</v>
      </c>
      <c r="Q70" s="4">
        <v>6.56</v>
      </c>
      <c r="R70" s="4">
        <v>14.8</v>
      </c>
      <c r="S70" s="4">
        <v>11.9</v>
      </c>
      <c r="T70" s="4">
        <v>34.799999999999997</v>
      </c>
      <c r="U70" s="4">
        <v>37.700000000000003</v>
      </c>
      <c r="V70" s="4">
        <v>38.5</v>
      </c>
      <c r="W70" s="4">
        <v>39.299999999999997</v>
      </c>
      <c r="X70" s="4">
        <v>40.799999999999997</v>
      </c>
      <c r="Y70" s="4">
        <v>42.5</v>
      </c>
      <c r="Z70" s="4">
        <v>9.57</v>
      </c>
      <c r="AA70" s="4">
        <v>8.7899999999999991</v>
      </c>
      <c r="AB70" s="4">
        <v>3.0899999999999999E-3</v>
      </c>
      <c r="AC70" s="4">
        <v>0.50800000000000001</v>
      </c>
      <c r="AD70" s="4" t="s">
        <v>208</v>
      </c>
      <c r="AE70" s="4">
        <v>6.14</v>
      </c>
    </row>
    <row r="71" spans="1:31" hidden="1">
      <c r="A71" s="4" t="s">
        <v>76</v>
      </c>
      <c r="B71" s="5" t="s">
        <v>209</v>
      </c>
      <c r="C71" s="4"/>
      <c r="D71" s="4">
        <v>11</v>
      </c>
      <c r="E71" s="4">
        <v>1</v>
      </c>
      <c r="F71" s="4">
        <v>50.8</v>
      </c>
      <c r="G71" s="4">
        <v>63.5</v>
      </c>
      <c r="H71" s="4">
        <v>9.5299999999999994</v>
      </c>
      <c r="I71" s="4">
        <v>10.7</v>
      </c>
      <c r="J71" s="4">
        <v>6.66</v>
      </c>
      <c r="K71" s="4">
        <v>5.33</v>
      </c>
      <c r="L71" s="4">
        <v>16</v>
      </c>
      <c r="M71" s="4">
        <v>0.61399999999999999</v>
      </c>
      <c r="N71" s="4">
        <v>15.7</v>
      </c>
      <c r="O71" s="4">
        <v>2000</v>
      </c>
      <c r="P71" s="4">
        <v>0.42799999999999999</v>
      </c>
      <c r="Q71" s="4">
        <v>11.9</v>
      </c>
      <c r="R71" s="4">
        <v>14.6</v>
      </c>
      <c r="S71" s="4">
        <v>14.8</v>
      </c>
      <c r="T71" s="4">
        <v>28.7</v>
      </c>
      <c r="U71" s="4">
        <v>31.8</v>
      </c>
      <c r="V71" s="4">
        <v>32.6</v>
      </c>
      <c r="W71" s="4">
        <v>33.4</v>
      </c>
      <c r="X71" s="4">
        <v>35</v>
      </c>
      <c r="Y71" s="4">
        <v>36.700000000000003</v>
      </c>
      <c r="Z71" s="4">
        <v>10</v>
      </c>
      <c r="AA71" s="4">
        <v>60.5</v>
      </c>
      <c r="AB71" s="4">
        <v>1.44E-2</v>
      </c>
      <c r="AC71" s="4">
        <v>0.45700000000000002</v>
      </c>
      <c r="AD71" s="4" t="s">
        <v>210</v>
      </c>
      <c r="AE71" s="4">
        <v>10.5</v>
      </c>
    </row>
    <row r="72" spans="1:31" hidden="1">
      <c r="A72" s="4"/>
      <c r="B72" s="5" t="s">
        <v>211</v>
      </c>
      <c r="C72" s="4"/>
      <c r="D72" s="4">
        <v>11</v>
      </c>
      <c r="E72" s="4">
        <v>1</v>
      </c>
      <c r="F72" s="4">
        <v>50.8</v>
      </c>
      <c r="G72" s="4">
        <v>63.5</v>
      </c>
      <c r="H72" s="4">
        <v>7.94</v>
      </c>
      <c r="I72" s="4">
        <v>10.7</v>
      </c>
      <c r="J72" s="4">
        <v>8</v>
      </c>
      <c r="K72" s="4">
        <v>6.4</v>
      </c>
      <c r="L72" s="4">
        <v>14</v>
      </c>
      <c r="M72" s="4">
        <v>0.62</v>
      </c>
      <c r="N72" s="4">
        <v>13.3</v>
      </c>
      <c r="O72" s="4">
        <v>1690</v>
      </c>
      <c r="P72" s="4">
        <v>0.372</v>
      </c>
      <c r="Q72" s="4">
        <v>10.199999999999999</v>
      </c>
      <c r="R72" s="4">
        <v>14.8</v>
      </c>
      <c r="S72" s="4">
        <v>14.2</v>
      </c>
      <c r="T72" s="4">
        <v>28.5</v>
      </c>
      <c r="U72" s="4">
        <v>31.5</v>
      </c>
      <c r="V72" s="4">
        <v>32.299999999999997</v>
      </c>
      <c r="W72" s="4">
        <v>33.1</v>
      </c>
      <c r="X72" s="4">
        <v>34.700000000000003</v>
      </c>
      <c r="Y72" s="4">
        <v>36.4</v>
      </c>
      <c r="Z72" s="4">
        <v>10.199999999999999</v>
      </c>
      <c r="AA72" s="4">
        <v>35.5</v>
      </c>
      <c r="AB72" s="4">
        <v>8.7200000000000003E-3</v>
      </c>
      <c r="AC72" s="4">
        <v>0.45700000000000002</v>
      </c>
      <c r="AD72" s="4" t="s">
        <v>212</v>
      </c>
      <c r="AE72" s="4">
        <v>8.91</v>
      </c>
    </row>
    <row r="73" spans="1:31" hidden="1">
      <c r="A73" s="4"/>
      <c r="B73" s="5" t="s">
        <v>213</v>
      </c>
      <c r="C73" s="4"/>
      <c r="D73" s="4">
        <v>11</v>
      </c>
      <c r="E73" s="4">
        <v>1</v>
      </c>
      <c r="F73" s="4">
        <v>50.8</v>
      </c>
      <c r="G73" s="4">
        <v>63.5</v>
      </c>
      <c r="H73" s="4">
        <v>6.35</v>
      </c>
      <c r="I73" s="4">
        <v>10.8</v>
      </c>
      <c r="J73" s="4">
        <v>10</v>
      </c>
      <c r="K73" s="4">
        <v>8</v>
      </c>
      <c r="L73" s="4">
        <v>14</v>
      </c>
      <c r="M73" s="4">
        <v>0.626</v>
      </c>
      <c r="N73" s="4">
        <v>10.8</v>
      </c>
      <c r="O73" s="4">
        <v>1370</v>
      </c>
      <c r="P73" s="4">
        <v>0.31</v>
      </c>
      <c r="Q73" s="4">
        <v>8.34</v>
      </c>
      <c r="R73" s="4">
        <v>15</v>
      </c>
      <c r="S73" s="4">
        <v>13.6</v>
      </c>
      <c r="T73" s="4">
        <v>28.2</v>
      </c>
      <c r="U73" s="4">
        <v>31.2</v>
      </c>
      <c r="V73" s="4">
        <v>32</v>
      </c>
      <c r="W73" s="4">
        <v>32.700000000000003</v>
      </c>
      <c r="X73" s="4">
        <v>34.299999999999997</v>
      </c>
      <c r="Y73" s="4">
        <v>36</v>
      </c>
      <c r="Z73" s="4">
        <v>10.5</v>
      </c>
      <c r="AA73" s="4">
        <v>18.399999999999999</v>
      </c>
      <c r="AB73" s="4">
        <v>4.6600000000000001E-3</v>
      </c>
      <c r="AC73" s="4">
        <v>0.45700000000000002</v>
      </c>
      <c r="AD73" s="4" t="s">
        <v>214</v>
      </c>
      <c r="AE73" s="4">
        <v>7.23</v>
      </c>
    </row>
    <row r="74" spans="1:31" hidden="1">
      <c r="A74" s="4"/>
      <c r="B74" s="5" t="s">
        <v>215</v>
      </c>
      <c r="C74" s="4"/>
      <c r="D74" s="4">
        <v>11</v>
      </c>
      <c r="E74" s="4">
        <v>1</v>
      </c>
      <c r="F74" s="4">
        <v>50.8</v>
      </c>
      <c r="G74" s="4">
        <v>63.5</v>
      </c>
      <c r="H74" s="4">
        <v>4.76</v>
      </c>
      <c r="I74" s="4">
        <v>10.9</v>
      </c>
      <c r="J74" s="4">
        <v>13.3</v>
      </c>
      <c r="K74" s="4">
        <v>10.7</v>
      </c>
      <c r="L74" s="4">
        <v>12</v>
      </c>
      <c r="M74" s="4">
        <v>0.63100000000000001</v>
      </c>
      <c r="N74" s="4">
        <v>8.19</v>
      </c>
      <c r="O74" s="4">
        <v>1040</v>
      </c>
      <c r="P74" s="4">
        <v>0.24199999999999999</v>
      </c>
      <c r="Q74" s="4">
        <v>6.42</v>
      </c>
      <c r="R74" s="4">
        <v>15.2</v>
      </c>
      <c r="S74" s="4">
        <v>13.1</v>
      </c>
      <c r="T74" s="4">
        <v>28</v>
      </c>
      <c r="U74" s="4">
        <v>30.9</v>
      </c>
      <c r="V74" s="4">
        <v>31.6</v>
      </c>
      <c r="W74" s="4">
        <v>32.4</v>
      </c>
      <c r="X74" s="4">
        <v>34</v>
      </c>
      <c r="Y74" s="4">
        <v>35.6</v>
      </c>
      <c r="Z74" s="4">
        <v>10.7</v>
      </c>
      <c r="AA74" s="4">
        <v>7.88</v>
      </c>
      <c r="AB74" s="4">
        <v>2.0500000000000002E-3</v>
      </c>
      <c r="AC74" s="4">
        <v>0.45700000000000002</v>
      </c>
      <c r="AD74" s="4" t="s">
        <v>216</v>
      </c>
      <c r="AE74" s="4">
        <v>5.5</v>
      </c>
    </row>
    <row r="75" spans="1:31" hidden="1">
      <c r="A75" s="4" t="s">
        <v>76</v>
      </c>
      <c r="B75" s="5" t="s">
        <v>217</v>
      </c>
      <c r="C75" s="4"/>
      <c r="D75" s="4">
        <v>11</v>
      </c>
      <c r="E75" s="4">
        <v>1</v>
      </c>
      <c r="F75" s="4">
        <v>38.1</v>
      </c>
      <c r="G75" s="4">
        <v>50.8</v>
      </c>
      <c r="H75" s="4">
        <v>6.35</v>
      </c>
      <c r="I75" s="4">
        <v>8.1199999999999992</v>
      </c>
      <c r="J75" s="4">
        <v>8</v>
      </c>
      <c r="K75" s="4">
        <v>6</v>
      </c>
      <c r="L75" s="4">
        <v>14</v>
      </c>
      <c r="M75" s="4">
        <v>0.54300000000000004</v>
      </c>
      <c r="N75" s="4">
        <v>8.23</v>
      </c>
      <c r="O75" s="4">
        <v>1050</v>
      </c>
      <c r="P75" s="4">
        <v>0.126</v>
      </c>
      <c r="Q75" s="4">
        <v>4.57</v>
      </c>
      <c r="R75" s="4">
        <v>11</v>
      </c>
      <c r="S75" s="4">
        <v>10.5</v>
      </c>
      <c r="T75" s="4">
        <v>23.1</v>
      </c>
      <c r="U75" s="4">
        <v>26.2</v>
      </c>
      <c r="V75" s="4">
        <v>27</v>
      </c>
      <c r="W75" s="4">
        <v>27.8</v>
      </c>
      <c r="X75" s="4">
        <v>29.5</v>
      </c>
      <c r="Y75" s="4">
        <v>31.2</v>
      </c>
      <c r="Z75" s="4">
        <v>7.33</v>
      </c>
      <c r="AA75" s="4">
        <v>14.1</v>
      </c>
      <c r="AB75" s="4">
        <v>2.14E-3</v>
      </c>
      <c r="AC75" s="4">
        <v>0.35599999999999998</v>
      </c>
      <c r="AD75" s="4" t="s">
        <v>218</v>
      </c>
      <c r="AE75" s="4">
        <v>5.53</v>
      </c>
    </row>
    <row r="76" spans="1:31" hidden="1">
      <c r="A76" s="4"/>
      <c r="B76" s="5" t="s">
        <v>219</v>
      </c>
      <c r="C76" s="4"/>
      <c r="D76" s="4">
        <v>11</v>
      </c>
      <c r="E76" s="4">
        <v>1</v>
      </c>
      <c r="F76" s="4">
        <v>38.1</v>
      </c>
      <c r="G76" s="4">
        <v>50.8</v>
      </c>
      <c r="H76" s="4">
        <v>4.76</v>
      </c>
      <c r="I76" s="4">
        <v>8.18</v>
      </c>
      <c r="J76" s="4">
        <v>10.7</v>
      </c>
      <c r="K76" s="4">
        <v>8</v>
      </c>
      <c r="L76" s="4">
        <v>12</v>
      </c>
      <c r="M76" s="4">
        <v>0.55100000000000005</v>
      </c>
      <c r="N76" s="4">
        <v>6.29</v>
      </c>
      <c r="O76" s="4">
        <v>801</v>
      </c>
      <c r="P76" s="4">
        <v>9.9900000000000003E-2</v>
      </c>
      <c r="Q76" s="4">
        <v>3.54</v>
      </c>
      <c r="R76" s="4">
        <v>11.2</v>
      </c>
      <c r="S76" s="4">
        <v>9.93</v>
      </c>
      <c r="T76" s="4">
        <v>22.9</v>
      </c>
      <c r="U76" s="4">
        <v>25.9</v>
      </c>
      <c r="V76" s="4">
        <v>26.6</v>
      </c>
      <c r="W76" s="4">
        <v>27.5</v>
      </c>
      <c r="X76" s="4">
        <v>29.1</v>
      </c>
      <c r="Y76" s="4">
        <v>30.8</v>
      </c>
      <c r="Z76" s="4">
        <v>7.55</v>
      </c>
      <c r="AA76" s="4">
        <v>6.05</v>
      </c>
      <c r="AB76" s="4">
        <v>9.5299999999999996E-4</v>
      </c>
      <c r="AC76" s="4">
        <v>0.35599999999999998</v>
      </c>
      <c r="AD76" s="4" t="s">
        <v>220</v>
      </c>
      <c r="AE76" s="4">
        <v>4.2300000000000004</v>
      </c>
    </row>
    <row r="77" spans="1:31" hidden="1">
      <c r="A77" s="4"/>
      <c r="B77" s="5" t="s">
        <v>221</v>
      </c>
      <c r="C77" s="4"/>
      <c r="D77" s="4">
        <v>11</v>
      </c>
      <c r="E77" s="4">
        <v>1</v>
      </c>
      <c r="F77" s="4">
        <v>38.1</v>
      </c>
      <c r="G77" s="4">
        <v>50.8</v>
      </c>
      <c r="H77" s="4">
        <v>3.18</v>
      </c>
      <c r="I77" s="4">
        <v>8.27</v>
      </c>
      <c r="J77" s="4">
        <v>16</v>
      </c>
      <c r="K77" s="4">
        <v>12</v>
      </c>
      <c r="L77" s="4">
        <v>10</v>
      </c>
      <c r="M77" s="4">
        <v>0.55800000000000005</v>
      </c>
      <c r="N77" s="4">
        <v>4.28</v>
      </c>
      <c r="O77" s="4">
        <v>545</v>
      </c>
      <c r="P77" s="4">
        <v>7.0599999999999996E-2</v>
      </c>
      <c r="Q77" s="4">
        <v>2.46</v>
      </c>
      <c r="R77" s="4">
        <v>11.4</v>
      </c>
      <c r="S77" s="4">
        <v>9.35</v>
      </c>
      <c r="T77" s="4">
        <v>22.6</v>
      </c>
      <c r="U77" s="4">
        <v>25.5</v>
      </c>
      <c r="V77" s="4">
        <v>26.3</v>
      </c>
      <c r="W77" s="4">
        <v>27.1</v>
      </c>
      <c r="X77" s="4">
        <v>28.7</v>
      </c>
      <c r="Y77" s="4">
        <v>30.4</v>
      </c>
      <c r="Z77" s="4">
        <v>7.76</v>
      </c>
      <c r="AA77" s="4">
        <v>1.84</v>
      </c>
      <c r="AB77" s="4">
        <v>2.9999999999999997E-4</v>
      </c>
      <c r="AC77" s="4">
        <v>0.35599999999999998</v>
      </c>
      <c r="AD77" s="4" t="s">
        <v>222</v>
      </c>
      <c r="AE77" s="4">
        <v>2.88</v>
      </c>
    </row>
    <row r="78" spans="1:31">
      <c r="A78" s="3" t="s">
        <v>223</v>
      </c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</row>
    <row r="79" spans="1:31">
      <c r="A79" s="4" t="s">
        <v>76</v>
      </c>
      <c r="B79" s="5" t="s">
        <v>77</v>
      </c>
      <c r="C79" s="4" t="s">
        <v>76</v>
      </c>
      <c r="D79" s="4">
        <v>12</v>
      </c>
      <c r="E79" s="4">
        <v>3</v>
      </c>
      <c r="F79" s="4">
        <v>203</v>
      </c>
      <c r="G79" s="4">
        <v>152</v>
      </c>
      <c r="H79" s="4">
        <v>25.4</v>
      </c>
      <c r="I79" s="4">
        <v>32.4</v>
      </c>
      <c r="J79" s="4">
        <v>5.98</v>
      </c>
      <c r="K79" s="4">
        <v>7.99</v>
      </c>
      <c r="L79" s="4">
        <v>40</v>
      </c>
      <c r="M79" s="4">
        <v>0.54100000000000004</v>
      </c>
      <c r="N79" s="4">
        <v>131</v>
      </c>
      <c r="O79" s="4">
        <v>16700</v>
      </c>
      <c r="P79" s="4">
        <v>67</v>
      </c>
      <c r="Q79" s="4">
        <v>494</v>
      </c>
      <c r="R79" s="4">
        <v>63.3</v>
      </c>
      <c r="S79" s="4">
        <v>67.400000000000006</v>
      </c>
      <c r="T79" s="4">
        <v>60.6</v>
      </c>
      <c r="U79" s="4">
        <v>63.4</v>
      </c>
      <c r="V79" s="4">
        <v>64.099999999999994</v>
      </c>
      <c r="W79" s="4">
        <v>64.900000000000006</v>
      </c>
      <c r="X79" s="4">
        <v>66.3</v>
      </c>
      <c r="Y79" s="4">
        <v>67.900000000000006</v>
      </c>
      <c r="Z79" s="4">
        <v>54.7</v>
      </c>
      <c r="AA79" s="4">
        <v>3600</v>
      </c>
      <c r="AB79" s="4">
        <v>8.73</v>
      </c>
      <c r="AC79" s="4">
        <v>1.42</v>
      </c>
      <c r="AD79" s="4" t="s">
        <v>78</v>
      </c>
      <c r="AE79" s="4">
        <v>88.3</v>
      </c>
    </row>
    <row r="80" spans="1:31">
      <c r="A80" s="4"/>
      <c r="B80" s="5" t="s">
        <v>79</v>
      </c>
      <c r="C80" s="4" t="s">
        <v>76</v>
      </c>
      <c r="D80" s="4">
        <v>12</v>
      </c>
      <c r="E80" s="4">
        <v>3</v>
      </c>
      <c r="F80" s="4">
        <v>203</v>
      </c>
      <c r="G80" s="4">
        <v>152</v>
      </c>
      <c r="H80" s="4">
        <v>22.2</v>
      </c>
      <c r="I80" s="4">
        <v>32.5</v>
      </c>
      <c r="J80" s="4">
        <v>6.85</v>
      </c>
      <c r="K80" s="4">
        <v>9.14</v>
      </c>
      <c r="L80" s="4">
        <v>36</v>
      </c>
      <c r="M80" s="4">
        <v>0.54500000000000004</v>
      </c>
      <c r="N80" s="4">
        <v>116</v>
      </c>
      <c r="O80" s="4">
        <v>14800</v>
      </c>
      <c r="P80" s="4">
        <v>59.9</v>
      </c>
      <c r="Q80" s="4">
        <v>438</v>
      </c>
      <c r="R80" s="4">
        <v>63.7</v>
      </c>
      <c r="S80" s="4">
        <v>66.2</v>
      </c>
      <c r="T80" s="4">
        <v>60.1</v>
      </c>
      <c r="U80" s="4">
        <v>62.8</v>
      </c>
      <c r="V80" s="4">
        <v>63.6</v>
      </c>
      <c r="W80" s="4">
        <v>64.3</v>
      </c>
      <c r="X80" s="4">
        <v>65.7</v>
      </c>
      <c r="Y80" s="4">
        <v>67.2</v>
      </c>
      <c r="Z80" s="4">
        <v>55.1</v>
      </c>
      <c r="AA80" s="4">
        <v>2430</v>
      </c>
      <c r="AB80" s="4">
        <v>6</v>
      </c>
      <c r="AC80" s="4">
        <v>1.42</v>
      </c>
      <c r="AD80" s="4" t="s">
        <v>80</v>
      </c>
      <c r="AE80" s="4">
        <v>77.900000000000006</v>
      </c>
    </row>
    <row r="81" spans="1:31">
      <c r="A81" s="4"/>
      <c r="B81" s="5" t="s">
        <v>81</v>
      </c>
      <c r="C81" s="4" t="s">
        <v>76</v>
      </c>
      <c r="D81" s="4">
        <v>12</v>
      </c>
      <c r="E81" s="4">
        <v>2</v>
      </c>
      <c r="F81" s="4">
        <v>203</v>
      </c>
      <c r="G81" s="4">
        <v>152</v>
      </c>
      <c r="H81" s="4">
        <v>19.100000000000001</v>
      </c>
      <c r="I81" s="4">
        <v>32.6</v>
      </c>
      <c r="J81" s="4">
        <v>7.96</v>
      </c>
      <c r="K81" s="4">
        <v>10.6</v>
      </c>
      <c r="L81" s="4">
        <v>34</v>
      </c>
      <c r="M81" s="4">
        <v>0.54900000000000004</v>
      </c>
      <c r="N81" s="4">
        <v>101</v>
      </c>
      <c r="O81" s="4">
        <v>12800</v>
      </c>
      <c r="P81" s="4">
        <v>52.7</v>
      </c>
      <c r="Q81" s="4">
        <v>382</v>
      </c>
      <c r="R81" s="4">
        <v>64.099999999999994</v>
      </c>
      <c r="S81" s="4">
        <v>65.099999999999994</v>
      </c>
      <c r="T81" s="4">
        <v>59.6</v>
      </c>
      <c r="U81" s="4">
        <v>62.3</v>
      </c>
      <c r="V81" s="4">
        <v>63</v>
      </c>
      <c r="W81" s="4">
        <v>63.7</v>
      </c>
      <c r="X81" s="4">
        <v>65.2</v>
      </c>
      <c r="Y81" s="4">
        <v>66.7</v>
      </c>
      <c r="Z81" s="4">
        <v>55.6</v>
      </c>
      <c r="AA81" s="4">
        <v>1560</v>
      </c>
      <c r="AB81" s="4">
        <v>3.92</v>
      </c>
      <c r="AC81" s="4">
        <v>1.42</v>
      </c>
      <c r="AD81" s="4" t="s">
        <v>82</v>
      </c>
      <c r="AE81" s="4">
        <v>67.7</v>
      </c>
    </row>
    <row r="82" spans="1:31">
      <c r="A82" s="4"/>
      <c r="B82" s="5" t="s">
        <v>83</v>
      </c>
      <c r="C82" s="4" t="s">
        <v>76</v>
      </c>
      <c r="D82" s="4">
        <v>12</v>
      </c>
      <c r="E82" s="4">
        <v>2</v>
      </c>
      <c r="F82" s="4">
        <v>203</v>
      </c>
      <c r="G82" s="4">
        <v>152</v>
      </c>
      <c r="H82" s="4">
        <v>15.9</v>
      </c>
      <c r="I82" s="4">
        <v>32.799999999999997</v>
      </c>
      <c r="J82" s="4">
        <v>9.56</v>
      </c>
      <c r="K82" s="4">
        <v>12.8</v>
      </c>
      <c r="L82" s="4">
        <v>30</v>
      </c>
      <c r="M82" s="4">
        <v>0.55300000000000005</v>
      </c>
      <c r="N82" s="4">
        <v>84.6</v>
      </c>
      <c r="O82" s="4">
        <v>10800</v>
      </c>
      <c r="P82" s="4">
        <v>44.9</v>
      </c>
      <c r="Q82" s="4">
        <v>323</v>
      </c>
      <c r="R82" s="4">
        <v>64.599999999999994</v>
      </c>
      <c r="S82" s="4">
        <v>64</v>
      </c>
      <c r="T82" s="4">
        <v>59.1</v>
      </c>
      <c r="U82" s="4">
        <v>61.8</v>
      </c>
      <c r="V82" s="4">
        <v>62.5</v>
      </c>
      <c r="W82" s="4">
        <v>63.2</v>
      </c>
      <c r="X82" s="4">
        <v>64.599999999999994</v>
      </c>
      <c r="Y82" s="4">
        <v>66.099999999999994</v>
      </c>
      <c r="Z82" s="4">
        <v>56</v>
      </c>
      <c r="AA82" s="4">
        <v>909</v>
      </c>
      <c r="AB82" s="4">
        <v>2.3199999999999998</v>
      </c>
      <c r="AC82" s="4">
        <v>1.42</v>
      </c>
      <c r="AD82" s="4" t="s">
        <v>84</v>
      </c>
      <c r="AE82" s="4">
        <v>56.9</v>
      </c>
    </row>
    <row r="83" spans="1:31">
      <c r="A83" s="4"/>
      <c r="B83" s="5" t="s">
        <v>85</v>
      </c>
      <c r="C83" s="4" t="s">
        <v>76</v>
      </c>
      <c r="D83" s="4">
        <v>12</v>
      </c>
      <c r="E83" s="4">
        <v>2</v>
      </c>
      <c r="F83" s="4">
        <v>203</v>
      </c>
      <c r="G83" s="4">
        <v>152</v>
      </c>
      <c r="H83" s="4">
        <v>14.3</v>
      </c>
      <c r="I83" s="4">
        <v>32.9</v>
      </c>
      <c r="J83" s="4">
        <v>10.6</v>
      </c>
      <c r="K83" s="4">
        <v>14.2</v>
      </c>
      <c r="L83" s="4">
        <v>28</v>
      </c>
      <c r="M83" s="4">
        <v>0.55400000000000005</v>
      </c>
      <c r="N83" s="4">
        <v>76.5</v>
      </c>
      <c r="O83" s="4">
        <v>9740</v>
      </c>
      <c r="P83" s="4">
        <v>40.9</v>
      </c>
      <c r="Q83" s="4">
        <v>293</v>
      </c>
      <c r="R83" s="4">
        <v>64.8</v>
      </c>
      <c r="S83" s="4">
        <v>63.4</v>
      </c>
      <c r="T83" s="4">
        <v>58.9</v>
      </c>
      <c r="U83" s="4">
        <v>61.6</v>
      </c>
      <c r="V83" s="4">
        <v>62.3</v>
      </c>
      <c r="W83" s="4">
        <v>63</v>
      </c>
      <c r="X83" s="4">
        <v>64.400000000000006</v>
      </c>
      <c r="Y83" s="4">
        <v>65.8</v>
      </c>
      <c r="Z83" s="4">
        <v>56.2</v>
      </c>
      <c r="AA83" s="4">
        <v>664</v>
      </c>
      <c r="AB83" s="4">
        <v>1.71</v>
      </c>
      <c r="AC83" s="4">
        <v>1.42</v>
      </c>
      <c r="AD83" s="4" t="s">
        <v>86</v>
      </c>
      <c r="AE83" s="4">
        <v>51.4</v>
      </c>
    </row>
    <row r="84" spans="1:31">
      <c r="A84" s="4"/>
      <c r="B84" s="5" t="s">
        <v>87</v>
      </c>
      <c r="C84" s="4" t="s">
        <v>76</v>
      </c>
      <c r="D84" s="4">
        <v>12</v>
      </c>
      <c r="E84" s="4">
        <v>1</v>
      </c>
      <c r="F84" s="4">
        <v>203</v>
      </c>
      <c r="G84" s="4">
        <v>152</v>
      </c>
      <c r="H84" s="4">
        <v>12.7</v>
      </c>
      <c r="I84" s="4">
        <v>33</v>
      </c>
      <c r="J84" s="4">
        <v>12</v>
      </c>
      <c r="K84" s="4">
        <v>16</v>
      </c>
      <c r="L84" s="4">
        <v>26</v>
      </c>
      <c r="M84" s="4">
        <v>0.55600000000000005</v>
      </c>
      <c r="N84" s="4">
        <v>68.3</v>
      </c>
      <c r="O84" s="4">
        <v>8690</v>
      </c>
      <c r="P84" s="4">
        <v>36.799999999999997</v>
      </c>
      <c r="Q84" s="4">
        <v>262</v>
      </c>
      <c r="R84" s="4">
        <v>65</v>
      </c>
      <c r="S84" s="4">
        <v>62.8</v>
      </c>
      <c r="T84" s="4">
        <v>58.7</v>
      </c>
      <c r="U84" s="4">
        <v>61.4</v>
      </c>
      <c r="V84" s="4">
        <v>62</v>
      </c>
      <c r="W84" s="4">
        <v>62.7</v>
      </c>
      <c r="X84" s="4">
        <v>64.099999999999994</v>
      </c>
      <c r="Y84" s="4">
        <v>65.5</v>
      </c>
      <c r="Z84" s="4">
        <v>56.4</v>
      </c>
      <c r="AA84" s="4">
        <v>467</v>
      </c>
      <c r="AB84" s="4">
        <v>1.22</v>
      </c>
      <c r="AC84" s="4">
        <v>1.42</v>
      </c>
      <c r="AD84" s="4" t="s">
        <v>88</v>
      </c>
      <c r="AE84" s="4">
        <v>45.9</v>
      </c>
    </row>
    <row r="85" spans="1:31">
      <c r="A85" s="4" t="s">
        <v>76</v>
      </c>
      <c r="B85" s="5" t="s">
        <v>89</v>
      </c>
      <c r="C85" s="4" t="s">
        <v>76</v>
      </c>
      <c r="D85" s="4">
        <v>12</v>
      </c>
      <c r="E85" s="4">
        <v>3</v>
      </c>
      <c r="F85" s="4">
        <v>203</v>
      </c>
      <c r="G85" s="4">
        <v>102</v>
      </c>
      <c r="H85" s="4">
        <v>25.4</v>
      </c>
      <c r="I85" s="4">
        <v>21.6</v>
      </c>
      <c r="J85" s="4">
        <v>4.0199999999999996</v>
      </c>
      <c r="K85" s="4">
        <v>7.99</v>
      </c>
      <c r="L85" s="4">
        <v>40</v>
      </c>
      <c r="M85" s="4">
        <v>0.249</v>
      </c>
      <c r="N85" s="4">
        <v>111</v>
      </c>
      <c r="O85" s="4">
        <v>14200</v>
      </c>
      <c r="P85" s="4">
        <v>57.9</v>
      </c>
      <c r="Q85" s="4">
        <v>460</v>
      </c>
      <c r="R85" s="4">
        <v>63.8</v>
      </c>
      <c r="S85" s="4">
        <v>77.2</v>
      </c>
      <c r="T85" s="4">
        <v>37.4</v>
      </c>
      <c r="U85" s="4">
        <v>40.4</v>
      </c>
      <c r="V85" s="4">
        <v>41.2</v>
      </c>
      <c r="W85" s="4">
        <v>41.9</v>
      </c>
      <c r="X85" s="4">
        <v>43.5</v>
      </c>
      <c r="Y85" s="4">
        <v>45.1</v>
      </c>
      <c r="Z85" s="4">
        <v>64.5</v>
      </c>
      <c r="AA85" s="4">
        <v>3050</v>
      </c>
      <c r="AB85" s="4">
        <v>6.92</v>
      </c>
      <c r="AC85" s="4">
        <v>1.22</v>
      </c>
      <c r="AD85" s="4" t="s">
        <v>90</v>
      </c>
      <c r="AE85" s="4">
        <v>74.900000000000006</v>
      </c>
    </row>
    <row r="86" spans="1:31">
      <c r="A86" s="4"/>
      <c r="B86" s="5" t="s">
        <v>91</v>
      </c>
      <c r="C86" s="4" t="s">
        <v>76</v>
      </c>
      <c r="D86" s="4">
        <v>12</v>
      </c>
      <c r="E86" s="4">
        <v>2</v>
      </c>
      <c r="F86" s="4">
        <v>203</v>
      </c>
      <c r="G86" s="4">
        <v>102</v>
      </c>
      <c r="H86" s="4">
        <v>19.100000000000001</v>
      </c>
      <c r="I86" s="4">
        <v>21.7</v>
      </c>
      <c r="J86" s="4">
        <v>5.34</v>
      </c>
      <c r="K86" s="4">
        <v>10.6</v>
      </c>
      <c r="L86" s="4">
        <v>34</v>
      </c>
      <c r="M86" s="4">
        <v>0.26</v>
      </c>
      <c r="N86" s="4">
        <v>85.7</v>
      </c>
      <c r="O86" s="4">
        <v>10900</v>
      </c>
      <c r="P86" s="4">
        <v>45.7</v>
      </c>
      <c r="Q86" s="4">
        <v>357</v>
      </c>
      <c r="R86" s="4">
        <v>64.7</v>
      </c>
      <c r="S86" s="4">
        <v>74.8</v>
      </c>
      <c r="T86" s="4">
        <v>36.299999999999997</v>
      </c>
      <c r="U86" s="4">
        <v>39.1</v>
      </c>
      <c r="V86" s="4">
        <v>39.799999999999997</v>
      </c>
      <c r="W86" s="4">
        <v>40.5</v>
      </c>
      <c r="X86" s="4">
        <v>42.1</v>
      </c>
      <c r="Y86" s="4">
        <v>43.6</v>
      </c>
      <c r="Z86" s="4">
        <v>65.3</v>
      </c>
      <c r="AA86" s="4">
        <v>1330</v>
      </c>
      <c r="AB86" s="4">
        <v>3.11</v>
      </c>
      <c r="AC86" s="4">
        <v>1.22</v>
      </c>
      <c r="AD86" s="4" t="s">
        <v>92</v>
      </c>
      <c r="AE86" s="4">
        <v>57.6</v>
      </c>
    </row>
    <row r="87" spans="1:31">
      <c r="A87" s="4"/>
      <c r="B87" s="5" t="s">
        <v>93</v>
      </c>
      <c r="C87" s="4" t="s">
        <v>76</v>
      </c>
      <c r="D87" s="4">
        <v>12</v>
      </c>
      <c r="E87" s="4">
        <v>1</v>
      </c>
      <c r="F87" s="4">
        <v>203</v>
      </c>
      <c r="G87" s="4">
        <v>102</v>
      </c>
      <c r="H87" s="4">
        <v>12.7</v>
      </c>
      <c r="I87" s="4">
        <v>22.1</v>
      </c>
      <c r="J87" s="4">
        <v>8.0299999999999994</v>
      </c>
      <c r="K87" s="4">
        <v>16</v>
      </c>
      <c r="L87" s="4">
        <v>26</v>
      </c>
      <c r="M87" s="4">
        <v>0.26900000000000002</v>
      </c>
      <c r="N87" s="4">
        <v>58.3</v>
      </c>
      <c r="O87" s="4">
        <v>7420</v>
      </c>
      <c r="P87" s="4">
        <v>32</v>
      </c>
      <c r="Q87" s="4">
        <v>245</v>
      </c>
      <c r="R87" s="4">
        <v>65.7</v>
      </c>
      <c r="S87" s="4">
        <v>72.400000000000006</v>
      </c>
      <c r="T87" s="4">
        <v>35.299999999999997</v>
      </c>
      <c r="U87" s="4">
        <v>37.9</v>
      </c>
      <c r="V87" s="4">
        <v>38.6</v>
      </c>
      <c r="W87" s="4">
        <v>39.299999999999997</v>
      </c>
      <c r="X87" s="4">
        <v>40.700000000000003</v>
      </c>
      <c r="Y87" s="4">
        <v>42.2</v>
      </c>
      <c r="Z87" s="4">
        <v>66.099999999999994</v>
      </c>
      <c r="AA87" s="4">
        <v>399</v>
      </c>
      <c r="AB87" s="4">
        <v>0.96499999999999997</v>
      </c>
      <c r="AC87" s="4">
        <v>1.22</v>
      </c>
      <c r="AD87" s="4" t="s">
        <v>94</v>
      </c>
      <c r="AE87" s="4">
        <v>39.200000000000003</v>
      </c>
    </row>
    <row r="88" spans="1:31">
      <c r="A88" s="4" t="s">
        <v>76</v>
      </c>
      <c r="B88" s="5" t="s">
        <v>95</v>
      </c>
      <c r="C88" s="4" t="s">
        <v>76</v>
      </c>
      <c r="D88" s="4">
        <v>12</v>
      </c>
      <c r="E88" s="4">
        <v>2</v>
      </c>
      <c r="F88" s="4">
        <v>178</v>
      </c>
      <c r="G88" s="4">
        <v>102</v>
      </c>
      <c r="H88" s="4">
        <v>19.100000000000001</v>
      </c>
      <c r="I88" s="4">
        <v>21.9</v>
      </c>
      <c r="J88" s="4">
        <v>5.34</v>
      </c>
      <c r="K88" s="4">
        <v>9.32</v>
      </c>
      <c r="L88" s="4">
        <v>34</v>
      </c>
      <c r="M88" s="4">
        <v>0.32500000000000001</v>
      </c>
      <c r="N88" s="4">
        <v>78.2</v>
      </c>
      <c r="O88" s="4">
        <v>9970</v>
      </c>
      <c r="P88" s="4">
        <v>31.7</v>
      </c>
      <c r="Q88" s="4">
        <v>277</v>
      </c>
      <c r="R88" s="4">
        <v>56.4</v>
      </c>
      <c r="S88" s="4">
        <v>63.8</v>
      </c>
      <c r="T88" s="4">
        <v>37.799999999999997</v>
      </c>
      <c r="U88" s="4">
        <v>40.6</v>
      </c>
      <c r="V88" s="4">
        <v>41.4</v>
      </c>
      <c r="W88" s="4">
        <v>42.1</v>
      </c>
      <c r="X88" s="4">
        <v>43.7</v>
      </c>
      <c r="Y88" s="4">
        <v>45.2</v>
      </c>
      <c r="Z88" s="4">
        <v>54.2</v>
      </c>
      <c r="AA88" s="4">
        <v>1210</v>
      </c>
      <c r="AB88" s="4">
        <v>2.16</v>
      </c>
      <c r="AC88" s="4">
        <v>1.1200000000000001</v>
      </c>
      <c r="AD88" s="4" t="s">
        <v>96</v>
      </c>
      <c r="AE88" s="4">
        <v>52.6</v>
      </c>
    </row>
    <row r="89" spans="1:31">
      <c r="A89" s="4"/>
      <c r="B89" s="5" t="s">
        <v>97</v>
      </c>
      <c r="C89" s="4" t="s">
        <v>76</v>
      </c>
      <c r="D89" s="4">
        <v>12</v>
      </c>
      <c r="E89" s="4">
        <v>2</v>
      </c>
      <c r="F89" s="4">
        <v>178</v>
      </c>
      <c r="G89" s="4">
        <v>102</v>
      </c>
      <c r="H89" s="4">
        <v>15.9</v>
      </c>
      <c r="I89" s="4">
        <v>22.1</v>
      </c>
      <c r="J89" s="4">
        <v>6.42</v>
      </c>
      <c r="K89" s="4">
        <v>11.2</v>
      </c>
      <c r="L89" s="4">
        <v>30</v>
      </c>
      <c r="M89" s="4">
        <v>0.33100000000000002</v>
      </c>
      <c r="N89" s="4">
        <v>65.900000000000006</v>
      </c>
      <c r="O89" s="4">
        <v>8400</v>
      </c>
      <c r="P89" s="4">
        <v>27.1</v>
      </c>
      <c r="Q89" s="4">
        <v>235</v>
      </c>
      <c r="R89" s="4">
        <v>56.8</v>
      </c>
      <c r="S89" s="4">
        <v>62.6</v>
      </c>
      <c r="T89" s="4">
        <v>37.299999999999997</v>
      </c>
      <c r="U89" s="4">
        <v>40</v>
      </c>
      <c r="V89" s="4">
        <v>40.799999999999997</v>
      </c>
      <c r="W89" s="4">
        <v>41.5</v>
      </c>
      <c r="X89" s="4">
        <v>43</v>
      </c>
      <c r="Y89" s="4">
        <v>44.5</v>
      </c>
      <c r="Z89" s="4">
        <v>54.6</v>
      </c>
      <c r="AA89" s="4">
        <v>708</v>
      </c>
      <c r="AB89" s="4">
        <v>1.28</v>
      </c>
      <c r="AC89" s="4">
        <v>1.1200000000000001</v>
      </c>
      <c r="AD89" s="4" t="s">
        <v>98</v>
      </c>
      <c r="AE89" s="4">
        <v>44.3</v>
      </c>
    </row>
    <row r="90" spans="1:31">
      <c r="A90" s="4"/>
      <c r="B90" s="5" t="s">
        <v>99</v>
      </c>
      <c r="C90" s="4"/>
      <c r="D90" s="4">
        <v>12</v>
      </c>
      <c r="E90" s="4">
        <v>1</v>
      </c>
      <c r="F90" s="4">
        <v>178</v>
      </c>
      <c r="G90" s="4">
        <v>102</v>
      </c>
      <c r="H90" s="4">
        <v>12.7</v>
      </c>
      <c r="I90" s="4">
        <v>22.2</v>
      </c>
      <c r="J90" s="4">
        <v>8.0299999999999994</v>
      </c>
      <c r="K90" s="4">
        <v>14</v>
      </c>
      <c r="L90" s="4">
        <v>26</v>
      </c>
      <c r="M90" s="4">
        <v>0.33600000000000002</v>
      </c>
      <c r="N90" s="4">
        <v>53.3</v>
      </c>
      <c r="O90" s="4">
        <v>6790</v>
      </c>
      <c r="P90" s="4">
        <v>22.3</v>
      </c>
      <c r="Q90" s="4">
        <v>191</v>
      </c>
      <c r="R90" s="4">
        <v>57.3</v>
      </c>
      <c r="S90" s="4">
        <v>61.4</v>
      </c>
      <c r="T90" s="4">
        <v>36.799999999999997</v>
      </c>
      <c r="U90" s="4">
        <v>39.5</v>
      </c>
      <c r="V90" s="4">
        <v>40.200000000000003</v>
      </c>
      <c r="W90" s="4">
        <v>40.9</v>
      </c>
      <c r="X90" s="4">
        <v>42.4</v>
      </c>
      <c r="Y90" s="4">
        <v>43.9</v>
      </c>
      <c r="Z90" s="4">
        <v>55</v>
      </c>
      <c r="AA90" s="4">
        <v>365</v>
      </c>
      <c r="AB90" s="4">
        <v>0.67500000000000004</v>
      </c>
      <c r="AC90" s="4">
        <v>1.1200000000000001</v>
      </c>
      <c r="AD90" s="4" t="s">
        <v>100</v>
      </c>
      <c r="AE90" s="4">
        <v>35.799999999999997</v>
      </c>
    </row>
    <row r="91" spans="1:31">
      <c r="A91" s="4"/>
      <c r="B91" s="5" t="s">
        <v>101</v>
      </c>
      <c r="C91" s="4" t="s">
        <v>76</v>
      </c>
      <c r="D91" s="4">
        <v>12</v>
      </c>
      <c r="E91" s="4">
        <v>1</v>
      </c>
      <c r="F91" s="4">
        <v>178</v>
      </c>
      <c r="G91" s="4">
        <v>102</v>
      </c>
      <c r="H91" s="4">
        <v>11.1</v>
      </c>
      <c r="I91" s="4">
        <v>22.3</v>
      </c>
      <c r="J91" s="4">
        <v>9.19</v>
      </c>
      <c r="K91" s="4">
        <v>16</v>
      </c>
      <c r="L91" s="4">
        <v>26</v>
      </c>
      <c r="M91" s="4">
        <v>0.33900000000000002</v>
      </c>
      <c r="N91" s="4">
        <v>46.9</v>
      </c>
      <c r="O91" s="4">
        <v>5970</v>
      </c>
      <c r="P91" s="4">
        <v>19.8</v>
      </c>
      <c r="Q91" s="4">
        <v>169</v>
      </c>
      <c r="R91" s="4">
        <v>57.5</v>
      </c>
      <c r="S91" s="4">
        <v>60.8</v>
      </c>
      <c r="T91" s="4">
        <v>36.6</v>
      </c>
      <c r="U91" s="4">
        <v>39.200000000000003</v>
      </c>
      <c r="V91" s="4">
        <v>39.9</v>
      </c>
      <c r="W91" s="4">
        <v>40.6</v>
      </c>
      <c r="X91" s="4">
        <v>42.1</v>
      </c>
      <c r="Y91" s="4">
        <v>43.6</v>
      </c>
      <c r="Z91" s="4">
        <v>55.2</v>
      </c>
      <c r="AA91" s="4">
        <v>245</v>
      </c>
      <c r="AB91" s="4">
        <v>0.45800000000000002</v>
      </c>
      <c r="AC91" s="4">
        <v>1.1200000000000001</v>
      </c>
      <c r="AD91" s="4" t="s">
        <v>102</v>
      </c>
      <c r="AE91" s="4">
        <v>31.5</v>
      </c>
    </row>
    <row r="92" spans="1:31">
      <c r="A92" s="4"/>
      <c r="B92" s="5" t="s">
        <v>103</v>
      </c>
      <c r="C92" s="4"/>
      <c r="D92" s="4">
        <v>12</v>
      </c>
      <c r="E92" s="4">
        <v>1</v>
      </c>
      <c r="F92" s="4">
        <v>178</v>
      </c>
      <c r="G92" s="4">
        <v>102</v>
      </c>
      <c r="H92" s="4">
        <v>9.5299999999999994</v>
      </c>
      <c r="I92" s="4">
        <v>22.4</v>
      </c>
      <c r="J92" s="4">
        <v>10.7</v>
      </c>
      <c r="K92" s="4">
        <v>18.7</v>
      </c>
      <c r="L92" s="4">
        <v>24</v>
      </c>
      <c r="M92" s="4">
        <v>0.34100000000000003</v>
      </c>
      <c r="N92" s="4">
        <v>40.5</v>
      </c>
      <c r="O92" s="4">
        <v>5160</v>
      </c>
      <c r="P92" s="4">
        <v>17.2</v>
      </c>
      <c r="Q92" s="4">
        <v>146</v>
      </c>
      <c r="R92" s="4">
        <v>57.8</v>
      </c>
      <c r="S92" s="4">
        <v>60.2</v>
      </c>
      <c r="T92" s="4">
        <v>36.4</v>
      </c>
      <c r="U92" s="4">
        <v>39</v>
      </c>
      <c r="V92" s="4">
        <v>39.700000000000003</v>
      </c>
      <c r="W92" s="4">
        <v>40.4</v>
      </c>
      <c r="X92" s="4">
        <v>41.8</v>
      </c>
      <c r="Y92" s="4">
        <v>43.3</v>
      </c>
      <c r="Z92" s="4">
        <v>55.4</v>
      </c>
      <c r="AA92" s="4">
        <v>156</v>
      </c>
      <c r="AB92" s="4">
        <v>0.29399999999999998</v>
      </c>
      <c r="AC92" s="4">
        <v>1.1200000000000001</v>
      </c>
      <c r="AD92" s="4" t="s">
        <v>104</v>
      </c>
      <c r="AE92" s="4">
        <v>27.2</v>
      </c>
    </row>
    <row r="93" spans="1:31">
      <c r="A93" s="4" t="s">
        <v>76</v>
      </c>
      <c r="B93" s="5" t="s">
        <v>105</v>
      </c>
      <c r="C93" s="4" t="s">
        <v>76</v>
      </c>
      <c r="D93" s="4">
        <v>12</v>
      </c>
      <c r="E93" s="4">
        <v>3</v>
      </c>
      <c r="F93" s="4">
        <v>152</v>
      </c>
      <c r="G93" s="4">
        <v>102</v>
      </c>
      <c r="H93" s="4">
        <v>22.2</v>
      </c>
      <c r="I93" s="4">
        <v>21.9</v>
      </c>
      <c r="J93" s="4">
        <v>4.59</v>
      </c>
      <c r="K93" s="4">
        <v>6.85</v>
      </c>
      <c r="L93" s="4">
        <v>36</v>
      </c>
      <c r="M93" s="4">
        <v>0.42699999999999999</v>
      </c>
      <c r="N93" s="4">
        <v>80.8</v>
      </c>
      <c r="O93" s="4">
        <v>10300</v>
      </c>
      <c r="P93" s="4">
        <v>22.9</v>
      </c>
      <c r="Q93" s="4">
        <v>233</v>
      </c>
      <c r="R93" s="4">
        <v>47.2</v>
      </c>
      <c r="S93" s="4">
        <v>53.7</v>
      </c>
      <c r="T93" s="4">
        <v>40.200000000000003</v>
      </c>
      <c r="U93" s="4">
        <v>43.2</v>
      </c>
      <c r="V93" s="4">
        <v>43.9</v>
      </c>
      <c r="W93" s="4">
        <v>44.7</v>
      </c>
      <c r="X93" s="4">
        <v>46.3</v>
      </c>
      <c r="Y93" s="4">
        <v>47.9</v>
      </c>
      <c r="Z93" s="4">
        <v>42.6</v>
      </c>
      <c r="AA93" s="4">
        <v>1690</v>
      </c>
      <c r="AB93" s="4">
        <v>2.16</v>
      </c>
      <c r="AC93" s="4">
        <v>1.02</v>
      </c>
      <c r="AD93" s="4" t="s">
        <v>106</v>
      </c>
      <c r="AE93" s="4">
        <v>54.3</v>
      </c>
    </row>
    <row r="94" spans="1:31">
      <c r="A94" s="4"/>
      <c r="B94" s="5" t="s">
        <v>107</v>
      </c>
      <c r="C94" s="4"/>
      <c r="D94" s="4">
        <v>12</v>
      </c>
      <c r="E94" s="4">
        <v>2</v>
      </c>
      <c r="F94" s="4">
        <v>152</v>
      </c>
      <c r="G94" s="4">
        <v>102</v>
      </c>
      <c r="H94" s="4">
        <v>19.100000000000001</v>
      </c>
      <c r="I94" s="4">
        <v>21.9</v>
      </c>
      <c r="J94" s="4">
        <v>5.34</v>
      </c>
      <c r="K94" s="4">
        <v>7.96</v>
      </c>
      <c r="L94" s="4">
        <v>34</v>
      </c>
      <c r="M94" s="4">
        <v>0.434</v>
      </c>
      <c r="N94" s="4">
        <v>70.400000000000006</v>
      </c>
      <c r="O94" s="4">
        <v>8970</v>
      </c>
      <c r="P94" s="4">
        <v>20.3</v>
      </c>
      <c r="Q94" s="4">
        <v>204</v>
      </c>
      <c r="R94" s="4">
        <v>47.6</v>
      </c>
      <c r="S94" s="4">
        <v>52.5</v>
      </c>
      <c r="T94" s="4">
        <v>39.700000000000003</v>
      </c>
      <c r="U94" s="4">
        <v>42.6</v>
      </c>
      <c r="V94" s="4">
        <v>43.3</v>
      </c>
      <c r="W94" s="4">
        <v>44.1</v>
      </c>
      <c r="X94" s="4">
        <v>45.6</v>
      </c>
      <c r="Y94" s="4">
        <v>47.2</v>
      </c>
      <c r="Z94" s="4">
        <v>43</v>
      </c>
      <c r="AA94" s="4">
        <v>1090</v>
      </c>
      <c r="AB94" s="4">
        <v>1.42</v>
      </c>
      <c r="AC94" s="4">
        <v>1.02</v>
      </c>
      <c r="AD94" s="4" t="s">
        <v>108</v>
      </c>
      <c r="AE94" s="4">
        <v>47.3</v>
      </c>
    </row>
    <row r="95" spans="1:31">
      <c r="A95" s="4"/>
      <c r="B95" s="5" t="s">
        <v>109</v>
      </c>
      <c r="C95" s="4"/>
      <c r="D95" s="4">
        <v>12</v>
      </c>
      <c r="E95" s="4">
        <v>2</v>
      </c>
      <c r="F95" s="4">
        <v>152</v>
      </c>
      <c r="G95" s="4">
        <v>102</v>
      </c>
      <c r="H95" s="4">
        <v>15.9</v>
      </c>
      <c r="I95" s="4">
        <v>22</v>
      </c>
      <c r="J95" s="4">
        <v>6.42</v>
      </c>
      <c r="K95" s="4">
        <v>9.56</v>
      </c>
      <c r="L95" s="4">
        <v>30</v>
      </c>
      <c r="M95" s="4">
        <v>0.44</v>
      </c>
      <c r="N95" s="4">
        <v>59.4</v>
      </c>
      <c r="O95" s="4">
        <v>7570</v>
      </c>
      <c r="P95" s="4">
        <v>17.5</v>
      </c>
      <c r="Q95" s="4">
        <v>174</v>
      </c>
      <c r="R95" s="4">
        <v>48</v>
      </c>
      <c r="S95" s="4">
        <v>51.4</v>
      </c>
      <c r="T95" s="4">
        <v>39.200000000000003</v>
      </c>
      <c r="U95" s="4">
        <v>42</v>
      </c>
      <c r="V95" s="4">
        <v>42.7</v>
      </c>
      <c r="W95" s="4">
        <v>43.4</v>
      </c>
      <c r="X95" s="4">
        <v>44.9</v>
      </c>
      <c r="Y95" s="4">
        <v>46.5</v>
      </c>
      <c r="Z95" s="4">
        <v>43.4</v>
      </c>
      <c r="AA95" s="4">
        <v>638</v>
      </c>
      <c r="AB95" s="4">
        <v>0.85299999999999998</v>
      </c>
      <c r="AC95" s="4">
        <v>1.02</v>
      </c>
      <c r="AD95" s="4" t="s">
        <v>110</v>
      </c>
      <c r="AE95" s="4">
        <v>39.9</v>
      </c>
    </row>
    <row r="96" spans="1:31">
      <c r="A96" s="4"/>
      <c r="B96" s="5" t="s">
        <v>111</v>
      </c>
      <c r="C96" s="4" t="s">
        <v>76</v>
      </c>
      <c r="D96" s="4">
        <v>12</v>
      </c>
      <c r="E96" s="4">
        <v>2</v>
      </c>
      <c r="F96" s="4">
        <v>152</v>
      </c>
      <c r="G96" s="4">
        <v>102</v>
      </c>
      <c r="H96" s="4">
        <v>14.3</v>
      </c>
      <c r="I96" s="4">
        <v>22.1</v>
      </c>
      <c r="J96" s="4">
        <v>7.13</v>
      </c>
      <c r="K96" s="4">
        <v>10.6</v>
      </c>
      <c r="L96" s="4">
        <v>28</v>
      </c>
      <c r="M96" s="4">
        <v>0.443</v>
      </c>
      <c r="N96" s="4">
        <v>53.8</v>
      </c>
      <c r="O96" s="4">
        <v>6860</v>
      </c>
      <c r="P96" s="4">
        <v>16</v>
      </c>
      <c r="Q96" s="4">
        <v>158</v>
      </c>
      <c r="R96" s="4">
        <v>48.2</v>
      </c>
      <c r="S96" s="4">
        <v>50.8</v>
      </c>
      <c r="T96" s="4">
        <v>38.9</v>
      </c>
      <c r="U96" s="4">
        <v>41.7</v>
      </c>
      <c r="V96" s="4">
        <v>42.4</v>
      </c>
      <c r="W96" s="4">
        <v>43.1</v>
      </c>
      <c r="X96" s="4">
        <v>44.6</v>
      </c>
      <c r="Y96" s="4">
        <v>46.2</v>
      </c>
      <c r="Z96" s="4">
        <v>43.7</v>
      </c>
      <c r="AA96" s="4">
        <v>467</v>
      </c>
      <c r="AB96" s="4">
        <v>0.63200000000000001</v>
      </c>
      <c r="AC96" s="4">
        <v>1.02</v>
      </c>
      <c r="AD96" s="4" t="s">
        <v>112</v>
      </c>
      <c r="AE96" s="4">
        <v>36.200000000000003</v>
      </c>
    </row>
    <row r="97" spans="1:31">
      <c r="A97" s="4"/>
      <c r="B97" s="5" t="s">
        <v>113</v>
      </c>
      <c r="C97" s="4"/>
      <c r="D97" s="4">
        <v>12</v>
      </c>
      <c r="E97" s="4">
        <v>1</v>
      </c>
      <c r="F97" s="4">
        <v>152</v>
      </c>
      <c r="G97" s="4">
        <v>102</v>
      </c>
      <c r="H97" s="4">
        <v>12.7</v>
      </c>
      <c r="I97" s="4">
        <v>22.2</v>
      </c>
      <c r="J97" s="4">
        <v>8.0299999999999994</v>
      </c>
      <c r="K97" s="4">
        <v>12</v>
      </c>
      <c r="L97" s="4">
        <v>26</v>
      </c>
      <c r="M97" s="4">
        <v>0.44600000000000001</v>
      </c>
      <c r="N97" s="4">
        <v>48.1</v>
      </c>
      <c r="O97" s="4">
        <v>6130</v>
      </c>
      <c r="P97" s="4">
        <v>14.4</v>
      </c>
      <c r="Q97" s="4">
        <v>141</v>
      </c>
      <c r="R97" s="4">
        <v>48.5</v>
      </c>
      <c r="S97" s="4">
        <v>50.2</v>
      </c>
      <c r="T97" s="4">
        <v>38.700000000000003</v>
      </c>
      <c r="U97" s="4">
        <v>41.4</v>
      </c>
      <c r="V97" s="4">
        <v>42.1</v>
      </c>
      <c r="W97" s="4">
        <v>42.8</v>
      </c>
      <c r="X97" s="4">
        <v>44.3</v>
      </c>
      <c r="Y97" s="4">
        <v>45.8</v>
      </c>
      <c r="Z97" s="4">
        <v>43.9</v>
      </c>
      <c r="AA97" s="4">
        <v>330</v>
      </c>
      <c r="AB97" s="4">
        <v>0.45100000000000001</v>
      </c>
      <c r="AC97" s="4">
        <v>1.02</v>
      </c>
      <c r="AD97" s="4" t="s">
        <v>114</v>
      </c>
      <c r="AE97" s="4">
        <v>32.299999999999997</v>
      </c>
    </row>
    <row r="98" spans="1:31">
      <c r="A98" s="4"/>
      <c r="B98" s="5" t="s">
        <v>115</v>
      </c>
      <c r="C98" s="4" t="s">
        <v>76</v>
      </c>
      <c r="D98" s="4">
        <v>12</v>
      </c>
      <c r="E98" s="4">
        <v>1</v>
      </c>
      <c r="F98" s="4">
        <v>152</v>
      </c>
      <c r="G98" s="4">
        <v>102</v>
      </c>
      <c r="H98" s="4">
        <v>11.1</v>
      </c>
      <c r="I98" s="4">
        <v>22.3</v>
      </c>
      <c r="J98" s="4">
        <v>9.19</v>
      </c>
      <c r="K98" s="4">
        <v>13.7</v>
      </c>
      <c r="L98" s="4">
        <v>26</v>
      </c>
      <c r="M98" s="4">
        <v>0.44900000000000001</v>
      </c>
      <c r="N98" s="4">
        <v>42.3</v>
      </c>
      <c r="O98" s="4">
        <v>5390</v>
      </c>
      <c r="P98" s="4">
        <v>12.8</v>
      </c>
      <c r="Q98" s="4">
        <v>125</v>
      </c>
      <c r="R98" s="4">
        <v>48.7</v>
      </c>
      <c r="S98" s="4">
        <v>49.6</v>
      </c>
      <c r="T98" s="4">
        <v>38.5</v>
      </c>
      <c r="U98" s="4">
        <v>41.1</v>
      </c>
      <c r="V98" s="4">
        <v>41.9</v>
      </c>
      <c r="W98" s="4">
        <v>42.6</v>
      </c>
      <c r="X98" s="4">
        <v>44</v>
      </c>
      <c r="Y98" s="4">
        <v>45.5</v>
      </c>
      <c r="Z98" s="4">
        <v>44.1</v>
      </c>
      <c r="AA98" s="4">
        <v>221</v>
      </c>
      <c r="AB98" s="4">
        <v>0.307</v>
      </c>
      <c r="AC98" s="4">
        <v>1.02</v>
      </c>
      <c r="AD98" s="4" t="s">
        <v>116</v>
      </c>
      <c r="AE98" s="4">
        <v>28.4</v>
      </c>
    </row>
    <row r="99" spans="1:31">
      <c r="A99" s="4"/>
      <c r="B99" s="5" t="s">
        <v>117</v>
      </c>
      <c r="C99" s="4"/>
      <c r="D99" s="4">
        <v>12</v>
      </c>
      <c r="E99" s="4">
        <v>1</v>
      </c>
      <c r="F99" s="4">
        <v>152</v>
      </c>
      <c r="G99" s="4">
        <v>102</v>
      </c>
      <c r="H99" s="4">
        <v>9.5299999999999994</v>
      </c>
      <c r="I99" s="4">
        <v>22.4</v>
      </c>
      <c r="J99" s="4">
        <v>10.7</v>
      </c>
      <c r="K99" s="4">
        <v>15.9</v>
      </c>
      <c r="L99" s="4">
        <v>24</v>
      </c>
      <c r="M99" s="4">
        <v>0.45100000000000001</v>
      </c>
      <c r="N99" s="4">
        <v>36.6</v>
      </c>
      <c r="O99" s="4">
        <v>4660</v>
      </c>
      <c r="P99" s="4">
        <v>11.2</v>
      </c>
      <c r="Q99" s="4">
        <v>108</v>
      </c>
      <c r="R99" s="4">
        <v>48.9</v>
      </c>
      <c r="S99" s="4">
        <v>49.1</v>
      </c>
      <c r="T99" s="4">
        <v>38.299999999999997</v>
      </c>
      <c r="U99" s="4">
        <v>40.9</v>
      </c>
      <c r="V99" s="4">
        <v>41.6</v>
      </c>
      <c r="W99" s="4">
        <v>42.3</v>
      </c>
      <c r="X99" s="4">
        <v>43.7</v>
      </c>
      <c r="Y99" s="4">
        <v>45.2</v>
      </c>
      <c r="Z99" s="4">
        <v>44.3</v>
      </c>
      <c r="AA99" s="4">
        <v>141</v>
      </c>
      <c r="AB99" s="4">
        <v>0.19800000000000001</v>
      </c>
      <c r="AC99" s="4">
        <v>1.02</v>
      </c>
      <c r="AD99" s="4" t="s">
        <v>118</v>
      </c>
      <c r="AE99" s="4">
        <v>24.6</v>
      </c>
    </row>
    <row r="100" spans="1:31">
      <c r="A100" s="4"/>
      <c r="B100" s="5" t="s">
        <v>119</v>
      </c>
      <c r="C100" s="4"/>
      <c r="D100" s="4">
        <v>12</v>
      </c>
      <c r="E100" s="4">
        <v>1</v>
      </c>
      <c r="F100" s="4">
        <v>152</v>
      </c>
      <c r="G100" s="4">
        <v>102</v>
      </c>
      <c r="H100" s="4">
        <v>7.94</v>
      </c>
      <c r="I100" s="4">
        <v>22.5</v>
      </c>
      <c r="J100" s="4">
        <v>12.8</v>
      </c>
      <c r="K100" s="4">
        <v>19.100000000000001</v>
      </c>
      <c r="L100" s="4">
        <v>22</v>
      </c>
      <c r="M100" s="4">
        <v>0.45400000000000001</v>
      </c>
      <c r="N100" s="4">
        <v>30.7</v>
      </c>
      <c r="O100" s="4">
        <v>3910</v>
      </c>
      <c r="P100" s="4">
        <v>9.44</v>
      </c>
      <c r="Q100" s="4">
        <v>91.2</v>
      </c>
      <c r="R100" s="4">
        <v>49.2</v>
      </c>
      <c r="S100" s="4">
        <v>48.5</v>
      </c>
      <c r="T100" s="4">
        <v>38.1</v>
      </c>
      <c r="U100" s="4">
        <v>40.700000000000003</v>
      </c>
      <c r="V100" s="4">
        <v>41.3</v>
      </c>
      <c r="W100" s="4">
        <v>42</v>
      </c>
      <c r="X100" s="4">
        <v>43.5</v>
      </c>
      <c r="Y100" s="4">
        <v>44.9</v>
      </c>
      <c r="Z100" s="4">
        <v>44.5</v>
      </c>
      <c r="AA100" s="4">
        <v>82.1</v>
      </c>
      <c r="AB100" s="4">
        <v>0.11600000000000001</v>
      </c>
      <c r="AC100" s="4">
        <v>1.02</v>
      </c>
      <c r="AD100" s="4" t="s">
        <v>120</v>
      </c>
      <c r="AE100" s="4">
        <v>20.6</v>
      </c>
    </row>
    <row r="101" spans="1:31">
      <c r="A101" s="4" t="s">
        <v>76</v>
      </c>
      <c r="B101" s="5" t="s">
        <v>121</v>
      </c>
      <c r="C101" s="4"/>
      <c r="D101" s="4">
        <v>12</v>
      </c>
      <c r="E101" s="4">
        <v>2</v>
      </c>
      <c r="F101" s="4">
        <v>152</v>
      </c>
      <c r="G101" s="4">
        <v>88.9</v>
      </c>
      <c r="H101" s="4">
        <v>15.9</v>
      </c>
      <c r="I101" s="4">
        <v>19.100000000000001</v>
      </c>
      <c r="J101" s="4">
        <v>5.59</v>
      </c>
      <c r="K101" s="4">
        <v>9.56</v>
      </c>
      <c r="L101" s="4">
        <v>30</v>
      </c>
      <c r="M101" s="4">
        <v>0.33900000000000002</v>
      </c>
      <c r="N101" s="4">
        <v>56.2</v>
      </c>
      <c r="O101" s="4">
        <v>7160</v>
      </c>
      <c r="P101" s="4">
        <v>16.600000000000001</v>
      </c>
      <c r="Q101" s="4">
        <v>169</v>
      </c>
      <c r="R101" s="4">
        <v>48.2</v>
      </c>
      <c r="S101" s="4">
        <v>53.9</v>
      </c>
      <c r="T101" s="4">
        <v>33</v>
      </c>
      <c r="U101" s="4">
        <v>35.9</v>
      </c>
      <c r="V101" s="4">
        <v>36.6</v>
      </c>
      <c r="W101" s="4">
        <v>37.4</v>
      </c>
      <c r="X101" s="4">
        <v>38.9</v>
      </c>
      <c r="Y101" s="4">
        <v>40.5</v>
      </c>
      <c r="Z101" s="4">
        <v>46</v>
      </c>
      <c r="AA101" s="4">
        <v>603</v>
      </c>
      <c r="AB101" s="4">
        <v>0.78600000000000003</v>
      </c>
      <c r="AC101" s="4">
        <v>0.96399999999999997</v>
      </c>
      <c r="AD101" s="4" t="s">
        <v>122</v>
      </c>
      <c r="AE101" s="4">
        <v>37.700000000000003</v>
      </c>
    </row>
    <row r="102" spans="1:31">
      <c r="A102" s="4"/>
      <c r="B102" s="5" t="s">
        <v>123</v>
      </c>
      <c r="C102" s="4"/>
      <c r="D102" s="4">
        <v>12</v>
      </c>
      <c r="E102" s="4">
        <v>1</v>
      </c>
      <c r="F102" s="4">
        <v>152</v>
      </c>
      <c r="G102" s="4">
        <v>88.9</v>
      </c>
      <c r="H102" s="4">
        <v>12.7</v>
      </c>
      <c r="I102" s="4">
        <v>19.3</v>
      </c>
      <c r="J102" s="4">
        <v>7</v>
      </c>
      <c r="K102" s="4">
        <v>12</v>
      </c>
      <c r="L102" s="4">
        <v>26</v>
      </c>
      <c r="M102" s="4">
        <v>0.34499999999999997</v>
      </c>
      <c r="N102" s="4">
        <v>45.5</v>
      </c>
      <c r="O102" s="4">
        <v>5800</v>
      </c>
      <c r="P102" s="4">
        <v>13.7</v>
      </c>
      <c r="Q102" s="4">
        <v>138</v>
      </c>
      <c r="R102" s="4">
        <v>48.6</v>
      </c>
      <c r="S102" s="4">
        <v>52.7</v>
      </c>
      <c r="T102" s="4">
        <v>32.5</v>
      </c>
      <c r="U102" s="4">
        <v>35.299999999999997</v>
      </c>
      <c r="V102" s="4">
        <v>36</v>
      </c>
      <c r="W102" s="4">
        <v>36.700000000000003</v>
      </c>
      <c r="X102" s="4">
        <v>38.200000000000003</v>
      </c>
      <c r="Y102" s="4">
        <v>39.799999999999997</v>
      </c>
      <c r="Z102" s="4">
        <v>46.4</v>
      </c>
      <c r="AA102" s="4">
        <v>312</v>
      </c>
      <c r="AB102" s="4">
        <v>0.41599999999999998</v>
      </c>
      <c r="AC102" s="4">
        <v>0.96399999999999997</v>
      </c>
      <c r="AD102" s="4" t="s">
        <v>124</v>
      </c>
      <c r="AE102" s="4">
        <v>30.6</v>
      </c>
    </row>
    <row r="103" spans="1:31">
      <c r="A103" s="4"/>
      <c r="B103" s="5" t="s">
        <v>125</v>
      </c>
      <c r="C103" s="4"/>
      <c r="D103" s="4">
        <v>12</v>
      </c>
      <c r="E103" s="4">
        <v>1</v>
      </c>
      <c r="F103" s="4">
        <v>152</v>
      </c>
      <c r="G103" s="4">
        <v>88.9</v>
      </c>
      <c r="H103" s="4">
        <v>9.5299999999999994</v>
      </c>
      <c r="I103" s="4">
        <v>19.5</v>
      </c>
      <c r="J103" s="4">
        <v>9.33</v>
      </c>
      <c r="K103" s="4">
        <v>15.9</v>
      </c>
      <c r="L103" s="4">
        <v>24</v>
      </c>
      <c r="M103" s="4">
        <v>0.35099999999999998</v>
      </c>
      <c r="N103" s="4">
        <v>34.6</v>
      </c>
      <c r="O103" s="4">
        <v>4410</v>
      </c>
      <c r="P103" s="4">
        <v>10.6</v>
      </c>
      <c r="Q103" s="4">
        <v>106</v>
      </c>
      <c r="R103" s="4">
        <v>49.1</v>
      </c>
      <c r="S103" s="4">
        <v>51.6</v>
      </c>
      <c r="T103" s="4">
        <v>32.1</v>
      </c>
      <c r="U103" s="4">
        <v>34.700000000000003</v>
      </c>
      <c r="V103" s="4">
        <v>35.4</v>
      </c>
      <c r="W103" s="4">
        <v>36.200000000000003</v>
      </c>
      <c r="X103" s="4">
        <v>37.6</v>
      </c>
      <c r="Y103" s="4">
        <v>39.1</v>
      </c>
      <c r="Z103" s="4">
        <v>46.8</v>
      </c>
      <c r="AA103" s="4">
        <v>134</v>
      </c>
      <c r="AB103" s="4">
        <v>0.182</v>
      </c>
      <c r="AC103" s="4">
        <v>0.96399999999999997</v>
      </c>
      <c r="AD103" s="4" t="s">
        <v>126</v>
      </c>
      <c r="AE103" s="4">
        <v>23.3</v>
      </c>
    </row>
    <row r="104" spans="1:31">
      <c r="A104" s="4"/>
      <c r="B104" s="5" t="s">
        <v>127</v>
      </c>
      <c r="C104" s="4"/>
      <c r="D104" s="4">
        <v>12</v>
      </c>
      <c r="E104" s="4">
        <v>1</v>
      </c>
      <c r="F104" s="4">
        <v>152</v>
      </c>
      <c r="G104" s="4">
        <v>88.9</v>
      </c>
      <c r="H104" s="4">
        <v>7.94</v>
      </c>
      <c r="I104" s="4">
        <v>19.600000000000001</v>
      </c>
      <c r="J104" s="4">
        <v>11.2</v>
      </c>
      <c r="K104" s="4">
        <v>19.100000000000001</v>
      </c>
      <c r="L104" s="4">
        <v>22</v>
      </c>
      <c r="M104" s="4">
        <v>0.35399999999999998</v>
      </c>
      <c r="N104" s="4">
        <v>29</v>
      </c>
      <c r="O104" s="4">
        <v>3700</v>
      </c>
      <c r="P104" s="4">
        <v>9.01</v>
      </c>
      <c r="Q104" s="4">
        <v>89.1</v>
      </c>
      <c r="R104" s="4">
        <v>49.3</v>
      </c>
      <c r="S104" s="4">
        <v>51</v>
      </c>
      <c r="T104" s="4">
        <v>31.9</v>
      </c>
      <c r="U104" s="4">
        <v>34.5</v>
      </c>
      <c r="V104" s="4">
        <v>35.200000000000003</v>
      </c>
      <c r="W104" s="4">
        <v>35.9</v>
      </c>
      <c r="X104" s="4">
        <v>37.299999999999997</v>
      </c>
      <c r="Y104" s="4">
        <v>38.799999999999997</v>
      </c>
      <c r="Z104" s="4">
        <v>47</v>
      </c>
      <c r="AA104" s="4">
        <v>77.7</v>
      </c>
      <c r="AB104" s="4">
        <v>0.107</v>
      </c>
      <c r="AC104" s="4">
        <v>0.96399999999999997</v>
      </c>
      <c r="AD104" s="4" t="s">
        <v>128</v>
      </c>
      <c r="AE104" s="4">
        <v>19.5</v>
      </c>
    </row>
    <row r="105" spans="1:31">
      <c r="A105" s="4" t="s">
        <v>76</v>
      </c>
      <c r="B105" s="5" t="s">
        <v>129</v>
      </c>
      <c r="C105" s="4" t="s">
        <v>76</v>
      </c>
      <c r="D105" s="4">
        <v>12</v>
      </c>
      <c r="E105" s="4">
        <v>2</v>
      </c>
      <c r="F105" s="4">
        <v>127</v>
      </c>
      <c r="G105" s="4">
        <v>88.9</v>
      </c>
      <c r="H105" s="4">
        <v>19.100000000000001</v>
      </c>
      <c r="I105" s="4">
        <v>19</v>
      </c>
      <c r="J105" s="4">
        <v>4.6500000000000004</v>
      </c>
      <c r="K105" s="4">
        <v>6.65</v>
      </c>
      <c r="L105" s="4">
        <v>32</v>
      </c>
      <c r="M105" s="4">
        <v>0.46400000000000002</v>
      </c>
      <c r="N105" s="4">
        <v>59</v>
      </c>
      <c r="O105" s="4">
        <v>7520</v>
      </c>
      <c r="P105" s="4">
        <v>11.6</v>
      </c>
      <c r="Q105" s="4">
        <v>140</v>
      </c>
      <c r="R105" s="4">
        <v>39.299999999999997</v>
      </c>
      <c r="S105" s="4">
        <v>44.4</v>
      </c>
      <c r="T105" s="4">
        <v>35.5</v>
      </c>
      <c r="U105" s="4">
        <v>38.4</v>
      </c>
      <c r="V105" s="4">
        <v>39.200000000000003</v>
      </c>
      <c r="W105" s="4">
        <v>40</v>
      </c>
      <c r="X105" s="4">
        <v>41.5</v>
      </c>
      <c r="Y105" s="4">
        <v>43.2</v>
      </c>
      <c r="Z105" s="4">
        <v>34.799999999999997</v>
      </c>
      <c r="AA105" s="4">
        <v>914</v>
      </c>
      <c r="AB105" s="4">
        <v>0.82099999999999995</v>
      </c>
      <c r="AC105" s="4">
        <v>0.86399999999999999</v>
      </c>
      <c r="AD105" s="4" t="s">
        <v>130</v>
      </c>
      <c r="AE105" s="4">
        <v>39.700000000000003</v>
      </c>
    </row>
    <row r="106" spans="1:31">
      <c r="A106" s="4"/>
      <c r="B106" s="5" t="s">
        <v>131</v>
      </c>
      <c r="C106" s="4" t="s">
        <v>76</v>
      </c>
      <c r="D106" s="4">
        <v>12</v>
      </c>
      <c r="E106" s="4">
        <v>2</v>
      </c>
      <c r="F106" s="4">
        <v>127</v>
      </c>
      <c r="G106" s="4">
        <v>88.9</v>
      </c>
      <c r="H106" s="4">
        <v>15.9</v>
      </c>
      <c r="I106" s="4">
        <v>19.100000000000001</v>
      </c>
      <c r="J106" s="4">
        <v>5.59</v>
      </c>
      <c r="K106" s="4">
        <v>7.99</v>
      </c>
      <c r="L106" s="4">
        <v>28</v>
      </c>
      <c r="M106" s="4">
        <v>0.47199999999999998</v>
      </c>
      <c r="N106" s="4">
        <v>49.9</v>
      </c>
      <c r="O106" s="4">
        <v>6360</v>
      </c>
      <c r="P106" s="4">
        <v>10</v>
      </c>
      <c r="Q106" s="4">
        <v>120</v>
      </c>
      <c r="R106" s="4">
        <v>39.700000000000003</v>
      </c>
      <c r="S106" s="4">
        <v>43.2</v>
      </c>
      <c r="T106" s="4">
        <v>34.9</v>
      </c>
      <c r="U106" s="4">
        <v>37.799999999999997</v>
      </c>
      <c r="V106" s="4">
        <v>38.5</v>
      </c>
      <c r="W106" s="4">
        <v>39.299999999999997</v>
      </c>
      <c r="X106" s="4">
        <v>40.799999999999997</v>
      </c>
      <c r="Y106" s="4">
        <v>42.4</v>
      </c>
      <c r="Z106" s="4">
        <v>35.299999999999997</v>
      </c>
      <c r="AA106" s="4">
        <v>536</v>
      </c>
      <c r="AB106" s="4">
        <v>0.495</v>
      </c>
      <c r="AC106" s="4">
        <v>0.86399999999999999</v>
      </c>
      <c r="AD106" s="4" t="s">
        <v>132</v>
      </c>
      <c r="AE106" s="4">
        <v>33.6</v>
      </c>
    </row>
    <row r="107" spans="1:31">
      <c r="A107" s="4"/>
      <c r="B107" s="5" t="s">
        <v>133</v>
      </c>
      <c r="C107" s="4"/>
      <c r="D107" s="4">
        <v>12</v>
      </c>
      <c r="E107" s="4">
        <v>1</v>
      </c>
      <c r="F107" s="4">
        <v>127</v>
      </c>
      <c r="G107" s="4">
        <v>88.9</v>
      </c>
      <c r="H107" s="4">
        <v>12.7</v>
      </c>
      <c r="I107" s="4">
        <v>19.2</v>
      </c>
      <c r="J107" s="4">
        <v>7</v>
      </c>
      <c r="K107" s="4">
        <v>10</v>
      </c>
      <c r="L107" s="4">
        <v>24</v>
      </c>
      <c r="M107" s="4">
        <v>0.47899999999999998</v>
      </c>
      <c r="N107" s="4">
        <v>40.5</v>
      </c>
      <c r="O107" s="4">
        <v>5160</v>
      </c>
      <c r="P107" s="4">
        <v>8.31</v>
      </c>
      <c r="Q107" s="4">
        <v>97.9</v>
      </c>
      <c r="R107" s="4">
        <v>40.1</v>
      </c>
      <c r="S107" s="4">
        <v>42.1</v>
      </c>
      <c r="T107" s="4">
        <v>34.4</v>
      </c>
      <c r="U107" s="4">
        <v>37.200000000000003</v>
      </c>
      <c r="V107" s="4">
        <v>37.9</v>
      </c>
      <c r="W107" s="4">
        <v>38.700000000000003</v>
      </c>
      <c r="X107" s="4">
        <v>40.200000000000003</v>
      </c>
      <c r="Y107" s="4">
        <v>41.8</v>
      </c>
      <c r="Z107" s="4">
        <v>35.700000000000003</v>
      </c>
      <c r="AA107" s="4">
        <v>277</v>
      </c>
      <c r="AB107" s="4">
        <v>0.26400000000000001</v>
      </c>
      <c r="AC107" s="4">
        <v>0.86399999999999999</v>
      </c>
      <c r="AD107" s="4" t="s">
        <v>134</v>
      </c>
      <c r="AE107" s="4">
        <v>27.2</v>
      </c>
    </row>
    <row r="108" spans="1:31">
      <c r="A108" s="4"/>
      <c r="B108" s="5" t="s">
        <v>135</v>
      </c>
      <c r="C108" s="4"/>
      <c r="D108" s="4">
        <v>12</v>
      </c>
      <c r="E108" s="4">
        <v>1</v>
      </c>
      <c r="F108" s="4">
        <v>127</v>
      </c>
      <c r="G108" s="4">
        <v>88.9</v>
      </c>
      <c r="H108" s="4">
        <v>9.5299999999999994</v>
      </c>
      <c r="I108" s="4">
        <v>19.3</v>
      </c>
      <c r="J108" s="4">
        <v>9.33</v>
      </c>
      <c r="K108" s="4">
        <v>13.3</v>
      </c>
      <c r="L108" s="4">
        <v>22</v>
      </c>
      <c r="M108" s="4">
        <v>0.48599999999999999</v>
      </c>
      <c r="N108" s="4">
        <v>30.9</v>
      </c>
      <c r="O108" s="4">
        <v>3930</v>
      </c>
      <c r="P108" s="4">
        <v>6.48</v>
      </c>
      <c r="Q108" s="4">
        <v>75.2</v>
      </c>
      <c r="R108" s="4">
        <v>40.6</v>
      </c>
      <c r="S108" s="4">
        <v>40.9</v>
      </c>
      <c r="T108" s="4">
        <v>33.9</v>
      </c>
      <c r="U108" s="4">
        <v>36.6</v>
      </c>
      <c r="V108" s="4">
        <v>37.4</v>
      </c>
      <c r="W108" s="4">
        <v>38.1</v>
      </c>
      <c r="X108" s="4">
        <v>39.6</v>
      </c>
      <c r="Y108" s="4">
        <v>41.1</v>
      </c>
      <c r="Z108" s="4">
        <v>36.1</v>
      </c>
      <c r="AA108" s="4">
        <v>119</v>
      </c>
      <c r="AB108" s="4">
        <v>0.11600000000000001</v>
      </c>
      <c r="AC108" s="4">
        <v>0.86399999999999999</v>
      </c>
      <c r="AD108" s="4" t="s">
        <v>136</v>
      </c>
      <c r="AE108" s="4">
        <v>20.7</v>
      </c>
    </row>
    <row r="109" spans="1:31">
      <c r="A109" s="4"/>
      <c r="B109" s="5" t="s">
        <v>137</v>
      </c>
      <c r="C109" s="4"/>
      <c r="D109" s="4">
        <v>12</v>
      </c>
      <c r="E109" s="4">
        <v>1</v>
      </c>
      <c r="F109" s="4">
        <v>127</v>
      </c>
      <c r="G109" s="4">
        <v>88.9</v>
      </c>
      <c r="H109" s="4">
        <v>7.94</v>
      </c>
      <c r="I109" s="4">
        <v>19.399999999999999</v>
      </c>
      <c r="J109" s="4">
        <v>11.2</v>
      </c>
      <c r="K109" s="4">
        <v>16</v>
      </c>
      <c r="L109" s="4">
        <v>20</v>
      </c>
      <c r="M109" s="4">
        <v>0.48899999999999999</v>
      </c>
      <c r="N109" s="4">
        <v>25.9</v>
      </c>
      <c r="O109" s="4">
        <v>3300</v>
      </c>
      <c r="P109" s="4">
        <v>5.5</v>
      </c>
      <c r="Q109" s="4">
        <v>63.5</v>
      </c>
      <c r="R109" s="4">
        <v>40.799999999999997</v>
      </c>
      <c r="S109" s="4">
        <v>40.299999999999997</v>
      </c>
      <c r="T109" s="4">
        <v>33.700000000000003</v>
      </c>
      <c r="U109" s="4">
        <v>36.4</v>
      </c>
      <c r="V109" s="4">
        <v>37.1</v>
      </c>
      <c r="W109" s="4">
        <v>37.799999999999997</v>
      </c>
      <c r="X109" s="4">
        <v>39.299999999999997</v>
      </c>
      <c r="Y109" s="4">
        <v>40.799999999999997</v>
      </c>
      <c r="Z109" s="4">
        <v>36.4</v>
      </c>
      <c r="AA109" s="4">
        <v>69.400000000000006</v>
      </c>
      <c r="AB109" s="4">
        <v>6.88E-2</v>
      </c>
      <c r="AC109" s="4">
        <v>0.86399999999999999</v>
      </c>
      <c r="AD109" s="4" t="s">
        <v>138</v>
      </c>
      <c r="AE109" s="4">
        <v>17.399999999999999</v>
      </c>
    </row>
    <row r="110" spans="1:31">
      <c r="A110" s="4"/>
      <c r="B110" s="5" t="s">
        <v>139</v>
      </c>
      <c r="C110" s="4"/>
      <c r="D110" s="4">
        <v>12</v>
      </c>
      <c r="E110" s="4">
        <v>1</v>
      </c>
      <c r="F110" s="4">
        <v>127</v>
      </c>
      <c r="G110" s="4">
        <v>88.9</v>
      </c>
      <c r="H110" s="4">
        <v>6.35</v>
      </c>
      <c r="I110" s="4">
        <v>19.600000000000001</v>
      </c>
      <c r="J110" s="4">
        <v>14</v>
      </c>
      <c r="K110" s="4">
        <v>20</v>
      </c>
      <c r="L110" s="4">
        <v>18</v>
      </c>
      <c r="M110" s="4">
        <v>0.49199999999999999</v>
      </c>
      <c r="N110" s="4">
        <v>20.9</v>
      </c>
      <c r="O110" s="4">
        <v>2660</v>
      </c>
      <c r="P110" s="4">
        <v>4.4800000000000004</v>
      </c>
      <c r="Q110" s="4">
        <v>51.4</v>
      </c>
      <c r="R110" s="4">
        <v>41</v>
      </c>
      <c r="S110" s="4">
        <v>39.700000000000003</v>
      </c>
      <c r="T110" s="4">
        <v>33.5</v>
      </c>
      <c r="U110" s="4">
        <v>36.200000000000003</v>
      </c>
      <c r="V110" s="4">
        <v>36.799999999999997</v>
      </c>
      <c r="W110" s="4">
        <v>37.5</v>
      </c>
      <c r="X110" s="4">
        <v>39</v>
      </c>
      <c r="Y110" s="4">
        <v>40.5</v>
      </c>
      <c r="Z110" s="4">
        <v>36.6</v>
      </c>
      <c r="AA110" s="4">
        <v>35.799999999999997</v>
      </c>
      <c r="AB110" s="4">
        <v>3.5999999999999997E-2</v>
      </c>
      <c r="AC110" s="4">
        <v>0.86399999999999999</v>
      </c>
      <c r="AD110" s="4" t="s">
        <v>140</v>
      </c>
      <c r="AE110" s="4">
        <v>14</v>
      </c>
    </row>
    <row r="111" spans="1:31">
      <c r="A111" s="4" t="s">
        <v>76</v>
      </c>
      <c r="B111" s="5" t="s">
        <v>141</v>
      </c>
      <c r="C111" s="4"/>
      <c r="D111" s="4">
        <v>12</v>
      </c>
      <c r="E111" s="4">
        <v>1</v>
      </c>
      <c r="F111" s="4">
        <v>127</v>
      </c>
      <c r="G111" s="4">
        <v>76.2</v>
      </c>
      <c r="H111" s="4">
        <v>12.7</v>
      </c>
      <c r="I111" s="4">
        <v>16.5</v>
      </c>
      <c r="J111" s="4">
        <v>6</v>
      </c>
      <c r="K111" s="4">
        <v>10</v>
      </c>
      <c r="L111" s="4">
        <v>24</v>
      </c>
      <c r="M111" s="4">
        <v>0.35699999999999998</v>
      </c>
      <c r="N111" s="4">
        <v>38</v>
      </c>
      <c r="O111" s="4">
        <v>4840</v>
      </c>
      <c r="P111" s="4">
        <v>7.87</v>
      </c>
      <c r="Q111" s="4">
        <v>95.3</v>
      </c>
      <c r="R111" s="4">
        <v>40.299999999999997</v>
      </c>
      <c r="S111" s="4">
        <v>44.5</v>
      </c>
      <c r="T111" s="4">
        <v>28.4</v>
      </c>
      <c r="U111" s="4">
        <v>31.2</v>
      </c>
      <c r="V111" s="4">
        <v>32</v>
      </c>
      <c r="W111" s="4">
        <v>32.700000000000003</v>
      </c>
      <c r="X111" s="4">
        <v>34.299999999999997</v>
      </c>
      <c r="Y111" s="4">
        <v>35.9</v>
      </c>
      <c r="Z111" s="4">
        <v>38.1</v>
      </c>
      <c r="AA111" s="4">
        <v>260</v>
      </c>
      <c r="AB111" s="4">
        <v>0.23899999999999999</v>
      </c>
      <c r="AC111" s="4">
        <v>0.81300000000000006</v>
      </c>
      <c r="AD111" s="4" t="s">
        <v>142</v>
      </c>
      <c r="AE111" s="4">
        <v>25.5</v>
      </c>
    </row>
    <row r="112" spans="1:31">
      <c r="A112" s="4"/>
      <c r="B112" s="5" t="s">
        <v>143</v>
      </c>
      <c r="C112" s="4" t="s">
        <v>76</v>
      </c>
      <c r="D112" s="4">
        <v>12</v>
      </c>
      <c r="E112" s="4">
        <v>1</v>
      </c>
      <c r="F112" s="4">
        <v>127</v>
      </c>
      <c r="G112" s="4">
        <v>76.2</v>
      </c>
      <c r="H112" s="4">
        <v>11.1</v>
      </c>
      <c r="I112" s="4">
        <v>16.5</v>
      </c>
      <c r="J112" s="4">
        <v>6.86</v>
      </c>
      <c r="K112" s="4">
        <v>11.4</v>
      </c>
      <c r="L112" s="4">
        <v>24</v>
      </c>
      <c r="M112" s="4">
        <v>0.36099999999999999</v>
      </c>
      <c r="N112" s="4">
        <v>33.5</v>
      </c>
      <c r="O112" s="4">
        <v>4260</v>
      </c>
      <c r="P112" s="4">
        <v>7.01</v>
      </c>
      <c r="Q112" s="4">
        <v>84.4</v>
      </c>
      <c r="R112" s="4">
        <v>40.6</v>
      </c>
      <c r="S112" s="4">
        <v>43.9</v>
      </c>
      <c r="T112" s="4">
        <v>28.2</v>
      </c>
      <c r="U112" s="4">
        <v>30.9</v>
      </c>
      <c r="V112" s="4">
        <v>31.7</v>
      </c>
      <c r="W112" s="4">
        <v>32.4</v>
      </c>
      <c r="X112" s="4">
        <v>33.9</v>
      </c>
      <c r="Y112" s="4">
        <v>35.5</v>
      </c>
      <c r="Z112" s="4">
        <v>38.299999999999997</v>
      </c>
      <c r="AA112" s="4">
        <v>175</v>
      </c>
      <c r="AB112" s="4">
        <v>0.16300000000000001</v>
      </c>
      <c r="AC112" s="4">
        <v>0.81300000000000006</v>
      </c>
      <c r="AD112" s="4" t="s">
        <v>144</v>
      </c>
      <c r="AE112" s="4">
        <v>22.5</v>
      </c>
    </row>
    <row r="113" spans="1:31">
      <c r="A113" s="4"/>
      <c r="B113" s="5" t="s">
        <v>145</v>
      </c>
      <c r="C113" s="4"/>
      <c r="D113" s="4">
        <v>12</v>
      </c>
      <c r="E113" s="4">
        <v>1</v>
      </c>
      <c r="F113" s="4">
        <v>127</v>
      </c>
      <c r="G113" s="4">
        <v>76.2</v>
      </c>
      <c r="H113" s="4">
        <v>9.5299999999999994</v>
      </c>
      <c r="I113" s="4">
        <v>16.600000000000001</v>
      </c>
      <c r="J113" s="4">
        <v>8</v>
      </c>
      <c r="K113" s="4">
        <v>13.3</v>
      </c>
      <c r="L113" s="4">
        <v>22</v>
      </c>
      <c r="M113" s="4">
        <v>0.36399999999999999</v>
      </c>
      <c r="N113" s="4">
        <v>29</v>
      </c>
      <c r="O113" s="4">
        <v>3690</v>
      </c>
      <c r="P113" s="4">
        <v>6.14</v>
      </c>
      <c r="Q113" s="4">
        <v>73.3</v>
      </c>
      <c r="R113" s="4">
        <v>40.799999999999997</v>
      </c>
      <c r="S113" s="4">
        <v>43.3</v>
      </c>
      <c r="T113" s="4">
        <v>27.9</v>
      </c>
      <c r="U113" s="4">
        <v>30.6</v>
      </c>
      <c r="V113" s="4">
        <v>31.4</v>
      </c>
      <c r="W113" s="4">
        <v>32.1</v>
      </c>
      <c r="X113" s="4">
        <v>33.6</v>
      </c>
      <c r="Y113" s="4">
        <v>35.200000000000003</v>
      </c>
      <c r="Z113" s="4">
        <v>38.5</v>
      </c>
      <c r="AA113" s="4">
        <v>112</v>
      </c>
      <c r="AB113" s="4">
        <v>0.105</v>
      </c>
      <c r="AC113" s="4">
        <v>0.81300000000000006</v>
      </c>
      <c r="AD113" s="4" t="s">
        <v>146</v>
      </c>
      <c r="AE113" s="4">
        <v>19.5</v>
      </c>
    </row>
    <row r="114" spans="1:31">
      <c r="A114" s="4"/>
      <c r="B114" s="5" t="s">
        <v>147</v>
      </c>
      <c r="C114" s="4"/>
      <c r="D114" s="4">
        <v>12</v>
      </c>
      <c r="E114" s="4">
        <v>1</v>
      </c>
      <c r="F114" s="4">
        <v>127</v>
      </c>
      <c r="G114" s="4">
        <v>76.2</v>
      </c>
      <c r="H114" s="4">
        <v>7.94</v>
      </c>
      <c r="I114" s="4">
        <v>16.7</v>
      </c>
      <c r="J114" s="4">
        <v>9.6</v>
      </c>
      <c r="K114" s="4">
        <v>16</v>
      </c>
      <c r="L114" s="4">
        <v>20</v>
      </c>
      <c r="M114" s="4">
        <v>0.36799999999999999</v>
      </c>
      <c r="N114" s="4">
        <v>24.3</v>
      </c>
      <c r="O114" s="4">
        <v>3100</v>
      </c>
      <c r="P114" s="4">
        <v>5.21</v>
      </c>
      <c r="Q114" s="4">
        <v>61.9</v>
      </c>
      <c r="R114" s="4">
        <v>41</v>
      </c>
      <c r="S114" s="4">
        <v>42.7</v>
      </c>
      <c r="T114" s="4">
        <v>27.7</v>
      </c>
      <c r="U114" s="4">
        <v>30.4</v>
      </c>
      <c r="V114" s="4">
        <v>31.1</v>
      </c>
      <c r="W114" s="4">
        <v>31.8</v>
      </c>
      <c r="X114" s="4">
        <v>33.299999999999997</v>
      </c>
      <c r="Y114" s="4">
        <v>34.799999999999997</v>
      </c>
      <c r="Z114" s="4">
        <v>38.700000000000003</v>
      </c>
      <c r="AA114" s="4">
        <v>65.2</v>
      </c>
      <c r="AB114" s="4">
        <v>6.2300000000000001E-2</v>
      </c>
      <c r="AC114" s="4">
        <v>0.81300000000000006</v>
      </c>
      <c r="AD114" s="4" t="s">
        <v>148</v>
      </c>
      <c r="AE114" s="4">
        <v>16.399999999999999</v>
      </c>
    </row>
    <row r="115" spans="1:31">
      <c r="A115" s="4"/>
      <c r="B115" s="5" t="s">
        <v>149</v>
      </c>
      <c r="C115" s="4"/>
      <c r="D115" s="4">
        <v>12</v>
      </c>
      <c r="E115" s="4">
        <v>1</v>
      </c>
      <c r="F115" s="4">
        <v>127</v>
      </c>
      <c r="G115" s="4">
        <v>76.2</v>
      </c>
      <c r="H115" s="4">
        <v>6.35</v>
      </c>
      <c r="I115" s="4">
        <v>16.8</v>
      </c>
      <c r="J115" s="4">
        <v>12</v>
      </c>
      <c r="K115" s="4">
        <v>20</v>
      </c>
      <c r="L115" s="4">
        <v>18</v>
      </c>
      <c r="M115" s="4">
        <v>0.371</v>
      </c>
      <c r="N115" s="4">
        <v>19.600000000000001</v>
      </c>
      <c r="O115" s="4">
        <v>2500</v>
      </c>
      <c r="P115" s="4">
        <v>4.25</v>
      </c>
      <c r="Q115" s="4">
        <v>50.1</v>
      </c>
      <c r="R115" s="4">
        <v>41.2</v>
      </c>
      <c r="S115" s="4">
        <v>42.1</v>
      </c>
      <c r="T115" s="4">
        <v>27.5</v>
      </c>
      <c r="U115" s="4">
        <v>30.1</v>
      </c>
      <c r="V115" s="4">
        <v>30.8</v>
      </c>
      <c r="W115" s="4">
        <v>31.5</v>
      </c>
      <c r="X115" s="4">
        <v>33</v>
      </c>
      <c r="Y115" s="4">
        <v>34.5</v>
      </c>
      <c r="Z115" s="4">
        <v>38.9</v>
      </c>
      <c r="AA115" s="4">
        <v>33.6</v>
      </c>
      <c r="AB115" s="4">
        <v>3.2500000000000001E-2</v>
      </c>
      <c r="AC115" s="4">
        <v>0.81300000000000006</v>
      </c>
      <c r="AD115" s="4" t="s">
        <v>150</v>
      </c>
      <c r="AE115" s="4">
        <v>13.2</v>
      </c>
    </row>
    <row r="116" spans="1:31">
      <c r="A116" s="4" t="s">
        <v>76</v>
      </c>
      <c r="B116" s="5" t="s">
        <v>151</v>
      </c>
      <c r="C116" s="4"/>
      <c r="D116" s="4">
        <v>12</v>
      </c>
      <c r="E116" s="4">
        <v>1</v>
      </c>
      <c r="F116" s="4">
        <v>102</v>
      </c>
      <c r="G116" s="4">
        <v>88.9</v>
      </c>
      <c r="H116" s="4">
        <v>12.7</v>
      </c>
      <c r="I116" s="4">
        <v>18.399999999999999</v>
      </c>
      <c r="J116" s="4">
        <v>7</v>
      </c>
      <c r="K116" s="4">
        <v>8.0299999999999994</v>
      </c>
      <c r="L116" s="4">
        <v>24</v>
      </c>
      <c r="M116" s="4">
        <v>0.74399999999999999</v>
      </c>
      <c r="N116" s="4">
        <v>35.5</v>
      </c>
      <c r="O116" s="4">
        <v>4530</v>
      </c>
      <c r="P116" s="4">
        <v>4.4800000000000004</v>
      </c>
      <c r="Q116" s="4">
        <v>63.9</v>
      </c>
      <c r="R116" s="4">
        <v>31.5</v>
      </c>
      <c r="S116" s="4">
        <v>31.9</v>
      </c>
      <c r="T116" s="4">
        <v>36.6</v>
      </c>
      <c r="U116" s="4">
        <v>39.5</v>
      </c>
      <c r="V116" s="4">
        <v>40.200000000000003</v>
      </c>
      <c r="W116" s="4">
        <v>41</v>
      </c>
      <c r="X116" s="4">
        <v>42.6</v>
      </c>
      <c r="Y116" s="4">
        <v>44.1</v>
      </c>
      <c r="Z116" s="4">
        <v>25.6</v>
      </c>
      <c r="AA116" s="4">
        <v>243</v>
      </c>
      <c r="AB116" s="4">
        <v>0.16400000000000001</v>
      </c>
      <c r="AC116" s="4">
        <v>0.76400000000000001</v>
      </c>
      <c r="AD116" s="4" t="s">
        <v>152</v>
      </c>
      <c r="AE116" s="4">
        <v>23.9</v>
      </c>
    </row>
    <row r="117" spans="1:31">
      <c r="A117" s="4"/>
      <c r="B117" s="5" t="s">
        <v>153</v>
      </c>
      <c r="C117" s="4" t="s">
        <v>76</v>
      </c>
      <c r="D117" s="4">
        <v>12</v>
      </c>
      <c r="E117" s="4">
        <v>1</v>
      </c>
      <c r="F117" s="4">
        <v>102</v>
      </c>
      <c r="G117" s="4">
        <v>88.9</v>
      </c>
      <c r="H117" s="4">
        <v>11.1</v>
      </c>
      <c r="I117" s="4">
        <v>18.399999999999999</v>
      </c>
      <c r="J117" s="4">
        <v>8.01</v>
      </c>
      <c r="K117" s="4">
        <v>9.19</v>
      </c>
      <c r="L117" s="4">
        <v>22</v>
      </c>
      <c r="M117" s="4">
        <v>0.746</v>
      </c>
      <c r="N117" s="4">
        <v>31.3</v>
      </c>
      <c r="O117" s="4">
        <v>3990</v>
      </c>
      <c r="P117" s="4">
        <v>4</v>
      </c>
      <c r="Q117" s="4">
        <v>56.7</v>
      </c>
      <c r="R117" s="4">
        <v>31.7</v>
      </c>
      <c r="S117" s="4">
        <v>31.3</v>
      </c>
      <c r="T117" s="4">
        <v>36.4</v>
      </c>
      <c r="U117" s="4">
        <v>39.200000000000003</v>
      </c>
      <c r="V117" s="4">
        <v>40</v>
      </c>
      <c r="W117" s="4">
        <v>40.700000000000003</v>
      </c>
      <c r="X117" s="4">
        <v>42.2</v>
      </c>
      <c r="Y117" s="4">
        <v>43.8</v>
      </c>
      <c r="Z117" s="4">
        <v>25.8</v>
      </c>
      <c r="AA117" s="4">
        <v>164</v>
      </c>
      <c r="AB117" s="4">
        <v>0.112</v>
      </c>
      <c r="AC117" s="4">
        <v>0.76400000000000001</v>
      </c>
      <c r="AD117" s="4" t="s">
        <v>154</v>
      </c>
      <c r="AE117" s="4">
        <v>21.1</v>
      </c>
    </row>
    <row r="118" spans="1:31">
      <c r="A118" s="4"/>
      <c r="B118" s="5" t="s">
        <v>155</v>
      </c>
      <c r="C118" s="4"/>
      <c r="D118" s="4">
        <v>12</v>
      </c>
      <c r="E118" s="4">
        <v>1</v>
      </c>
      <c r="F118" s="4">
        <v>102</v>
      </c>
      <c r="G118" s="4">
        <v>88.9</v>
      </c>
      <c r="H118" s="4">
        <v>9.5299999999999994</v>
      </c>
      <c r="I118" s="4">
        <v>18.5</v>
      </c>
      <c r="J118" s="4">
        <v>9.33</v>
      </c>
      <c r="K118" s="4">
        <v>10.7</v>
      </c>
      <c r="L118" s="4">
        <v>20</v>
      </c>
      <c r="M118" s="4">
        <v>0.749</v>
      </c>
      <c r="N118" s="4">
        <v>27.1</v>
      </c>
      <c r="O118" s="4">
        <v>3460</v>
      </c>
      <c r="P118" s="4">
        <v>3.52</v>
      </c>
      <c r="Q118" s="4">
        <v>49.4</v>
      </c>
      <c r="R118" s="4">
        <v>31.9</v>
      </c>
      <c r="S118" s="4">
        <v>30.8</v>
      </c>
      <c r="T118" s="4">
        <v>36.1</v>
      </c>
      <c r="U118" s="4">
        <v>38.9</v>
      </c>
      <c r="V118" s="4">
        <v>39.700000000000003</v>
      </c>
      <c r="W118" s="4">
        <v>40.4</v>
      </c>
      <c r="X118" s="4">
        <v>41.9</v>
      </c>
      <c r="Y118" s="4">
        <v>43.5</v>
      </c>
      <c r="Z118" s="4">
        <v>26</v>
      </c>
      <c r="AA118" s="4">
        <v>105</v>
      </c>
      <c r="AB118" s="4">
        <v>7.2800000000000004E-2</v>
      </c>
      <c r="AC118" s="4">
        <v>0.76400000000000001</v>
      </c>
      <c r="AD118" s="4" t="s">
        <v>156</v>
      </c>
      <c r="AE118" s="4">
        <v>18.2</v>
      </c>
    </row>
    <row r="119" spans="1:31">
      <c r="A119" s="4"/>
      <c r="B119" s="5" t="s">
        <v>157</v>
      </c>
      <c r="C119" s="4"/>
      <c r="D119" s="4">
        <v>12</v>
      </c>
      <c r="E119" s="4">
        <v>1</v>
      </c>
      <c r="F119" s="4">
        <v>102</v>
      </c>
      <c r="G119" s="4">
        <v>88.9</v>
      </c>
      <c r="H119" s="4">
        <v>7.94</v>
      </c>
      <c r="I119" s="4">
        <v>18.600000000000001</v>
      </c>
      <c r="J119" s="4">
        <v>11.2</v>
      </c>
      <c r="K119" s="4">
        <v>12.8</v>
      </c>
      <c r="L119" s="4">
        <v>18</v>
      </c>
      <c r="M119" s="4">
        <v>0.751</v>
      </c>
      <c r="N119" s="4">
        <v>22.8</v>
      </c>
      <c r="O119" s="4">
        <v>2910</v>
      </c>
      <c r="P119" s="4">
        <v>3</v>
      </c>
      <c r="Q119" s="4">
        <v>41.7</v>
      </c>
      <c r="R119" s="4">
        <v>32.1</v>
      </c>
      <c r="S119" s="4">
        <v>30.2</v>
      </c>
      <c r="T119" s="4">
        <v>35.9</v>
      </c>
      <c r="U119" s="4">
        <v>38.700000000000003</v>
      </c>
      <c r="V119" s="4">
        <v>39.4</v>
      </c>
      <c r="W119" s="4">
        <v>40.1</v>
      </c>
      <c r="X119" s="4">
        <v>41.6</v>
      </c>
      <c r="Y119" s="4">
        <v>43.2</v>
      </c>
      <c r="Z119" s="4">
        <v>26.2</v>
      </c>
      <c r="AA119" s="4">
        <v>61.1</v>
      </c>
      <c r="AB119" s="4">
        <v>4.3200000000000002E-2</v>
      </c>
      <c r="AC119" s="4">
        <v>0.76400000000000001</v>
      </c>
      <c r="AD119" s="4" t="s">
        <v>158</v>
      </c>
      <c r="AE119" s="4">
        <v>15.3</v>
      </c>
    </row>
    <row r="120" spans="1:31">
      <c r="A120" s="4"/>
      <c r="B120" s="5" t="s">
        <v>159</v>
      </c>
      <c r="C120" s="4"/>
      <c r="D120" s="4">
        <v>12</v>
      </c>
      <c r="E120" s="4">
        <v>1</v>
      </c>
      <c r="F120" s="4">
        <v>102</v>
      </c>
      <c r="G120" s="4">
        <v>88.9</v>
      </c>
      <c r="H120" s="4">
        <v>6.35</v>
      </c>
      <c r="I120" s="4">
        <v>18.7</v>
      </c>
      <c r="J120" s="4">
        <v>14</v>
      </c>
      <c r="K120" s="4">
        <v>16.100000000000001</v>
      </c>
      <c r="L120" s="4">
        <v>18</v>
      </c>
      <c r="M120" s="4">
        <v>0.753</v>
      </c>
      <c r="N120" s="4">
        <v>18.399999999999999</v>
      </c>
      <c r="O120" s="4">
        <v>2340</v>
      </c>
      <c r="P120" s="4">
        <v>2.4500000000000002</v>
      </c>
      <c r="Q120" s="4">
        <v>33.9</v>
      </c>
      <c r="R120" s="4">
        <v>32.299999999999997</v>
      </c>
      <c r="S120" s="4">
        <v>29.6</v>
      </c>
      <c r="T120" s="4">
        <v>35.700000000000003</v>
      </c>
      <c r="U120" s="4">
        <v>38.4</v>
      </c>
      <c r="V120" s="4">
        <v>39.1</v>
      </c>
      <c r="W120" s="4">
        <v>39.9</v>
      </c>
      <c r="X120" s="4">
        <v>41.3</v>
      </c>
      <c r="Y120" s="4">
        <v>42.9</v>
      </c>
      <c r="Z120" s="4">
        <v>26.4</v>
      </c>
      <c r="AA120" s="4">
        <v>31.5</v>
      </c>
      <c r="AB120" s="4">
        <v>2.2700000000000001E-2</v>
      </c>
      <c r="AC120" s="4">
        <v>0.76400000000000001</v>
      </c>
      <c r="AD120" s="4" t="s">
        <v>160</v>
      </c>
      <c r="AE120" s="4">
        <v>12.4</v>
      </c>
    </row>
    <row r="121" spans="1:31">
      <c r="A121" s="4" t="s">
        <v>76</v>
      </c>
      <c r="B121" s="5" t="s">
        <v>161</v>
      </c>
      <c r="C121" s="4" t="s">
        <v>76</v>
      </c>
      <c r="D121" s="4">
        <v>12</v>
      </c>
      <c r="E121" s="4">
        <v>2</v>
      </c>
      <c r="F121" s="4">
        <v>102</v>
      </c>
      <c r="G121" s="4">
        <v>76.2</v>
      </c>
      <c r="H121" s="4">
        <v>15.9</v>
      </c>
      <c r="I121" s="4">
        <v>16.2</v>
      </c>
      <c r="J121" s="4">
        <v>4.79</v>
      </c>
      <c r="K121" s="4">
        <v>6.42</v>
      </c>
      <c r="L121" s="4">
        <v>26</v>
      </c>
      <c r="M121" s="4">
        <v>0.52900000000000003</v>
      </c>
      <c r="N121" s="4">
        <v>40.5</v>
      </c>
      <c r="O121" s="4">
        <v>5160</v>
      </c>
      <c r="P121" s="4">
        <v>5.09</v>
      </c>
      <c r="Q121" s="4">
        <v>75.900000000000006</v>
      </c>
      <c r="R121" s="4">
        <v>31.4</v>
      </c>
      <c r="S121" s="4">
        <v>35</v>
      </c>
      <c r="T121" s="4">
        <v>30.9</v>
      </c>
      <c r="U121" s="4">
        <v>33.9</v>
      </c>
      <c r="V121" s="4">
        <v>34.6</v>
      </c>
      <c r="W121" s="4">
        <v>35.4</v>
      </c>
      <c r="X121" s="4">
        <v>37</v>
      </c>
      <c r="Y121" s="4">
        <v>38.700000000000003</v>
      </c>
      <c r="Z121" s="4">
        <v>27.1</v>
      </c>
      <c r="AA121" s="4">
        <v>435</v>
      </c>
      <c r="AB121" s="4">
        <v>0.25700000000000001</v>
      </c>
      <c r="AC121" s="4">
        <v>0.71299999999999997</v>
      </c>
      <c r="AD121" s="4" t="s">
        <v>162</v>
      </c>
      <c r="AE121" s="4">
        <v>27.2</v>
      </c>
    </row>
    <row r="122" spans="1:31">
      <c r="A122" s="4"/>
      <c r="B122" s="5" t="s">
        <v>163</v>
      </c>
      <c r="C122" s="4"/>
      <c r="D122" s="4">
        <v>12</v>
      </c>
      <c r="E122" s="4">
        <v>1</v>
      </c>
      <c r="F122" s="4">
        <v>102</v>
      </c>
      <c r="G122" s="4">
        <v>76.2</v>
      </c>
      <c r="H122" s="4">
        <v>12.7</v>
      </c>
      <c r="I122" s="4">
        <v>16.2</v>
      </c>
      <c r="J122" s="4">
        <v>6</v>
      </c>
      <c r="K122" s="4">
        <v>8.0299999999999994</v>
      </c>
      <c r="L122" s="4">
        <v>24</v>
      </c>
      <c r="M122" s="4">
        <v>0.53800000000000003</v>
      </c>
      <c r="N122" s="4">
        <v>33</v>
      </c>
      <c r="O122" s="4">
        <v>4200</v>
      </c>
      <c r="P122" s="4">
        <v>4.25</v>
      </c>
      <c r="Q122" s="4">
        <v>62.4</v>
      </c>
      <c r="R122" s="4">
        <v>31.8</v>
      </c>
      <c r="S122" s="4">
        <v>33.9</v>
      </c>
      <c r="T122" s="4">
        <v>30.3</v>
      </c>
      <c r="U122" s="4">
        <v>33.200000000000003</v>
      </c>
      <c r="V122" s="4">
        <v>34</v>
      </c>
      <c r="W122" s="4">
        <v>34.799999999999997</v>
      </c>
      <c r="X122" s="4">
        <v>36.299999999999997</v>
      </c>
      <c r="Y122" s="4">
        <v>37.9</v>
      </c>
      <c r="Z122" s="4">
        <v>27.5</v>
      </c>
      <c r="AA122" s="4">
        <v>226</v>
      </c>
      <c r="AB122" s="4">
        <v>0.13800000000000001</v>
      </c>
      <c r="AC122" s="4">
        <v>0.71299999999999997</v>
      </c>
      <c r="AD122" s="4" t="s">
        <v>164</v>
      </c>
      <c r="AE122" s="4">
        <v>22.2</v>
      </c>
    </row>
    <row r="123" spans="1:31">
      <c r="A123" s="4"/>
      <c r="B123" s="5" t="s">
        <v>165</v>
      </c>
      <c r="C123" s="4" t="s">
        <v>76</v>
      </c>
      <c r="D123" s="4">
        <v>12</v>
      </c>
      <c r="E123" s="4">
        <v>1</v>
      </c>
      <c r="F123" s="4">
        <v>102</v>
      </c>
      <c r="G123" s="4">
        <v>76.2</v>
      </c>
      <c r="H123" s="4">
        <v>11.1</v>
      </c>
      <c r="I123" s="4">
        <v>16.3</v>
      </c>
      <c r="J123" s="4">
        <v>6.86</v>
      </c>
      <c r="K123" s="4">
        <v>9.19</v>
      </c>
      <c r="L123" s="4">
        <v>22</v>
      </c>
      <c r="M123" s="4">
        <v>0.54300000000000004</v>
      </c>
      <c r="N123" s="4">
        <v>29.1</v>
      </c>
      <c r="O123" s="4">
        <v>3710</v>
      </c>
      <c r="P123" s="4">
        <v>3.8</v>
      </c>
      <c r="Q123" s="4">
        <v>55.3</v>
      </c>
      <c r="R123" s="4">
        <v>32</v>
      </c>
      <c r="S123" s="4">
        <v>33.299999999999997</v>
      </c>
      <c r="T123" s="4">
        <v>30.1</v>
      </c>
      <c r="U123" s="4">
        <v>32.9</v>
      </c>
      <c r="V123" s="4">
        <v>33.700000000000003</v>
      </c>
      <c r="W123" s="4">
        <v>34.4</v>
      </c>
      <c r="X123" s="4">
        <v>36</v>
      </c>
      <c r="Y123" s="4">
        <v>37.6</v>
      </c>
      <c r="Z123" s="4">
        <v>27.7</v>
      </c>
      <c r="AA123" s="4">
        <v>152</v>
      </c>
      <c r="AB123" s="4">
        <v>9.5000000000000001E-2</v>
      </c>
      <c r="AC123" s="4">
        <v>0.71299999999999997</v>
      </c>
      <c r="AD123" s="4" t="s">
        <v>166</v>
      </c>
      <c r="AE123" s="4">
        <v>19.600000000000001</v>
      </c>
    </row>
    <row r="124" spans="1:31">
      <c r="A124" s="4"/>
      <c r="B124" s="5" t="s">
        <v>167</v>
      </c>
      <c r="C124" s="4"/>
      <c r="D124" s="4">
        <v>12</v>
      </c>
      <c r="E124" s="4">
        <v>1</v>
      </c>
      <c r="F124" s="4">
        <v>102</v>
      </c>
      <c r="G124" s="4">
        <v>76.2</v>
      </c>
      <c r="H124" s="4">
        <v>9.5299999999999994</v>
      </c>
      <c r="I124" s="4">
        <v>16.399999999999999</v>
      </c>
      <c r="J124" s="4">
        <v>8</v>
      </c>
      <c r="K124" s="4">
        <v>10.7</v>
      </c>
      <c r="L124" s="4">
        <v>20</v>
      </c>
      <c r="M124" s="4">
        <v>0.54700000000000004</v>
      </c>
      <c r="N124" s="4">
        <v>25.2</v>
      </c>
      <c r="O124" s="4">
        <v>3210</v>
      </c>
      <c r="P124" s="4">
        <v>3.34</v>
      </c>
      <c r="Q124" s="4">
        <v>48.2</v>
      </c>
      <c r="R124" s="4">
        <v>32.200000000000003</v>
      </c>
      <c r="S124" s="4">
        <v>32.700000000000003</v>
      </c>
      <c r="T124" s="4">
        <v>29.8</v>
      </c>
      <c r="U124" s="4">
        <v>32.6</v>
      </c>
      <c r="V124" s="4">
        <v>33.4</v>
      </c>
      <c r="W124" s="4">
        <v>34.1</v>
      </c>
      <c r="X124" s="4">
        <v>35.700000000000003</v>
      </c>
      <c r="Y124" s="4">
        <v>37.200000000000003</v>
      </c>
      <c r="Z124" s="4">
        <v>28</v>
      </c>
      <c r="AA124" s="4">
        <v>97.3</v>
      </c>
      <c r="AB124" s="4">
        <v>6.1699999999999998E-2</v>
      </c>
      <c r="AC124" s="4">
        <v>0.71299999999999997</v>
      </c>
      <c r="AD124" s="4" t="s">
        <v>168</v>
      </c>
      <c r="AE124" s="4">
        <v>17</v>
      </c>
    </row>
    <row r="125" spans="1:31">
      <c r="A125" s="4"/>
      <c r="B125" s="5" t="s">
        <v>169</v>
      </c>
      <c r="C125" s="4"/>
      <c r="D125" s="4">
        <v>12</v>
      </c>
      <c r="E125" s="4">
        <v>1</v>
      </c>
      <c r="F125" s="4">
        <v>102</v>
      </c>
      <c r="G125" s="4">
        <v>76.2</v>
      </c>
      <c r="H125" s="4">
        <v>7.94</v>
      </c>
      <c r="I125" s="4">
        <v>16.5</v>
      </c>
      <c r="J125" s="4">
        <v>9.6</v>
      </c>
      <c r="K125" s="4">
        <v>12.8</v>
      </c>
      <c r="L125" s="4">
        <v>18</v>
      </c>
      <c r="M125" s="4">
        <v>0.55000000000000004</v>
      </c>
      <c r="N125" s="4">
        <v>21.2</v>
      </c>
      <c r="O125" s="4">
        <v>2700</v>
      </c>
      <c r="P125" s="4">
        <v>2.85</v>
      </c>
      <c r="Q125" s="4">
        <v>40.700000000000003</v>
      </c>
      <c r="R125" s="4">
        <v>32.4</v>
      </c>
      <c r="S125" s="4">
        <v>32.1</v>
      </c>
      <c r="T125" s="4">
        <v>29.6</v>
      </c>
      <c r="U125" s="4">
        <v>32.4</v>
      </c>
      <c r="V125" s="4">
        <v>33.1</v>
      </c>
      <c r="W125" s="4">
        <v>33.799999999999997</v>
      </c>
      <c r="X125" s="4">
        <v>35.4</v>
      </c>
      <c r="Y125" s="4">
        <v>36.9</v>
      </c>
      <c r="Z125" s="4">
        <v>28.2</v>
      </c>
      <c r="AA125" s="4">
        <v>56.8</v>
      </c>
      <c r="AB125" s="4">
        <v>3.6700000000000003E-2</v>
      </c>
      <c r="AC125" s="4">
        <v>0.71299999999999997</v>
      </c>
      <c r="AD125" s="4" t="s">
        <v>170</v>
      </c>
      <c r="AE125" s="4">
        <v>14.3</v>
      </c>
    </row>
    <row r="126" spans="1:31">
      <c r="A126" s="4"/>
      <c r="B126" s="5" t="s">
        <v>171</v>
      </c>
      <c r="C126" s="4"/>
      <c r="D126" s="4">
        <v>12</v>
      </c>
      <c r="E126" s="4">
        <v>1</v>
      </c>
      <c r="F126" s="4">
        <v>102</v>
      </c>
      <c r="G126" s="4">
        <v>76.2</v>
      </c>
      <c r="H126" s="4">
        <v>6.35</v>
      </c>
      <c r="I126" s="4">
        <v>16.600000000000001</v>
      </c>
      <c r="J126" s="4">
        <v>12</v>
      </c>
      <c r="K126" s="4">
        <v>16.100000000000001</v>
      </c>
      <c r="L126" s="4">
        <v>18</v>
      </c>
      <c r="M126" s="4">
        <v>0.55400000000000005</v>
      </c>
      <c r="N126" s="4">
        <v>17.100000000000001</v>
      </c>
      <c r="O126" s="4">
        <v>2180</v>
      </c>
      <c r="P126" s="4">
        <v>2.33</v>
      </c>
      <c r="Q126" s="4">
        <v>33.1</v>
      </c>
      <c r="R126" s="4">
        <v>32.700000000000003</v>
      </c>
      <c r="S126" s="4">
        <v>31.6</v>
      </c>
      <c r="T126" s="4">
        <v>29.4</v>
      </c>
      <c r="U126" s="4">
        <v>32.1</v>
      </c>
      <c r="V126" s="4">
        <v>32.799999999999997</v>
      </c>
      <c r="W126" s="4">
        <v>33.6</v>
      </c>
      <c r="X126" s="4">
        <v>35</v>
      </c>
      <c r="Y126" s="4">
        <v>36.6</v>
      </c>
      <c r="Z126" s="4">
        <v>28.4</v>
      </c>
      <c r="AA126" s="4">
        <v>29.3</v>
      </c>
      <c r="AB126" s="4">
        <v>1.9300000000000001E-2</v>
      </c>
      <c r="AC126" s="4">
        <v>0.71299999999999997</v>
      </c>
      <c r="AD126" s="4" t="s">
        <v>172</v>
      </c>
      <c r="AE126" s="4">
        <v>11.5</v>
      </c>
    </row>
    <row r="127" spans="1:31">
      <c r="A127" s="4" t="s">
        <v>76</v>
      </c>
      <c r="B127" s="5" t="s">
        <v>173</v>
      </c>
      <c r="C127" s="4"/>
      <c r="D127" s="4">
        <v>12</v>
      </c>
      <c r="E127" s="4">
        <v>1</v>
      </c>
      <c r="F127" s="4">
        <v>88.9</v>
      </c>
      <c r="G127" s="4">
        <v>76.2</v>
      </c>
      <c r="H127" s="4">
        <v>12.7</v>
      </c>
      <c r="I127" s="4">
        <v>15.8</v>
      </c>
      <c r="J127" s="4">
        <v>6</v>
      </c>
      <c r="K127" s="4">
        <v>7</v>
      </c>
      <c r="L127" s="4">
        <v>24</v>
      </c>
      <c r="M127" s="4">
        <v>0.71399999999999997</v>
      </c>
      <c r="N127" s="4">
        <v>30.4</v>
      </c>
      <c r="O127" s="4">
        <v>3870</v>
      </c>
      <c r="P127" s="4">
        <v>2.87</v>
      </c>
      <c r="Q127" s="4">
        <v>47.7</v>
      </c>
      <c r="R127" s="4">
        <v>27.3</v>
      </c>
      <c r="S127" s="4">
        <v>28.6</v>
      </c>
      <c r="T127" s="4">
        <v>31.5</v>
      </c>
      <c r="U127" s="4">
        <v>34.5</v>
      </c>
      <c r="V127" s="4">
        <v>35.200000000000003</v>
      </c>
      <c r="W127" s="4">
        <v>36</v>
      </c>
      <c r="X127" s="4">
        <v>37.6</v>
      </c>
      <c r="Y127" s="4">
        <v>39.200000000000003</v>
      </c>
      <c r="Z127" s="4">
        <v>22.2</v>
      </c>
      <c r="AA127" s="4">
        <v>208</v>
      </c>
      <c r="AB127" s="4">
        <v>0.10299999999999999</v>
      </c>
      <c r="AC127" s="4">
        <v>0.66</v>
      </c>
      <c r="AD127" s="4" t="s">
        <v>174</v>
      </c>
      <c r="AE127" s="4">
        <v>20.399999999999999</v>
      </c>
    </row>
    <row r="128" spans="1:31">
      <c r="A128" s="4"/>
      <c r="B128" s="5" t="s">
        <v>175</v>
      </c>
      <c r="C128" s="4"/>
      <c r="D128" s="4">
        <v>12</v>
      </c>
      <c r="E128" s="4">
        <v>1</v>
      </c>
      <c r="F128" s="4">
        <v>88.9</v>
      </c>
      <c r="G128" s="4">
        <v>76.2</v>
      </c>
      <c r="H128" s="4">
        <v>9.5299999999999994</v>
      </c>
      <c r="I128" s="4">
        <v>15.9</v>
      </c>
      <c r="J128" s="4">
        <v>8</v>
      </c>
      <c r="K128" s="4">
        <v>9.33</v>
      </c>
      <c r="L128" s="4">
        <v>20</v>
      </c>
      <c r="M128" s="4">
        <v>0.72099999999999997</v>
      </c>
      <c r="N128" s="4">
        <v>23.3</v>
      </c>
      <c r="O128" s="4">
        <v>2970</v>
      </c>
      <c r="P128" s="4">
        <v>2.27</v>
      </c>
      <c r="Q128" s="4">
        <v>36.9</v>
      </c>
      <c r="R128" s="4">
        <v>27.7</v>
      </c>
      <c r="S128" s="4">
        <v>27.4</v>
      </c>
      <c r="T128" s="4">
        <v>31</v>
      </c>
      <c r="U128" s="4">
        <v>33.9</v>
      </c>
      <c r="V128" s="4">
        <v>34.6</v>
      </c>
      <c r="W128" s="4">
        <v>35.4</v>
      </c>
      <c r="X128" s="4">
        <v>36.9</v>
      </c>
      <c r="Y128" s="4">
        <v>38.5</v>
      </c>
      <c r="Z128" s="4">
        <v>22.7</v>
      </c>
      <c r="AA128" s="4">
        <v>89.8</v>
      </c>
      <c r="AB128" s="4">
        <v>4.6199999999999998E-2</v>
      </c>
      <c r="AC128" s="4">
        <v>0.66</v>
      </c>
      <c r="AD128" s="4" t="s">
        <v>176</v>
      </c>
      <c r="AE128" s="4">
        <v>15.6</v>
      </c>
    </row>
    <row r="129" spans="1:31">
      <c r="A129" s="4"/>
      <c r="B129" s="5" t="s">
        <v>177</v>
      </c>
      <c r="C129" s="4"/>
      <c r="D129" s="4">
        <v>12</v>
      </c>
      <c r="E129" s="4">
        <v>1</v>
      </c>
      <c r="F129" s="4">
        <v>88.9</v>
      </c>
      <c r="G129" s="4">
        <v>76.2</v>
      </c>
      <c r="H129" s="4">
        <v>7.94</v>
      </c>
      <c r="I129" s="4">
        <v>15.9</v>
      </c>
      <c r="J129" s="4">
        <v>9.6</v>
      </c>
      <c r="K129" s="4">
        <v>11.2</v>
      </c>
      <c r="L129" s="4">
        <v>18</v>
      </c>
      <c r="M129" s="4">
        <v>0.72399999999999998</v>
      </c>
      <c r="N129" s="4">
        <v>19.600000000000001</v>
      </c>
      <c r="O129" s="4">
        <v>2500</v>
      </c>
      <c r="P129" s="4">
        <v>1.94</v>
      </c>
      <c r="Q129" s="4">
        <v>31.3</v>
      </c>
      <c r="R129" s="4">
        <v>27.9</v>
      </c>
      <c r="S129" s="4">
        <v>26.9</v>
      </c>
      <c r="T129" s="4">
        <v>30.8</v>
      </c>
      <c r="U129" s="4">
        <v>33.6</v>
      </c>
      <c r="V129" s="4">
        <v>34.299999999999997</v>
      </c>
      <c r="W129" s="4">
        <v>35.1</v>
      </c>
      <c r="X129" s="4">
        <v>36.6</v>
      </c>
      <c r="Y129" s="4">
        <v>38.200000000000003</v>
      </c>
      <c r="Z129" s="4">
        <v>22.9</v>
      </c>
      <c r="AA129" s="4">
        <v>52.4</v>
      </c>
      <c r="AB129" s="4">
        <v>2.75E-2</v>
      </c>
      <c r="AC129" s="4">
        <v>0.66</v>
      </c>
      <c r="AD129" s="4" t="s">
        <v>178</v>
      </c>
      <c r="AE129" s="4">
        <v>13.2</v>
      </c>
    </row>
    <row r="130" spans="1:31">
      <c r="A130" s="4"/>
      <c r="B130" s="5" t="s">
        <v>179</v>
      </c>
      <c r="C130" s="4"/>
      <c r="D130" s="4">
        <v>12</v>
      </c>
      <c r="E130" s="4">
        <v>1</v>
      </c>
      <c r="F130" s="4">
        <v>88.9</v>
      </c>
      <c r="G130" s="4">
        <v>76.2</v>
      </c>
      <c r="H130" s="4">
        <v>6.35</v>
      </c>
      <c r="I130" s="4">
        <v>16</v>
      </c>
      <c r="J130" s="4">
        <v>12</v>
      </c>
      <c r="K130" s="4">
        <v>14</v>
      </c>
      <c r="L130" s="4">
        <v>18</v>
      </c>
      <c r="M130" s="4">
        <v>0.72699999999999998</v>
      </c>
      <c r="N130" s="4">
        <v>15.8</v>
      </c>
      <c r="O130" s="4">
        <v>2020</v>
      </c>
      <c r="P130" s="4">
        <v>1.59</v>
      </c>
      <c r="Q130" s="4">
        <v>25.4</v>
      </c>
      <c r="R130" s="4">
        <v>28.1</v>
      </c>
      <c r="S130" s="4">
        <v>26.3</v>
      </c>
      <c r="T130" s="4">
        <v>30.6</v>
      </c>
      <c r="U130" s="4">
        <v>33.299999999999997</v>
      </c>
      <c r="V130" s="4">
        <v>34.1</v>
      </c>
      <c r="W130" s="4">
        <v>34.799999999999997</v>
      </c>
      <c r="X130" s="4">
        <v>36.299999999999997</v>
      </c>
      <c r="Y130" s="4">
        <v>37.9</v>
      </c>
      <c r="Z130" s="4">
        <v>23.1</v>
      </c>
      <c r="AA130" s="4">
        <v>27.1</v>
      </c>
      <c r="AB130" s="4">
        <v>1.4500000000000001E-2</v>
      </c>
      <c r="AC130" s="4">
        <v>0.66</v>
      </c>
      <c r="AD130" s="4" t="s">
        <v>180</v>
      </c>
      <c r="AE130" s="4">
        <v>10.6</v>
      </c>
    </row>
    <row r="131" spans="1:31">
      <c r="A131" s="4" t="s">
        <v>76</v>
      </c>
      <c r="B131" s="5" t="s">
        <v>181</v>
      </c>
      <c r="C131" s="4"/>
      <c r="D131" s="4">
        <v>12</v>
      </c>
      <c r="E131" s="4">
        <v>1</v>
      </c>
      <c r="F131" s="4">
        <v>88.9</v>
      </c>
      <c r="G131" s="4">
        <v>63.5</v>
      </c>
      <c r="H131" s="4">
        <v>12.7</v>
      </c>
      <c r="I131" s="4">
        <v>13.6</v>
      </c>
      <c r="J131" s="4">
        <v>5</v>
      </c>
      <c r="K131" s="4">
        <v>7</v>
      </c>
      <c r="L131" s="4">
        <v>24</v>
      </c>
      <c r="M131" s="4">
        <v>0.48599999999999999</v>
      </c>
      <c r="N131" s="4">
        <v>27.9</v>
      </c>
      <c r="O131" s="4">
        <v>3550</v>
      </c>
      <c r="P131" s="4">
        <v>2.7</v>
      </c>
      <c r="Q131" s="4">
        <v>46.2</v>
      </c>
      <c r="R131" s="4">
        <v>27.6</v>
      </c>
      <c r="S131" s="4">
        <v>30.6</v>
      </c>
      <c r="T131" s="4">
        <v>25.3</v>
      </c>
      <c r="U131" s="4">
        <v>28.3</v>
      </c>
      <c r="V131" s="4">
        <v>29.1</v>
      </c>
      <c r="W131" s="4">
        <v>29.8</v>
      </c>
      <c r="X131" s="4">
        <v>31.5</v>
      </c>
      <c r="Y131" s="4">
        <v>33.1</v>
      </c>
      <c r="Z131" s="4">
        <v>24.2</v>
      </c>
      <c r="AA131" s="4">
        <v>191</v>
      </c>
      <c r="AB131" s="4">
        <v>8.5300000000000001E-2</v>
      </c>
      <c r="AC131" s="4">
        <v>0.61</v>
      </c>
      <c r="AD131" s="4" t="s">
        <v>182</v>
      </c>
      <c r="AE131" s="4">
        <v>18.7</v>
      </c>
    </row>
    <row r="132" spans="1:31">
      <c r="A132" s="4"/>
      <c r="B132" s="5" t="s">
        <v>183</v>
      </c>
      <c r="C132" s="4"/>
      <c r="D132" s="4">
        <v>12</v>
      </c>
      <c r="E132" s="4">
        <v>1</v>
      </c>
      <c r="F132" s="4">
        <v>88.9</v>
      </c>
      <c r="G132" s="4">
        <v>63.5</v>
      </c>
      <c r="H132" s="4">
        <v>9.5299999999999994</v>
      </c>
      <c r="I132" s="4">
        <v>13.6</v>
      </c>
      <c r="J132" s="4">
        <v>6.66</v>
      </c>
      <c r="K132" s="4">
        <v>9.33</v>
      </c>
      <c r="L132" s="4">
        <v>20</v>
      </c>
      <c r="M132" s="4">
        <v>0.496</v>
      </c>
      <c r="N132" s="4">
        <v>21.4</v>
      </c>
      <c r="O132" s="4">
        <v>2720</v>
      </c>
      <c r="P132" s="4">
        <v>2.13</v>
      </c>
      <c r="Q132" s="4">
        <v>35.9</v>
      </c>
      <c r="R132" s="4">
        <v>28</v>
      </c>
      <c r="S132" s="4">
        <v>29.5</v>
      </c>
      <c r="T132" s="4">
        <v>24.8</v>
      </c>
      <c r="U132" s="4">
        <v>27.6</v>
      </c>
      <c r="V132" s="4">
        <v>28.4</v>
      </c>
      <c r="W132" s="4">
        <v>29.2</v>
      </c>
      <c r="X132" s="4">
        <v>30.8</v>
      </c>
      <c r="Y132" s="4">
        <v>32.4</v>
      </c>
      <c r="Z132" s="4">
        <v>24.7</v>
      </c>
      <c r="AA132" s="4">
        <v>82.4</v>
      </c>
      <c r="AB132" s="4">
        <v>3.8399999999999997E-2</v>
      </c>
      <c r="AC132" s="4">
        <v>0.61</v>
      </c>
      <c r="AD132" s="4" t="s">
        <v>184</v>
      </c>
      <c r="AE132" s="4">
        <v>14.4</v>
      </c>
    </row>
    <row r="133" spans="1:31">
      <c r="A133" s="4"/>
      <c r="B133" s="5" t="s">
        <v>185</v>
      </c>
      <c r="C133" s="4"/>
      <c r="D133" s="4">
        <v>12</v>
      </c>
      <c r="E133" s="4">
        <v>1</v>
      </c>
      <c r="F133" s="4">
        <v>88.9</v>
      </c>
      <c r="G133" s="4">
        <v>63.5</v>
      </c>
      <c r="H133" s="4">
        <v>7.94</v>
      </c>
      <c r="I133" s="4">
        <v>13.7</v>
      </c>
      <c r="J133" s="4">
        <v>8</v>
      </c>
      <c r="K133" s="4">
        <v>11.2</v>
      </c>
      <c r="L133" s="4">
        <v>18</v>
      </c>
      <c r="M133" s="4">
        <v>0.501</v>
      </c>
      <c r="N133" s="4">
        <v>18</v>
      </c>
      <c r="O133" s="4">
        <v>2290</v>
      </c>
      <c r="P133" s="4">
        <v>1.82</v>
      </c>
      <c r="Q133" s="4">
        <v>30.4</v>
      </c>
      <c r="R133" s="4">
        <v>28.2</v>
      </c>
      <c r="S133" s="4">
        <v>28.9</v>
      </c>
      <c r="T133" s="4">
        <v>24.5</v>
      </c>
      <c r="U133" s="4">
        <v>27.4</v>
      </c>
      <c r="V133" s="4">
        <v>28.1</v>
      </c>
      <c r="W133" s="4">
        <v>28.9</v>
      </c>
      <c r="X133" s="4">
        <v>30.4</v>
      </c>
      <c r="Y133" s="4">
        <v>32</v>
      </c>
      <c r="Z133" s="4">
        <v>24.9</v>
      </c>
      <c r="AA133" s="4">
        <v>48.2</v>
      </c>
      <c r="AB133" s="4">
        <v>2.29E-2</v>
      </c>
      <c r="AC133" s="4">
        <v>0.61</v>
      </c>
      <c r="AD133" s="4" t="s">
        <v>186</v>
      </c>
      <c r="AE133" s="4">
        <v>12.1</v>
      </c>
    </row>
    <row r="134" spans="1:31">
      <c r="A134" s="4"/>
      <c r="B134" s="5" t="s">
        <v>187</v>
      </c>
      <c r="C134" s="4"/>
      <c r="D134" s="4">
        <v>12</v>
      </c>
      <c r="E134" s="4">
        <v>1</v>
      </c>
      <c r="F134" s="4">
        <v>88.9</v>
      </c>
      <c r="G134" s="4">
        <v>63.5</v>
      </c>
      <c r="H134" s="4">
        <v>6.35</v>
      </c>
      <c r="I134" s="4">
        <v>13.8</v>
      </c>
      <c r="J134" s="4">
        <v>10</v>
      </c>
      <c r="K134" s="4">
        <v>14</v>
      </c>
      <c r="L134" s="4">
        <v>18</v>
      </c>
      <c r="M134" s="4">
        <v>0.50600000000000001</v>
      </c>
      <c r="N134" s="4">
        <v>14.6</v>
      </c>
      <c r="O134" s="4">
        <v>1850</v>
      </c>
      <c r="P134" s="4">
        <v>1.5</v>
      </c>
      <c r="Q134" s="4">
        <v>24.7</v>
      </c>
      <c r="R134" s="4">
        <v>28.4</v>
      </c>
      <c r="S134" s="4">
        <v>28.3</v>
      </c>
      <c r="T134" s="4">
        <v>24.3</v>
      </c>
      <c r="U134" s="4">
        <v>27.1</v>
      </c>
      <c r="V134" s="4">
        <v>27.8</v>
      </c>
      <c r="W134" s="4">
        <v>28.6</v>
      </c>
      <c r="X134" s="4">
        <v>30.1</v>
      </c>
      <c r="Y134" s="4">
        <v>31.7</v>
      </c>
      <c r="Z134" s="4">
        <v>25.1</v>
      </c>
      <c r="AA134" s="4">
        <v>24.9</v>
      </c>
      <c r="AB134" s="4">
        <v>1.21E-2</v>
      </c>
      <c r="AC134" s="4">
        <v>0.61</v>
      </c>
      <c r="AD134" s="4" t="s">
        <v>188</v>
      </c>
      <c r="AE134" s="4">
        <v>9.7799999999999994</v>
      </c>
    </row>
    <row r="135" spans="1:31">
      <c r="A135" s="4" t="s">
        <v>76</v>
      </c>
      <c r="B135" s="5" t="s">
        <v>189</v>
      </c>
      <c r="C135" s="4" t="s">
        <v>76</v>
      </c>
      <c r="D135" s="4">
        <v>12</v>
      </c>
      <c r="E135" s="4">
        <v>1</v>
      </c>
      <c r="F135" s="4">
        <v>76.2</v>
      </c>
      <c r="G135" s="4">
        <v>63.5</v>
      </c>
      <c r="H135" s="4">
        <v>12.7</v>
      </c>
      <c r="I135" s="4">
        <v>13.2</v>
      </c>
      <c r="J135" s="4">
        <v>5</v>
      </c>
      <c r="K135" s="4">
        <v>6</v>
      </c>
      <c r="L135" s="4">
        <v>24</v>
      </c>
      <c r="M135" s="4">
        <v>0.66700000000000004</v>
      </c>
      <c r="N135" s="4">
        <v>25.3</v>
      </c>
      <c r="O135" s="4">
        <v>3230</v>
      </c>
      <c r="P135" s="4">
        <v>1.73</v>
      </c>
      <c r="Q135" s="4">
        <v>34.1</v>
      </c>
      <c r="R135" s="4">
        <v>23.2</v>
      </c>
      <c r="S135" s="4">
        <v>25.4</v>
      </c>
      <c r="T135" s="4">
        <v>26.4</v>
      </c>
      <c r="U135" s="4">
        <v>29.5</v>
      </c>
      <c r="V135" s="4">
        <v>30.2</v>
      </c>
      <c r="W135" s="4">
        <v>31</v>
      </c>
      <c r="X135" s="4">
        <v>32.700000000000003</v>
      </c>
      <c r="Y135" s="4">
        <v>34.4</v>
      </c>
      <c r="Z135" s="4">
        <v>19.100000000000001</v>
      </c>
      <c r="AA135" s="4">
        <v>173</v>
      </c>
      <c r="AB135" s="4">
        <v>0.06</v>
      </c>
      <c r="AC135" s="4">
        <v>0.55900000000000005</v>
      </c>
      <c r="AD135" s="4" t="s">
        <v>190</v>
      </c>
      <c r="AE135" s="4">
        <v>17</v>
      </c>
    </row>
    <row r="136" spans="1:31">
      <c r="A136" s="4"/>
      <c r="B136" s="5" t="s">
        <v>191</v>
      </c>
      <c r="C136" s="4"/>
      <c r="D136" s="4">
        <v>12</v>
      </c>
      <c r="E136" s="4">
        <v>1</v>
      </c>
      <c r="F136" s="4">
        <v>76.2</v>
      </c>
      <c r="G136" s="4">
        <v>63.5</v>
      </c>
      <c r="H136" s="4">
        <v>9.5299999999999994</v>
      </c>
      <c r="I136" s="4">
        <v>13.3</v>
      </c>
      <c r="J136" s="4">
        <v>6.66</v>
      </c>
      <c r="K136" s="4">
        <v>8</v>
      </c>
      <c r="L136" s="4">
        <v>20</v>
      </c>
      <c r="M136" s="4">
        <v>0.67600000000000005</v>
      </c>
      <c r="N136" s="4">
        <v>19.5</v>
      </c>
      <c r="O136" s="4">
        <v>2480</v>
      </c>
      <c r="P136" s="4">
        <v>1.38</v>
      </c>
      <c r="Q136" s="4">
        <v>26.6</v>
      </c>
      <c r="R136" s="4">
        <v>23.6</v>
      </c>
      <c r="S136" s="4">
        <v>24.3</v>
      </c>
      <c r="T136" s="4">
        <v>25.9</v>
      </c>
      <c r="U136" s="4">
        <v>28.8</v>
      </c>
      <c r="V136" s="4">
        <v>29.6</v>
      </c>
      <c r="W136" s="4">
        <v>30.4</v>
      </c>
      <c r="X136" s="4">
        <v>32</v>
      </c>
      <c r="Y136" s="4">
        <v>33.6</v>
      </c>
      <c r="Z136" s="4">
        <v>19.5</v>
      </c>
      <c r="AA136" s="4">
        <v>75.099999999999994</v>
      </c>
      <c r="AB136" s="4">
        <v>2.7300000000000001E-2</v>
      </c>
      <c r="AC136" s="4">
        <v>0.55900000000000005</v>
      </c>
      <c r="AD136" s="4" t="s">
        <v>192</v>
      </c>
      <c r="AE136" s="4">
        <v>13.1</v>
      </c>
    </row>
    <row r="137" spans="1:31">
      <c r="A137" s="4"/>
      <c r="B137" s="5" t="s">
        <v>193</v>
      </c>
      <c r="C137" s="4"/>
      <c r="D137" s="4">
        <v>12</v>
      </c>
      <c r="E137" s="4">
        <v>1</v>
      </c>
      <c r="F137" s="4">
        <v>76.2</v>
      </c>
      <c r="G137" s="4">
        <v>63.5</v>
      </c>
      <c r="H137" s="4">
        <v>7.94</v>
      </c>
      <c r="I137" s="4">
        <v>13.3</v>
      </c>
      <c r="J137" s="4">
        <v>8</v>
      </c>
      <c r="K137" s="4">
        <v>9.6</v>
      </c>
      <c r="L137" s="4">
        <v>18</v>
      </c>
      <c r="M137" s="4">
        <v>0.68</v>
      </c>
      <c r="N137" s="4">
        <v>16.399999999999999</v>
      </c>
      <c r="O137" s="4">
        <v>2090</v>
      </c>
      <c r="P137" s="4">
        <v>1.18</v>
      </c>
      <c r="Q137" s="4">
        <v>22.6</v>
      </c>
      <c r="R137" s="4">
        <v>23.8</v>
      </c>
      <c r="S137" s="4">
        <v>23.7</v>
      </c>
      <c r="T137" s="4">
        <v>25.7</v>
      </c>
      <c r="U137" s="4">
        <v>28.5</v>
      </c>
      <c r="V137" s="4">
        <v>29.3</v>
      </c>
      <c r="W137" s="4">
        <v>30</v>
      </c>
      <c r="X137" s="4">
        <v>31.6</v>
      </c>
      <c r="Y137" s="4">
        <v>33.299999999999997</v>
      </c>
      <c r="Z137" s="4">
        <v>19.7</v>
      </c>
      <c r="AA137" s="4">
        <v>44</v>
      </c>
      <c r="AB137" s="4">
        <v>1.6299999999999999E-2</v>
      </c>
      <c r="AC137" s="4">
        <v>0.55900000000000005</v>
      </c>
      <c r="AD137" s="4" t="s">
        <v>194</v>
      </c>
      <c r="AE137" s="4">
        <v>11</v>
      </c>
    </row>
    <row r="138" spans="1:31">
      <c r="A138" s="4"/>
      <c r="B138" s="5" t="s">
        <v>195</v>
      </c>
      <c r="C138" s="4"/>
      <c r="D138" s="4">
        <v>12</v>
      </c>
      <c r="E138" s="4">
        <v>1</v>
      </c>
      <c r="F138" s="4">
        <v>76.2</v>
      </c>
      <c r="G138" s="4">
        <v>63.5</v>
      </c>
      <c r="H138" s="4">
        <v>6.35</v>
      </c>
      <c r="I138" s="4">
        <v>13.4</v>
      </c>
      <c r="J138" s="4">
        <v>10</v>
      </c>
      <c r="K138" s="4">
        <v>12</v>
      </c>
      <c r="L138" s="4">
        <v>18</v>
      </c>
      <c r="M138" s="4">
        <v>0.68400000000000005</v>
      </c>
      <c r="N138" s="4">
        <v>13.3</v>
      </c>
      <c r="O138" s="4">
        <v>1690</v>
      </c>
      <c r="P138" s="4">
        <v>0.97699999999999998</v>
      </c>
      <c r="Q138" s="4">
        <v>18.399999999999999</v>
      </c>
      <c r="R138" s="4">
        <v>24</v>
      </c>
      <c r="S138" s="4">
        <v>23.1</v>
      </c>
      <c r="T138" s="4">
        <v>25.4</v>
      </c>
      <c r="U138" s="4">
        <v>28.2</v>
      </c>
      <c r="V138" s="4">
        <v>29</v>
      </c>
      <c r="W138" s="4">
        <v>29.7</v>
      </c>
      <c r="X138" s="4">
        <v>31.3</v>
      </c>
      <c r="Y138" s="4">
        <v>32.9</v>
      </c>
      <c r="Z138" s="4">
        <v>20</v>
      </c>
      <c r="AA138" s="4">
        <v>22.8</v>
      </c>
      <c r="AB138" s="4">
        <v>8.6599999999999993E-3</v>
      </c>
      <c r="AC138" s="4">
        <v>0.55900000000000005</v>
      </c>
      <c r="AD138" s="4" t="s">
        <v>196</v>
      </c>
      <c r="AE138" s="4">
        <v>8.93</v>
      </c>
    </row>
    <row r="139" spans="1:31">
      <c r="A139" s="4"/>
      <c r="B139" s="5" t="s">
        <v>197</v>
      </c>
      <c r="C139" s="4" t="s">
        <v>76</v>
      </c>
      <c r="D139" s="4">
        <v>12</v>
      </c>
      <c r="E139" s="4">
        <v>1</v>
      </c>
      <c r="F139" s="4">
        <v>76.2</v>
      </c>
      <c r="G139" s="4">
        <v>63.5</v>
      </c>
      <c r="H139" s="4">
        <v>4.76</v>
      </c>
      <c r="I139" s="4">
        <v>13.5</v>
      </c>
      <c r="J139" s="4">
        <v>13.3</v>
      </c>
      <c r="K139" s="4">
        <v>16</v>
      </c>
      <c r="L139" s="4">
        <v>16</v>
      </c>
      <c r="M139" s="4">
        <v>0.68799999999999994</v>
      </c>
      <c r="N139" s="4">
        <v>10.1</v>
      </c>
      <c r="O139" s="4">
        <v>1280</v>
      </c>
      <c r="P139" s="4">
        <v>0.755</v>
      </c>
      <c r="Q139" s="4">
        <v>14.1</v>
      </c>
      <c r="R139" s="4">
        <v>24.2</v>
      </c>
      <c r="S139" s="4">
        <v>22.6</v>
      </c>
      <c r="T139" s="4">
        <v>25.2</v>
      </c>
      <c r="U139" s="4">
        <v>28</v>
      </c>
      <c r="V139" s="4">
        <v>28.7</v>
      </c>
      <c r="W139" s="4">
        <v>29.4</v>
      </c>
      <c r="X139" s="4">
        <v>31</v>
      </c>
      <c r="Y139" s="4">
        <v>32.6</v>
      </c>
      <c r="Z139" s="4">
        <v>20.2</v>
      </c>
      <c r="AA139" s="4">
        <v>9.6999999999999993</v>
      </c>
      <c r="AB139" s="4">
        <v>3.7799999999999999E-3</v>
      </c>
      <c r="AC139" s="4">
        <v>0.55900000000000005</v>
      </c>
      <c r="AD139" s="4" t="s">
        <v>198</v>
      </c>
      <c r="AE139" s="4">
        <v>6.78</v>
      </c>
    </row>
    <row r="140" spans="1:31">
      <c r="A140" s="4" t="s">
        <v>76</v>
      </c>
      <c r="B140" s="5" t="s">
        <v>199</v>
      </c>
      <c r="C140" s="4"/>
      <c r="D140" s="4">
        <v>12</v>
      </c>
      <c r="E140" s="4">
        <v>1</v>
      </c>
      <c r="F140" s="4">
        <v>76.2</v>
      </c>
      <c r="G140" s="4">
        <v>50.8</v>
      </c>
      <c r="H140" s="4">
        <v>12.7</v>
      </c>
      <c r="I140" s="4">
        <v>10.9</v>
      </c>
      <c r="J140" s="4">
        <v>4</v>
      </c>
      <c r="K140" s="4">
        <v>6</v>
      </c>
      <c r="L140" s="4">
        <v>22</v>
      </c>
      <c r="M140" s="4">
        <v>0.41399999999999998</v>
      </c>
      <c r="N140" s="4">
        <v>22.8</v>
      </c>
      <c r="O140" s="4">
        <v>2900</v>
      </c>
      <c r="P140" s="4">
        <v>1.6</v>
      </c>
      <c r="Q140" s="4">
        <v>32.9</v>
      </c>
      <c r="R140" s="4">
        <v>23.5</v>
      </c>
      <c r="S140" s="4">
        <v>27.5</v>
      </c>
      <c r="T140" s="4">
        <v>20.3</v>
      </c>
      <c r="U140" s="4">
        <v>23.4</v>
      </c>
      <c r="V140" s="4">
        <v>24.2</v>
      </c>
      <c r="W140" s="4">
        <v>25</v>
      </c>
      <c r="X140" s="4">
        <v>26.7</v>
      </c>
      <c r="Y140" s="4">
        <v>28.4</v>
      </c>
      <c r="Z140" s="4">
        <v>21.2</v>
      </c>
      <c r="AA140" s="4">
        <v>156</v>
      </c>
      <c r="AB140" s="4">
        <v>4.8800000000000003E-2</v>
      </c>
      <c r="AC140" s="4">
        <v>0.50800000000000001</v>
      </c>
      <c r="AD140" s="4" t="s">
        <v>200</v>
      </c>
      <c r="AE140" s="4">
        <v>15.3</v>
      </c>
    </row>
    <row r="141" spans="1:31">
      <c r="A141" s="4"/>
      <c r="B141" s="5" t="s">
        <v>201</v>
      </c>
      <c r="C141" s="4"/>
      <c r="D141" s="4">
        <v>12</v>
      </c>
      <c r="E141" s="4">
        <v>1</v>
      </c>
      <c r="F141" s="4">
        <v>76.2</v>
      </c>
      <c r="G141" s="4">
        <v>50.8</v>
      </c>
      <c r="H141" s="4">
        <v>9.5299999999999994</v>
      </c>
      <c r="I141" s="4">
        <v>10.9</v>
      </c>
      <c r="J141" s="4">
        <v>5.33</v>
      </c>
      <c r="K141" s="4">
        <v>8</v>
      </c>
      <c r="L141" s="4">
        <v>18</v>
      </c>
      <c r="M141" s="4">
        <v>0.42799999999999999</v>
      </c>
      <c r="N141" s="4">
        <v>17.600000000000001</v>
      </c>
      <c r="O141" s="4">
        <v>2240</v>
      </c>
      <c r="P141" s="4">
        <v>1.28</v>
      </c>
      <c r="Q141" s="4">
        <v>25.6</v>
      </c>
      <c r="R141" s="4">
        <v>23.9</v>
      </c>
      <c r="S141" s="4">
        <v>26.4</v>
      </c>
      <c r="T141" s="4">
        <v>19.7</v>
      </c>
      <c r="U141" s="4">
        <v>22.7</v>
      </c>
      <c r="V141" s="4">
        <v>23.5</v>
      </c>
      <c r="W141" s="4">
        <v>24.3</v>
      </c>
      <c r="X141" s="4">
        <v>25.9</v>
      </c>
      <c r="Y141" s="4">
        <v>27.6</v>
      </c>
      <c r="Z141" s="4">
        <v>21.6</v>
      </c>
      <c r="AA141" s="4">
        <v>67.8</v>
      </c>
      <c r="AB141" s="4">
        <v>2.2200000000000001E-2</v>
      </c>
      <c r="AC141" s="4">
        <v>0.50800000000000001</v>
      </c>
      <c r="AD141" s="4" t="s">
        <v>202</v>
      </c>
      <c r="AE141" s="4">
        <v>11.8</v>
      </c>
    </row>
    <row r="142" spans="1:31">
      <c r="A142" s="4"/>
      <c r="B142" s="5" t="s">
        <v>203</v>
      </c>
      <c r="C142" s="4"/>
      <c r="D142" s="4">
        <v>12</v>
      </c>
      <c r="E142" s="4">
        <v>1</v>
      </c>
      <c r="F142" s="4">
        <v>76.2</v>
      </c>
      <c r="G142" s="4">
        <v>50.8</v>
      </c>
      <c r="H142" s="4">
        <v>7.94</v>
      </c>
      <c r="I142" s="4">
        <v>11</v>
      </c>
      <c r="J142" s="4">
        <v>6.4</v>
      </c>
      <c r="K142" s="4">
        <v>9.6</v>
      </c>
      <c r="L142" s="4">
        <v>16</v>
      </c>
      <c r="M142" s="4">
        <v>0.435</v>
      </c>
      <c r="N142" s="4">
        <v>14.8</v>
      </c>
      <c r="O142" s="4">
        <v>1890</v>
      </c>
      <c r="P142" s="4">
        <v>1.1000000000000001</v>
      </c>
      <c r="Q142" s="4">
        <v>21.8</v>
      </c>
      <c r="R142" s="4">
        <v>24.1</v>
      </c>
      <c r="S142" s="4">
        <v>25.8</v>
      </c>
      <c r="T142" s="4">
        <v>19.5</v>
      </c>
      <c r="U142" s="4">
        <v>22.4</v>
      </c>
      <c r="V142" s="4">
        <v>23.1</v>
      </c>
      <c r="W142" s="4">
        <v>23.9</v>
      </c>
      <c r="X142" s="4">
        <v>25.6</v>
      </c>
      <c r="Y142" s="4">
        <v>27.2</v>
      </c>
      <c r="Z142" s="4">
        <v>21.8</v>
      </c>
      <c r="AA142" s="4">
        <v>39.700000000000003</v>
      </c>
      <c r="AB142" s="4">
        <v>1.3299999999999999E-2</v>
      </c>
      <c r="AC142" s="4">
        <v>0.50800000000000001</v>
      </c>
      <c r="AD142" s="4" t="s">
        <v>204</v>
      </c>
      <c r="AE142" s="4">
        <v>9.9700000000000006</v>
      </c>
    </row>
    <row r="143" spans="1:31">
      <c r="A143" s="4"/>
      <c r="B143" s="5" t="s">
        <v>205</v>
      </c>
      <c r="C143" s="4"/>
      <c r="D143" s="4">
        <v>12</v>
      </c>
      <c r="E143" s="4">
        <v>1</v>
      </c>
      <c r="F143" s="4">
        <v>76.2</v>
      </c>
      <c r="G143" s="4">
        <v>50.8</v>
      </c>
      <c r="H143" s="4">
        <v>6.35</v>
      </c>
      <c r="I143" s="4">
        <v>11</v>
      </c>
      <c r="J143" s="4">
        <v>8</v>
      </c>
      <c r="K143" s="4">
        <v>12</v>
      </c>
      <c r="L143" s="4">
        <v>16</v>
      </c>
      <c r="M143" s="4">
        <v>0.44</v>
      </c>
      <c r="N143" s="4">
        <v>12</v>
      </c>
      <c r="O143" s="4">
        <v>1530</v>
      </c>
      <c r="P143" s="4">
        <v>0.90500000000000003</v>
      </c>
      <c r="Q143" s="4">
        <v>17.8</v>
      </c>
      <c r="R143" s="4">
        <v>24.3</v>
      </c>
      <c r="S143" s="4">
        <v>25.2</v>
      </c>
      <c r="T143" s="4">
        <v>19.2</v>
      </c>
      <c r="U143" s="4">
        <v>22.1</v>
      </c>
      <c r="V143" s="4">
        <v>22.8</v>
      </c>
      <c r="W143" s="4">
        <v>23.6</v>
      </c>
      <c r="X143" s="4">
        <v>25.2</v>
      </c>
      <c r="Y143" s="4">
        <v>26.8</v>
      </c>
      <c r="Z143" s="4">
        <v>22.1</v>
      </c>
      <c r="AA143" s="4">
        <v>20.6</v>
      </c>
      <c r="AB143" s="4">
        <v>7.0800000000000004E-3</v>
      </c>
      <c r="AC143" s="4">
        <v>0.50800000000000001</v>
      </c>
      <c r="AD143" s="4" t="s">
        <v>206</v>
      </c>
      <c r="AE143" s="4">
        <v>8.08</v>
      </c>
    </row>
    <row r="144" spans="1:31">
      <c r="A144" s="4"/>
      <c r="B144" s="5" t="s">
        <v>207</v>
      </c>
      <c r="C144" s="4"/>
      <c r="D144" s="4">
        <v>12</v>
      </c>
      <c r="E144" s="4">
        <v>1</v>
      </c>
      <c r="F144" s="4">
        <v>76.2</v>
      </c>
      <c r="G144" s="4">
        <v>50.8</v>
      </c>
      <c r="H144" s="4">
        <v>4.76</v>
      </c>
      <c r="I144" s="4">
        <v>11.1</v>
      </c>
      <c r="J144" s="4">
        <v>10.7</v>
      </c>
      <c r="K144" s="4">
        <v>16</v>
      </c>
      <c r="L144" s="4">
        <v>14</v>
      </c>
      <c r="M144" s="4">
        <v>0.44600000000000001</v>
      </c>
      <c r="N144" s="4">
        <v>9.14</v>
      </c>
      <c r="O144" s="4">
        <v>1160</v>
      </c>
      <c r="P144" s="4">
        <v>0.7</v>
      </c>
      <c r="Q144" s="4">
        <v>13.6</v>
      </c>
      <c r="R144" s="4">
        <v>24.5</v>
      </c>
      <c r="S144" s="4">
        <v>24.6</v>
      </c>
      <c r="T144" s="4">
        <v>19</v>
      </c>
      <c r="U144" s="4">
        <v>21.8</v>
      </c>
      <c r="V144" s="4">
        <v>22.5</v>
      </c>
      <c r="W144" s="4">
        <v>23.3</v>
      </c>
      <c r="X144" s="4">
        <v>24.8</v>
      </c>
      <c r="Y144" s="4">
        <v>26.5</v>
      </c>
      <c r="Z144" s="4">
        <v>22.3</v>
      </c>
      <c r="AA144" s="4">
        <v>8.7899999999999991</v>
      </c>
      <c r="AB144" s="4">
        <v>3.0899999999999999E-3</v>
      </c>
      <c r="AC144" s="4">
        <v>0.50800000000000001</v>
      </c>
      <c r="AD144" s="4" t="s">
        <v>208</v>
      </c>
      <c r="AE144" s="4">
        <v>6.14</v>
      </c>
    </row>
    <row r="145" spans="1:31">
      <c r="A145" s="4" t="s">
        <v>76</v>
      </c>
      <c r="B145" s="5" t="s">
        <v>209</v>
      </c>
      <c r="C145" s="4"/>
      <c r="D145" s="4">
        <v>12</v>
      </c>
      <c r="E145" s="4">
        <v>1</v>
      </c>
      <c r="F145" s="4">
        <v>63.5</v>
      </c>
      <c r="G145" s="4">
        <v>50.8</v>
      </c>
      <c r="H145" s="4">
        <v>9.5299999999999994</v>
      </c>
      <c r="I145" s="4">
        <v>10.7</v>
      </c>
      <c r="J145" s="4">
        <v>5.33</v>
      </c>
      <c r="K145" s="4">
        <v>6.66</v>
      </c>
      <c r="L145" s="4">
        <v>16</v>
      </c>
      <c r="M145" s="4">
        <v>0.61399999999999999</v>
      </c>
      <c r="N145" s="4">
        <v>15.7</v>
      </c>
      <c r="O145" s="4">
        <v>2000</v>
      </c>
      <c r="P145" s="4">
        <v>0.76</v>
      </c>
      <c r="Q145" s="4">
        <v>17.899999999999999</v>
      </c>
      <c r="R145" s="4">
        <v>19.5</v>
      </c>
      <c r="S145" s="4">
        <v>21.1</v>
      </c>
      <c r="T145" s="4">
        <v>20.8</v>
      </c>
      <c r="U145" s="4">
        <v>23.8</v>
      </c>
      <c r="V145" s="4">
        <v>24.6</v>
      </c>
      <c r="W145" s="4">
        <v>25.4</v>
      </c>
      <c r="X145" s="4">
        <v>27.1</v>
      </c>
      <c r="Y145" s="4">
        <v>28.8</v>
      </c>
      <c r="Z145" s="4">
        <v>16.399999999999999</v>
      </c>
      <c r="AA145" s="4">
        <v>60.5</v>
      </c>
      <c r="AB145" s="4">
        <v>1.44E-2</v>
      </c>
      <c r="AC145" s="4">
        <v>0.45700000000000002</v>
      </c>
      <c r="AD145" s="4" t="s">
        <v>210</v>
      </c>
      <c r="AE145" s="4">
        <v>10.5</v>
      </c>
    </row>
    <row r="146" spans="1:31">
      <c r="A146" s="4"/>
      <c r="B146" s="5" t="s">
        <v>211</v>
      </c>
      <c r="C146" s="4"/>
      <c r="D146" s="4">
        <v>12</v>
      </c>
      <c r="E146" s="4">
        <v>1</v>
      </c>
      <c r="F146" s="4">
        <v>63.5</v>
      </c>
      <c r="G146" s="4">
        <v>50.8</v>
      </c>
      <c r="H146" s="4">
        <v>7.94</v>
      </c>
      <c r="I146" s="4">
        <v>10.7</v>
      </c>
      <c r="J146" s="4">
        <v>6.4</v>
      </c>
      <c r="K146" s="4">
        <v>8</v>
      </c>
      <c r="L146" s="4">
        <v>14</v>
      </c>
      <c r="M146" s="4">
        <v>0.62</v>
      </c>
      <c r="N146" s="4">
        <v>13.3</v>
      </c>
      <c r="O146" s="4">
        <v>1690</v>
      </c>
      <c r="P146" s="4">
        <v>0.65600000000000003</v>
      </c>
      <c r="Q146" s="4">
        <v>15.3</v>
      </c>
      <c r="R146" s="4">
        <v>19.7</v>
      </c>
      <c r="S146" s="4">
        <v>20.6</v>
      </c>
      <c r="T146" s="4">
        <v>20.5</v>
      </c>
      <c r="U146" s="4">
        <v>23.5</v>
      </c>
      <c r="V146" s="4">
        <v>24.3</v>
      </c>
      <c r="W146" s="4">
        <v>25.1</v>
      </c>
      <c r="X146" s="4">
        <v>26.7</v>
      </c>
      <c r="Y146" s="4">
        <v>28.4</v>
      </c>
      <c r="Z146" s="4">
        <v>16.600000000000001</v>
      </c>
      <c r="AA146" s="4">
        <v>35.5</v>
      </c>
      <c r="AB146" s="4">
        <v>8.7200000000000003E-3</v>
      </c>
      <c r="AC146" s="4">
        <v>0.45700000000000002</v>
      </c>
      <c r="AD146" s="4" t="s">
        <v>212</v>
      </c>
      <c r="AE146" s="4">
        <v>8.91</v>
      </c>
    </row>
    <row r="147" spans="1:31">
      <c r="A147" s="4"/>
      <c r="B147" s="5" t="s">
        <v>213</v>
      </c>
      <c r="C147" s="4"/>
      <c r="D147" s="4">
        <v>12</v>
      </c>
      <c r="E147" s="4">
        <v>1</v>
      </c>
      <c r="F147" s="4">
        <v>63.5</v>
      </c>
      <c r="G147" s="4">
        <v>50.8</v>
      </c>
      <c r="H147" s="4">
        <v>6.35</v>
      </c>
      <c r="I147" s="4">
        <v>10.8</v>
      </c>
      <c r="J147" s="4">
        <v>8</v>
      </c>
      <c r="K147" s="4">
        <v>10</v>
      </c>
      <c r="L147" s="4">
        <v>14</v>
      </c>
      <c r="M147" s="4">
        <v>0.626</v>
      </c>
      <c r="N147" s="4">
        <v>10.8</v>
      </c>
      <c r="O147" s="4">
        <v>1370</v>
      </c>
      <c r="P147" s="4">
        <v>0.54400000000000004</v>
      </c>
      <c r="Q147" s="4">
        <v>12.5</v>
      </c>
      <c r="R147" s="4">
        <v>19.899999999999999</v>
      </c>
      <c r="S147" s="4">
        <v>20</v>
      </c>
      <c r="T147" s="4">
        <v>20.3</v>
      </c>
      <c r="U147" s="4">
        <v>23.2</v>
      </c>
      <c r="V147" s="4">
        <v>23.9</v>
      </c>
      <c r="W147" s="4">
        <v>24.7</v>
      </c>
      <c r="X147" s="4">
        <v>26.3</v>
      </c>
      <c r="Y147" s="4">
        <v>28</v>
      </c>
      <c r="Z147" s="4">
        <v>16.8</v>
      </c>
      <c r="AA147" s="4">
        <v>18.399999999999999</v>
      </c>
      <c r="AB147" s="4">
        <v>4.6600000000000001E-3</v>
      </c>
      <c r="AC147" s="4">
        <v>0.45700000000000002</v>
      </c>
      <c r="AD147" s="4" t="s">
        <v>214</v>
      </c>
      <c r="AE147" s="4">
        <v>7.23</v>
      </c>
    </row>
    <row r="148" spans="1:31">
      <c r="A148" s="4"/>
      <c r="B148" s="5" t="s">
        <v>215</v>
      </c>
      <c r="C148" s="4"/>
      <c r="D148" s="4">
        <v>12</v>
      </c>
      <c r="E148" s="4">
        <v>1</v>
      </c>
      <c r="F148" s="4">
        <v>63.5</v>
      </c>
      <c r="G148" s="4">
        <v>50.8</v>
      </c>
      <c r="H148" s="4">
        <v>4.76</v>
      </c>
      <c r="I148" s="4">
        <v>10.9</v>
      </c>
      <c r="J148" s="4">
        <v>10.7</v>
      </c>
      <c r="K148" s="4">
        <v>13.3</v>
      </c>
      <c r="L148" s="4">
        <v>12</v>
      </c>
      <c r="M148" s="4">
        <v>0.63100000000000001</v>
      </c>
      <c r="N148" s="4">
        <v>8.19</v>
      </c>
      <c r="O148" s="4">
        <v>1040</v>
      </c>
      <c r="P148" s="4">
        <v>0.42299999999999999</v>
      </c>
      <c r="Q148" s="4">
        <v>9.6</v>
      </c>
      <c r="R148" s="4">
        <v>20.100000000000001</v>
      </c>
      <c r="S148" s="4">
        <v>19.399999999999999</v>
      </c>
      <c r="T148" s="4">
        <v>20.100000000000001</v>
      </c>
      <c r="U148" s="4">
        <v>22.9</v>
      </c>
      <c r="V148" s="4">
        <v>23.6</v>
      </c>
      <c r="W148" s="4">
        <v>24.4</v>
      </c>
      <c r="X148" s="4">
        <v>26</v>
      </c>
      <c r="Y148" s="4">
        <v>27.6</v>
      </c>
      <c r="Z148" s="4">
        <v>17</v>
      </c>
      <c r="AA148" s="4">
        <v>7.88</v>
      </c>
      <c r="AB148" s="4">
        <v>2.0500000000000002E-3</v>
      </c>
      <c r="AC148" s="4">
        <v>0.45700000000000002</v>
      </c>
      <c r="AD148" s="4" t="s">
        <v>216</v>
      </c>
      <c r="AE148" s="4">
        <v>5.5</v>
      </c>
    </row>
    <row r="149" spans="1:31">
      <c r="A149" s="4" t="s">
        <v>76</v>
      </c>
      <c r="B149" s="5" t="s">
        <v>217</v>
      </c>
      <c r="C149" s="4"/>
      <c r="D149" s="4">
        <v>12</v>
      </c>
      <c r="E149" s="4">
        <v>1</v>
      </c>
      <c r="F149" s="4">
        <v>50.8</v>
      </c>
      <c r="G149" s="4">
        <v>38.1</v>
      </c>
      <c r="H149" s="4">
        <v>6.35</v>
      </c>
      <c r="I149" s="4">
        <v>8.1199999999999992</v>
      </c>
      <c r="J149" s="4">
        <v>6</v>
      </c>
      <c r="K149" s="4">
        <v>8</v>
      </c>
      <c r="L149" s="4">
        <v>14</v>
      </c>
      <c r="M149" s="4">
        <v>0.54300000000000004</v>
      </c>
      <c r="N149" s="4">
        <v>8.23</v>
      </c>
      <c r="O149" s="4">
        <v>1050</v>
      </c>
      <c r="P149" s="4">
        <v>0.26300000000000001</v>
      </c>
      <c r="Q149" s="4">
        <v>7.74</v>
      </c>
      <c r="R149" s="4">
        <v>15.8</v>
      </c>
      <c r="S149" s="4">
        <v>16.899999999999999</v>
      </c>
      <c r="T149" s="4">
        <v>15.2</v>
      </c>
      <c r="U149" s="4">
        <v>18.2</v>
      </c>
      <c r="V149" s="4">
        <v>19</v>
      </c>
      <c r="W149" s="4">
        <v>19.8</v>
      </c>
      <c r="X149" s="4">
        <v>21.5</v>
      </c>
      <c r="Y149" s="4">
        <v>23.3</v>
      </c>
      <c r="Z149" s="4">
        <v>13.7</v>
      </c>
      <c r="AA149" s="4">
        <v>14.1</v>
      </c>
      <c r="AB149" s="4">
        <v>2.14E-3</v>
      </c>
      <c r="AC149" s="4">
        <v>0.35599999999999998</v>
      </c>
      <c r="AD149" s="4" t="s">
        <v>218</v>
      </c>
      <c r="AE149" s="4">
        <v>5.53</v>
      </c>
    </row>
    <row r="150" spans="1:31">
      <c r="A150" s="4"/>
      <c r="B150" s="5" t="s">
        <v>219</v>
      </c>
      <c r="C150" s="4"/>
      <c r="D150" s="4">
        <v>12</v>
      </c>
      <c r="E150" s="4">
        <v>1</v>
      </c>
      <c r="F150" s="4">
        <v>50.8</v>
      </c>
      <c r="G150" s="4">
        <v>38.1</v>
      </c>
      <c r="H150" s="4">
        <v>4.76</v>
      </c>
      <c r="I150" s="4">
        <v>8.18</v>
      </c>
      <c r="J150" s="4">
        <v>8</v>
      </c>
      <c r="K150" s="4">
        <v>10.7</v>
      </c>
      <c r="L150" s="4">
        <v>12</v>
      </c>
      <c r="M150" s="4">
        <v>0.55100000000000005</v>
      </c>
      <c r="N150" s="4">
        <v>6.29</v>
      </c>
      <c r="O150" s="4">
        <v>801</v>
      </c>
      <c r="P150" s="4">
        <v>0.20599999999999999</v>
      </c>
      <c r="Q150" s="4">
        <v>5.97</v>
      </c>
      <c r="R150" s="4">
        <v>16</v>
      </c>
      <c r="S150" s="4">
        <v>16.3</v>
      </c>
      <c r="T150" s="4">
        <v>14.9</v>
      </c>
      <c r="U150" s="4">
        <v>17.899999999999999</v>
      </c>
      <c r="V150" s="4">
        <v>18.600000000000001</v>
      </c>
      <c r="W150" s="4">
        <v>19.5</v>
      </c>
      <c r="X150" s="4">
        <v>21.1</v>
      </c>
      <c r="Y150" s="4">
        <v>22.8</v>
      </c>
      <c r="Z150" s="4">
        <v>13.9</v>
      </c>
      <c r="AA150" s="4">
        <v>6.05</v>
      </c>
      <c r="AB150" s="4">
        <v>9.5299999999999996E-4</v>
      </c>
      <c r="AC150" s="4">
        <v>0.35599999999999998</v>
      </c>
      <c r="AD150" s="4" t="s">
        <v>220</v>
      </c>
      <c r="AE150" s="4">
        <v>4.2300000000000004</v>
      </c>
    </row>
    <row r="151" spans="1:31">
      <c r="A151" s="4"/>
      <c r="B151" s="5" t="s">
        <v>221</v>
      </c>
      <c r="C151" s="4"/>
      <c r="D151" s="4">
        <v>12</v>
      </c>
      <c r="E151" s="4">
        <v>1</v>
      </c>
      <c r="F151" s="4">
        <v>50.8</v>
      </c>
      <c r="G151" s="4">
        <v>38.1</v>
      </c>
      <c r="H151" s="4">
        <v>3.18</v>
      </c>
      <c r="I151" s="4">
        <v>8.27</v>
      </c>
      <c r="J151" s="4">
        <v>12</v>
      </c>
      <c r="K151" s="4">
        <v>16</v>
      </c>
      <c r="L151" s="4">
        <v>10</v>
      </c>
      <c r="M151" s="4">
        <v>0.55800000000000005</v>
      </c>
      <c r="N151" s="4">
        <v>4.28</v>
      </c>
      <c r="O151" s="4">
        <v>545</v>
      </c>
      <c r="P151" s="4">
        <v>0.14399999999999999</v>
      </c>
      <c r="Q151" s="4">
        <v>4.1100000000000003</v>
      </c>
      <c r="R151" s="4">
        <v>16.3</v>
      </c>
      <c r="S151" s="4">
        <v>15.7</v>
      </c>
      <c r="T151" s="4">
        <v>14.7</v>
      </c>
      <c r="U151" s="4">
        <v>17.5</v>
      </c>
      <c r="V151" s="4">
        <v>18.3</v>
      </c>
      <c r="W151" s="4">
        <v>19.100000000000001</v>
      </c>
      <c r="X151" s="4">
        <v>20.7</v>
      </c>
      <c r="Y151" s="4">
        <v>22.4</v>
      </c>
      <c r="Z151" s="4">
        <v>14.1</v>
      </c>
      <c r="AA151" s="4">
        <v>1.84</v>
      </c>
      <c r="AB151" s="4">
        <v>2.9999999999999997E-4</v>
      </c>
      <c r="AC151" s="4">
        <v>0.35599999999999998</v>
      </c>
      <c r="AD151" s="4" t="s">
        <v>222</v>
      </c>
      <c r="AE151" s="4">
        <v>2.88</v>
      </c>
    </row>
    <row r="152" spans="1:31">
      <c r="A152" s="3" t="s">
        <v>224</v>
      </c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</row>
    <row r="153" spans="1:31">
      <c r="A153" s="4" t="s">
        <v>76</v>
      </c>
      <c r="B153" s="5" t="s">
        <v>225</v>
      </c>
      <c r="C153" s="4" t="s">
        <v>76</v>
      </c>
      <c r="D153" s="4">
        <v>13</v>
      </c>
      <c r="E153" s="4">
        <v>3</v>
      </c>
      <c r="F153" s="4">
        <v>203</v>
      </c>
      <c r="G153" s="4">
        <v>203</v>
      </c>
      <c r="H153" s="4">
        <v>28.6</v>
      </c>
      <c r="I153" s="4">
        <v>39.6</v>
      </c>
      <c r="J153" s="4">
        <v>7.1</v>
      </c>
      <c r="K153" s="4">
        <v>7.1</v>
      </c>
      <c r="L153" s="4">
        <v>45</v>
      </c>
      <c r="M153" s="4">
        <v>1</v>
      </c>
      <c r="N153" s="4">
        <v>169</v>
      </c>
      <c r="O153" s="4">
        <v>21600</v>
      </c>
      <c r="P153" s="4">
        <v>81.400000000000006</v>
      </c>
      <c r="Q153" s="4">
        <v>574</v>
      </c>
      <c r="R153" s="4">
        <v>61.4</v>
      </c>
      <c r="S153" s="4">
        <v>61.2</v>
      </c>
      <c r="T153" s="4">
        <v>86.7</v>
      </c>
      <c r="U153" s="4">
        <v>89.6</v>
      </c>
      <c r="V153" s="4">
        <v>90.3</v>
      </c>
      <c r="W153" s="4">
        <v>91</v>
      </c>
      <c r="X153" s="4">
        <v>92.5</v>
      </c>
      <c r="Y153" s="4">
        <v>94</v>
      </c>
      <c r="Z153" s="4">
        <v>46.9</v>
      </c>
      <c r="AA153" s="4">
        <v>5890</v>
      </c>
      <c r="AB153" s="4">
        <v>17.5</v>
      </c>
      <c r="AC153" s="4">
        <v>1.62</v>
      </c>
      <c r="AD153" s="4" t="s">
        <v>226</v>
      </c>
      <c r="AE153" s="4">
        <v>114</v>
      </c>
    </row>
    <row r="154" spans="1:31">
      <c r="A154" s="4"/>
      <c r="B154" s="5" t="s">
        <v>227</v>
      </c>
      <c r="C154" s="4" t="s">
        <v>76</v>
      </c>
      <c r="D154" s="4">
        <v>13</v>
      </c>
      <c r="E154" s="4">
        <v>3</v>
      </c>
      <c r="F154" s="4">
        <v>203</v>
      </c>
      <c r="G154" s="4">
        <v>203</v>
      </c>
      <c r="H154" s="4">
        <v>25.4</v>
      </c>
      <c r="I154" s="4">
        <v>39.700000000000003</v>
      </c>
      <c r="J154" s="4">
        <v>7.99</v>
      </c>
      <c r="K154" s="4">
        <v>7.99</v>
      </c>
      <c r="L154" s="4">
        <v>41</v>
      </c>
      <c r="M154" s="4">
        <v>1</v>
      </c>
      <c r="N154" s="4">
        <v>152</v>
      </c>
      <c r="O154" s="4">
        <v>19300</v>
      </c>
      <c r="P154" s="4">
        <v>73.8</v>
      </c>
      <c r="Q154" s="4">
        <v>517</v>
      </c>
      <c r="R154" s="4">
        <v>61.8</v>
      </c>
      <c r="S154" s="4">
        <v>60.1</v>
      </c>
      <c r="T154" s="4">
        <v>86.2</v>
      </c>
      <c r="U154" s="4">
        <v>89</v>
      </c>
      <c r="V154" s="4">
        <v>89.7</v>
      </c>
      <c r="W154" s="4">
        <v>90.5</v>
      </c>
      <c r="X154" s="4">
        <v>91.9</v>
      </c>
      <c r="Y154" s="4">
        <v>93.4</v>
      </c>
      <c r="Z154" s="4">
        <v>47.4</v>
      </c>
      <c r="AA154" s="4">
        <v>4160</v>
      </c>
      <c r="AB154" s="4">
        <v>12.5</v>
      </c>
      <c r="AC154" s="4">
        <v>1.62</v>
      </c>
      <c r="AD154" s="4" t="s">
        <v>228</v>
      </c>
      <c r="AE154" s="4">
        <v>102</v>
      </c>
    </row>
    <row r="155" spans="1:31">
      <c r="A155" s="4"/>
      <c r="B155" s="5" t="s">
        <v>229</v>
      </c>
      <c r="C155" s="4" t="s">
        <v>76</v>
      </c>
      <c r="D155" s="4">
        <v>13</v>
      </c>
      <c r="E155" s="4">
        <v>3</v>
      </c>
      <c r="F155" s="4">
        <v>203</v>
      </c>
      <c r="G155" s="4">
        <v>203</v>
      </c>
      <c r="H155" s="4">
        <v>22.2</v>
      </c>
      <c r="I155" s="4">
        <v>39.799999999999997</v>
      </c>
      <c r="J155" s="4">
        <v>9.14</v>
      </c>
      <c r="K155" s="4">
        <v>9.14</v>
      </c>
      <c r="L155" s="4">
        <v>38</v>
      </c>
      <c r="M155" s="4">
        <v>1</v>
      </c>
      <c r="N155" s="4">
        <v>134</v>
      </c>
      <c r="O155" s="4">
        <v>17000</v>
      </c>
      <c r="P155" s="4">
        <v>66</v>
      </c>
      <c r="Q155" s="4">
        <v>458</v>
      </c>
      <c r="R155" s="4">
        <v>62.2</v>
      </c>
      <c r="S155" s="4">
        <v>58.9</v>
      </c>
      <c r="T155" s="4">
        <v>85.7</v>
      </c>
      <c r="U155" s="4">
        <v>88.5</v>
      </c>
      <c r="V155" s="4">
        <v>89.2</v>
      </c>
      <c r="W155" s="4">
        <v>89.9</v>
      </c>
      <c r="X155" s="4">
        <v>91.4</v>
      </c>
      <c r="Y155" s="4">
        <v>92.8</v>
      </c>
      <c r="Z155" s="4">
        <v>47.8</v>
      </c>
      <c r="AA155" s="4">
        <v>2800</v>
      </c>
      <c r="AB155" s="4">
        <v>8.59</v>
      </c>
      <c r="AC155" s="4">
        <v>1.62</v>
      </c>
      <c r="AD155" s="4" t="s">
        <v>230</v>
      </c>
      <c r="AE155" s="4">
        <v>89.9</v>
      </c>
    </row>
    <row r="156" spans="1:31">
      <c r="A156" s="4"/>
      <c r="B156" s="5" t="s">
        <v>231</v>
      </c>
      <c r="C156" s="4" t="s">
        <v>76</v>
      </c>
      <c r="D156" s="4">
        <v>13</v>
      </c>
      <c r="E156" s="4">
        <v>2</v>
      </c>
      <c r="F156" s="4">
        <v>203</v>
      </c>
      <c r="G156" s="4">
        <v>203</v>
      </c>
      <c r="H156" s="4">
        <v>19.100000000000001</v>
      </c>
      <c r="I156" s="4">
        <v>40</v>
      </c>
      <c r="J156" s="4">
        <v>10.6</v>
      </c>
      <c r="K156" s="4">
        <v>10.6</v>
      </c>
      <c r="L156" s="4">
        <v>35</v>
      </c>
      <c r="M156" s="4">
        <v>1</v>
      </c>
      <c r="N156" s="4">
        <v>116</v>
      </c>
      <c r="O156" s="4">
        <v>14800</v>
      </c>
      <c r="P156" s="4">
        <v>58</v>
      </c>
      <c r="Q156" s="4">
        <v>399</v>
      </c>
      <c r="R156" s="4">
        <v>62.6</v>
      </c>
      <c r="S156" s="4">
        <v>57.8</v>
      </c>
      <c r="T156" s="4">
        <v>85.2</v>
      </c>
      <c r="U156" s="4">
        <v>88</v>
      </c>
      <c r="V156" s="4">
        <v>88.7</v>
      </c>
      <c r="W156" s="4">
        <v>89.4</v>
      </c>
      <c r="X156" s="4">
        <v>90.9</v>
      </c>
      <c r="Y156" s="4">
        <v>92.3</v>
      </c>
      <c r="Z156" s="4">
        <v>48.2</v>
      </c>
      <c r="AA156" s="4">
        <v>1800</v>
      </c>
      <c r="AB156" s="4">
        <v>5.6</v>
      </c>
      <c r="AC156" s="4">
        <v>1.62</v>
      </c>
      <c r="AD156" s="4" t="s">
        <v>232</v>
      </c>
      <c r="AE156" s="4">
        <v>78</v>
      </c>
    </row>
    <row r="157" spans="1:31">
      <c r="A157" s="4"/>
      <c r="B157" s="5" t="s">
        <v>233</v>
      </c>
      <c r="C157" s="4" t="s">
        <v>76</v>
      </c>
      <c r="D157" s="4">
        <v>13</v>
      </c>
      <c r="E157" s="4">
        <v>2</v>
      </c>
      <c r="F157" s="4">
        <v>203</v>
      </c>
      <c r="G157" s="4">
        <v>203</v>
      </c>
      <c r="H157" s="4">
        <v>15.9</v>
      </c>
      <c r="I157" s="4">
        <v>40.1</v>
      </c>
      <c r="J157" s="4">
        <v>12.8</v>
      </c>
      <c r="K157" s="4">
        <v>12.8</v>
      </c>
      <c r="L157" s="4">
        <v>32</v>
      </c>
      <c r="M157" s="4">
        <v>1</v>
      </c>
      <c r="N157" s="4">
        <v>97.4</v>
      </c>
      <c r="O157" s="4">
        <v>12400</v>
      </c>
      <c r="P157" s="4">
        <v>49.4</v>
      </c>
      <c r="Q157" s="4">
        <v>337</v>
      </c>
      <c r="R157" s="4">
        <v>63.1</v>
      </c>
      <c r="S157" s="4">
        <v>56.6</v>
      </c>
      <c r="T157" s="4">
        <v>84.8</v>
      </c>
      <c r="U157" s="4">
        <v>87.5</v>
      </c>
      <c r="V157" s="4">
        <v>88.2</v>
      </c>
      <c r="W157" s="4">
        <v>88.9</v>
      </c>
      <c r="X157" s="4">
        <v>90.3</v>
      </c>
      <c r="Y157" s="4">
        <v>91.8</v>
      </c>
      <c r="Z157" s="4">
        <v>48.7</v>
      </c>
      <c r="AA157" s="4">
        <v>1050</v>
      </c>
      <c r="AB157" s="4">
        <v>3.31</v>
      </c>
      <c r="AC157" s="4">
        <v>1.62</v>
      </c>
      <c r="AD157" s="4" t="s">
        <v>234</v>
      </c>
      <c r="AE157" s="4">
        <v>65.400000000000006</v>
      </c>
    </row>
    <row r="158" spans="1:31">
      <c r="A158" s="4"/>
      <c r="B158" s="5" t="s">
        <v>235</v>
      </c>
      <c r="C158" s="4" t="s">
        <v>76</v>
      </c>
      <c r="D158" s="4">
        <v>13</v>
      </c>
      <c r="E158" s="4">
        <v>2</v>
      </c>
      <c r="F158" s="4">
        <v>203</v>
      </c>
      <c r="G158" s="4">
        <v>203</v>
      </c>
      <c r="H158" s="4">
        <v>14.3</v>
      </c>
      <c r="I158" s="4">
        <v>40.200000000000003</v>
      </c>
      <c r="J158" s="4">
        <v>14.2</v>
      </c>
      <c r="K158" s="4">
        <v>14.2</v>
      </c>
      <c r="L158" s="4">
        <v>30</v>
      </c>
      <c r="M158" s="4">
        <v>1</v>
      </c>
      <c r="N158" s="4">
        <v>87.9</v>
      </c>
      <c r="O158" s="4">
        <v>11200</v>
      </c>
      <c r="P158" s="4">
        <v>44.9</v>
      </c>
      <c r="Q158" s="4">
        <v>306</v>
      </c>
      <c r="R158" s="4">
        <v>63.3</v>
      </c>
      <c r="S158" s="4">
        <v>56</v>
      </c>
      <c r="T158" s="4">
        <v>84.6</v>
      </c>
      <c r="U158" s="4">
        <v>87.3</v>
      </c>
      <c r="V158" s="4">
        <v>88</v>
      </c>
      <c r="W158" s="4">
        <v>88.7</v>
      </c>
      <c r="X158" s="4">
        <v>90.1</v>
      </c>
      <c r="Y158" s="4">
        <v>91.5</v>
      </c>
      <c r="Z158" s="4">
        <v>48.9</v>
      </c>
      <c r="AA158" s="4">
        <v>764</v>
      </c>
      <c r="AB158" s="4">
        <v>2.44</v>
      </c>
      <c r="AC158" s="4">
        <v>1.62</v>
      </c>
      <c r="AD158" s="4" t="s">
        <v>236</v>
      </c>
      <c r="AE158" s="4">
        <v>59.1</v>
      </c>
    </row>
    <row r="159" spans="1:31">
      <c r="A159" s="4"/>
      <c r="B159" s="5" t="s">
        <v>237</v>
      </c>
      <c r="C159" s="4"/>
      <c r="D159" s="4">
        <v>13</v>
      </c>
      <c r="E159" s="4">
        <v>1</v>
      </c>
      <c r="F159" s="4">
        <v>203</v>
      </c>
      <c r="G159" s="4">
        <v>203</v>
      </c>
      <c r="H159" s="4">
        <v>12.7</v>
      </c>
      <c r="I159" s="4">
        <v>40.299999999999997</v>
      </c>
      <c r="J159" s="4">
        <v>16</v>
      </c>
      <c r="K159" s="4">
        <v>16</v>
      </c>
      <c r="L159" s="4">
        <v>29</v>
      </c>
      <c r="M159" s="4">
        <v>1</v>
      </c>
      <c r="N159" s="4">
        <v>78.400000000000006</v>
      </c>
      <c r="O159" s="4">
        <v>9990</v>
      </c>
      <c r="P159" s="4">
        <v>40.4</v>
      </c>
      <c r="Q159" s="4">
        <v>274</v>
      </c>
      <c r="R159" s="4">
        <v>63.6</v>
      </c>
      <c r="S159" s="4">
        <v>55.5</v>
      </c>
      <c r="T159" s="4">
        <v>84.4</v>
      </c>
      <c r="U159" s="4">
        <v>87</v>
      </c>
      <c r="V159" s="4">
        <v>87.7</v>
      </c>
      <c r="W159" s="4">
        <v>88.4</v>
      </c>
      <c r="X159" s="4">
        <v>89.8</v>
      </c>
      <c r="Y159" s="4">
        <v>91.2</v>
      </c>
      <c r="Z159" s="4">
        <v>49.1</v>
      </c>
      <c r="AA159" s="4">
        <v>537</v>
      </c>
      <c r="AB159" s="4">
        <v>1.73</v>
      </c>
      <c r="AC159" s="4">
        <v>1.62</v>
      </c>
      <c r="AD159" s="4" t="s">
        <v>238</v>
      </c>
      <c r="AE159" s="4">
        <v>52.7</v>
      </c>
    </row>
    <row r="160" spans="1:31">
      <c r="A160" s="4" t="s">
        <v>76</v>
      </c>
      <c r="B160" s="5" t="s">
        <v>239</v>
      </c>
      <c r="C160" s="4" t="s">
        <v>76</v>
      </c>
      <c r="D160" s="4">
        <v>13</v>
      </c>
      <c r="E160" s="4">
        <v>3</v>
      </c>
      <c r="F160" s="4">
        <v>152</v>
      </c>
      <c r="G160" s="4">
        <v>152</v>
      </c>
      <c r="H160" s="4">
        <v>25.4</v>
      </c>
      <c r="I160" s="4">
        <v>29.6</v>
      </c>
      <c r="J160" s="4">
        <v>5.98</v>
      </c>
      <c r="K160" s="4">
        <v>5.98</v>
      </c>
      <c r="L160" s="4">
        <v>38</v>
      </c>
      <c r="M160" s="4">
        <v>1</v>
      </c>
      <c r="N160" s="4">
        <v>111</v>
      </c>
      <c r="O160" s="4">
        <v>14200</v>
      </c>
      <c r="P160" s="4">
        <v>29.3</v>
      </c>
      <c r="Q160" s="4">
        <v>279</v>
      </c>
      <c r="R160" s="4">
        <v>45.5</v>
      </c>
      <c r="S160" s="4">
        <v>47.2</v>
      </c>
      <c r="T160" s="4">
        <v>65.599999999999994</v>
      </c>
      <c r="U160" s="4">
        <v>68.5</v>
      </c>
      <c r="V160" s="4">
        <v>69.3</v>
      </c>
      <c r="W160" s="4">
        <v>70</v>
      </c>
      <c r="X160" s="4">
        <v>71.5</v>
      </c>
      <c r="Y160" s="4">
        <v>73.099999999999994</v>
      </c>
      <c r="Z160" s="4">
        <v>34.5</v>
      </c>
      <c r="AA160" s="4">
        <v>3040</v>
      </c>
      <c r="AB160" s="4">
        <v>4.92</v>
      </c>
      <c r="AC160" s="4">
        <v>1.22</v>
      </c>
      <c r="AD160" s="4" t="s">
        <v>240</v>
      </c>
      <c r="AE160" s="4">
        <v>74.7</v>
      </c>
    </row>
    <row r="161" spans="1:31">
      <c r="A161" s="4"/>
      <c r="B161" s="5" t="s">
        <v>241</v>
      </c>
      <c r="C161" s="4" t="s">
        <v>76</v>
      </c>
      <c r="D161" s="4">
        <v>13</v>
      </c>
      <c r="E161" s="4">
        <v>3</v>
      </c>
      <c r="F161" s="4">
        <v>152</v>
      </c>
      <c r="G161" s="4">
        <v>152</v>
      </c>
      <c r="H161" s="4">
        <v>22.2</v>
      </c>
      <c r="I161" s="4">
        <v>29.6</v>
      </c>
      <c r="J161" s="4">
        <v>6.85</v>
      </c>
      <c r="K161" s="4">
        <v>6.85</v>
      </c>
      <c r="L161" s="4">
        <v>35</v>
      </c>
      <c r="M161" s="4">
        <v>1</v>
      </c>
      <c r="N161" s="4">
        <v>98.2</v>
      </c>
      <c r="O161" s="4">
        <v>12500</v>
      </c>
      <c r="P161" s="4">
        <v>26.3</v>
      </c>
      <c r="Q161" s="4">
        <v>249</v>
      </c>
      <c r="R161" s="4">
        <v>45.9</v>
      </c>
      <c r="S161" s="4">
        <v>46.1</v>
      </c>
      <c r="T161" s="4">
        <v>65</v>
      </c>
      <c r="U161" s="4">
        <v>67.900000000000006</v>
      </c>
      <c r="V161" s="4">
        <v>68.7</v>
      </c>
      <c r="W161" s="4">
        <v>69.400000000000006</v>
      </c>
      <c r="X161" s="4">
        <v>70.900000000000006</v>
      </c>
      <c r="Y161" s="4">
        <v>72.5</v>
      </c>
      <c r="Z161" s="4">
        <v>35</v>
      </c>
      <c r="AA161" s="4">
        <v>2060</v>
      </c>
      <c r="AB161" s="4">
        <v>3.4</v>
      </c>
      <c r="AC161" s="4">
        <v>1.22</v>
      </c>
      <c r="AD161" s="4" t="s">
        <v>242</v>
      </c>
      <c r="AE161" s="4">
        <v>66</v>
      </c>
    </row>
    <row r="162" spans="1:31">
      <c r="A162" s="4"/>
      <c r="B162" s="5" t="s">
        <v>243</v>
      </c>
      <c r="C162" s="4"/>
      <c r="D162" s="4">
        <v>13</v>
      </c>
      <c r="E162" s="4">
        <v>2</v>
      </c>
      <c r="F162" s="4">
        <v>152</v>
      </c>
      <c r="G162" s="4">
        <v>152</v>
      </c>
      <c r="H162" s="4">
        <v>19.100000000000001</v>
      </c>
      <c r="I162" s="4">
        <v>29.7</v>
      </c>
      <c r="J162" s="4">
        <v>7.96</v>
      </c>
      <c r="K162" s="4">
        <v>7.96</v>
      </c>
      <c r="L162" s="4">
        <v>32</v>
      </c>
      <c r="M162" s="4">
        <v>1</v>
      </c>
      <c r="N162" s="4">
        <v>85.4</v>
      </c>
      <c r="O162" s="4">
        <v>10900</v>
      </c>
      <c r="P162" s="4">
        <v>23.3</v>
      </c>
      <c r="Q162" s="4">
        <v>218</v>
      </c>
      <c r="R162" s="4">
        <v>46.3</v>
      </c>
      <c r="S162" s="4">
        <v>45</v>
      </c>
      <c r="T162" s="4">
        <v>64.5</v>
      </c>
      <c r="U162" s="4">
        <v>67.400000000000006</v>
      </c>
      <c r="V162" s="4">
        <v>68.099999999999994</v>
      </c>
      <c r="W162" s="4">
        <v>68.900000000000006</v>
      </c>
      <c r="X162" s="4">
        <v>70.400000000000006</v>
      </c>
      <c r="Y162" s="4">
        <v>71.900000000000006</v>
      </c>
      <c r="Z162" s="4">
        <v>35.5</v>
      </c>
      <c r="AA162" s="4">
        <v>1320</v>
      </c>
      <c r="AB162" s="4">
        <v>2.2400000000000002</v>
      </c>
      <c r="AC162" s="4">
        <v>1.22</v>
      </c>
      <c r="AD162" s="4" t="s">
        <v>244</v>
      </c>
      <c r="AE162" s="4">
        <v>57.4</v>
      </c>
    </row>
    <row r="163" spans="1:31">
      <c r="A163" s="4"/>
      <c r="B163" s="5" t="s">
        <v>245</v>
      </c>
      <c r="C163" s="4"/>
      <c r="D163" s="4">
        <v>13</v>
      </c>
      <c r="E163" s="4">
        <v>2</v>
      </c>
      <c r="F163" s="4">
        <v>152</v>
      </c>
      <c r="G163" s="4">
        <v>152</v>
      </c>
      <c r="H163" s="4">
        <v>15.9</v>
      </c>
      <c r="I163" s="4">
        <v>29.8</v>
      </c>
      <c r="J163" s="4">
        <v>9.56</v>
      </c>
      <c r="K163" s="4">
        <v>9.56</v>
      </c>
      <c r="L163" s="4">
        <v>29</v>
      </c>
      <c r="M163" s="4">
        <v>1</v>
      </c>
      <c r="N163" s="4">
        <v>71.900000000000006</v>
      </c>
      <c r="O163" s="4">
        <v>9160</v>
      </c>
      <c r="P163" s="4">
        <v>20</v>
      </c>
      <c r="Q163" s="4">
        <v>185</v>
      </c>
      <c r="R163" s="4">
        <v>46.7</v>
      </c>
      <c r="S163" s="4">
        <v>43.9</v>
      </c>
      <c r="T163" s="4">
        <v>64.099999999999994</v>
      </c>
      <c r="U163" s="4">
        <v>66.900000000000006</v>
      </c>
      <c r="V163" s="4">
        <v>67.599999999999994</v>
      </c>
      <c r="W163" s="4">
        <v>68.3</v>
      </c>
      <c r="X163" s="4">
        <v>69.8</v>
      </c>
      <c r="Y163" s="4">
        <v>71.3</v>
      </c>
      <c r="Z163" s="4">
        <v>35.9</v>
      </c>
      <c r="AA163" s="4">
        <v>772</v>
      </c>
      <c r="AB163" s="4">
        <v>1.34</v>
      </c>
      <c r="AC163" s="4">
        <v>1.22</v>
      </c>
      <c r="AD163" s="4" t="s">
        <v>246</v>
      </c>
      <c r="AE163" s="4">
        <v>48.3</v>
      </c>
    </row>
    <row r="164" spans="1:31">
      <c r="A164" s="4"/>
      <c r="B164" s="5" t="s">
        <v>247</v>
      </c>
      <c r="C164" s="4" t="s">
        <v>76</v>
      </c>
      <c r="D164" s="4">
        <v>13</v>
      </c>
      <c r="E164" s="4">
        <v>2</v>
      </c>
      <c r="F164" s="4">
        <v>152</v>
      </c>
      <c r="G164" s="4">
        <v>152</v>
      </c>
      <c r="H164" s="4">
        <v>14.3</v>
      </c>
      <c r="I164" s="4">
        <v>29.9</v>
      </c>
      <c r="J164" s="4">
        <v>10.6</v>
      </c>
      <c r="K164" s="4">
        <v>10.6</v>
      </c>
      <c r="L164" s="4">
        <v>27</v>
      </c>
      <c r="M164" s="4">
        <v>1</v>
      </c>
      <c r="N164" s="4">
        <v>65</v>
      </c>
      <c r="O164" s="4">
        <v>8290</v>
      </c>
      <c r="P164" s="4">
        <v>18.2</v>
      </c>
      <c r="Q164" s="4">
        <v>168</v>
      </c>
      <c r="R164" s="4">
        <v>46.9</v>
      </c>
      <c r="S164" s="4">
        <v>43.3</v>
      </c>
      <c r="T164" s="4">
        <v>63.8</v>
      </c>
      <c r="U164" s="4">
        <v>66.599999999999994</v>
      </c>
      <c r="V164" s="4">
        <v>67.3</v>
      </c>
      <c r="W164" s="4">
        <v>68</v>
      </c>
      <c r="X164" s="4">
        <v>69.5</v>
      </c>
      <c r="Y164" s="4">
        <v>71</v>
      </c>
      <c r="Z164" s="4">
        <v>36.1</v>
      </c>
      <c r="AA164" s="4">
        <v>565</v>
      </c>
      <c r="AB164" s="4">
        <v>0.98699999999999999</v>
      </c>
      <c r="AC164" s="4">
        <v>1.22</v>
      </c>
      <c r="AD164" s="4" t="s">
        <v>248</v>
      </c>
      <c r="AE164" s="4">
        <v>43.7</v>
      </c>
    </row>
    <row r="165" spans="1:31">
      <c r="A165" s="4"/>
      <c r="B165" s="5" t="s">
        <v>249</v>
      </c>
      <c r="C165" s="4"/>
      <c r="D165" s="4">
        <v>13</v>
      </c>
      <c r="E165" s="4">
        <v>1</v>
      </c>
      <c r="F165" s="4">
        <v>152</v>
      </c>
      <c r="G165" s="4">
        <v>152</v>
      </c>
      <c r="H165" s="4">
        <v>12.7</v>
      </c>
      <c r="I165" s="4">
        <v>30</v>
      </c>
      <c r="J165" s="4">
        <v>12</v>
      </c>
      <c r="K165" s="4">
        <v>12</v>
      </c>
      <c r="L165" s="4">
        <v>26</v>
      </c>
      <c r="M165" s="4">
        <v>1</v>
      </c>
      <c r="N165" s="4">
        <v>58.1</v>
      </c>
      <c r="O165" s="4">
        <v>7400</v>
      </c>
      <c r="P165" s="4">
        <v>16.399999999999999</v>
      </c>
      <c r="Q165" s="4">
        <v>150</v>
      </c>
      <c r="R165" s="4">
        <v>47.1</v>
      </c>
      <c r="S165" s="4">
        <v>42.7</v>
      </c>
      <c r="T165" s="4">
        <v>63.6</v>
      </c>
      <c r="U165" s="4">
        <v>66.3</v>
      </c>
      <c r="V165" s="4">
        <v>67.099999999999994</v>
      </c>
      <c r="W165" s="4">
        <v>67.8</v>
      </c>
      <c r="X165" s="4">
        <v>69.2</v>
      </c>
      <c r="Y165" s="4">
        <v>70.7</v>
      </c>
      <c r="Z165" s="4">
        <v>36.299999999999997</v>
      </c>
      <c r="AA165" s="4">
        <v>398</v>
      </c>
      <c r="AB165" s="4">
        <v>0.70299999999999996</v>
      </c>
      <c r="AC165" s="4">
        <v>1.22</v>
      </c>
      <c r="AD165" s="4" t="s">
        <v>250</v>
      </c>
      <c r="AE165" s="4">
        <v>39</v>
      </c>
    </row>
    <row r="166" spans="1:31">
      <c r="A166" s="4"/>
      <c r="B166" s="5" t="s">
        <v>251</v>
      </c>
      <c r="C166" s="4" t="s">
        <v>76</v>
      </c>
      <c r="D166" s="4">
        <v>13</v>
      </c>
      <c r="E166" s="4">
        <v>1</v>
      </c>
      <c r="F166" s="4">
        <v>152</v>
      </c>
      <c r="G166" s="4">
        <v>152</v>
      </c>
      <c r="H166" s="4">
        <v>11.1</v>
      </c>
      <c r="I166" s="4">
        <v>30.1</v>
      </c>
      <c r="J166" s="4">
        <v>13.7</v>
      </c>
      <c r="K166" s="4">
        <v>13.7</v>
      </c>
      <c r="L166" s="4">
        <v>24</v>
      </c>
      <c r="M166" s="4">
        <v>1</v>
      </c>
      <c r="N166" s="4">
        <v>51</v>
      </c>
      <c r="O166" s="4">
        <v>6500</v>
      </c>
      <c r="P166" s="4">
        <v>14.6</v>
      </c>
      <c r="Q166" s="4">
        <v>133</v>
      </c>
      <c r="R166" s="4">
        <v>47.4</v>
      </c>
      <c r="S166" s="4">
        <v>42.1</v>
      </c>
      <c r="T166" s="4">
        <v>63.4</v>
      </c>
      <c r="U166" s="4">
        <v>66.099999999999994</v>
      </c>
      <c r="V166" s="4">
        <v>66.8</v>
      </c>
      <c r="W166" s="4">
        <v>67.5</v>
      </c>
      <c r="X166" s="4">
        <v>69</v>
      </c>
      <c r="Y166" s="4">
        <v>70.400000000000006</v>
      </c>
      <c r="Z166" s="4">
        <v>36.6</v>
      </c>
      <c r="AA166" s="4">
        <v>267</v>
      </c>
      <c r="AB166" s="4">
        <v>0.47699999999999998</v>
      </c>
      <c r="AC166" s="4">
        <v>1.22</v>
      </c>
      <c r="AD166" s="4" t="s">
        <v>252</v>
      </c>
      <c r="AE166" s="4">
        <v>34.299999999999997</v>
      </c>
    </row>
    <row r="167" spans="1:31">
      <c r="A167" s="4"/>
      <c r="B167" s="5" t="s">
        <v>253</v>
      </c>
      <c r="C167" s="4"/>
      <c r="D167" s="4">
        <v>13</v>
      </c>
      <c r="E167" s="4">
        <v>1</v>
      </c>
      <c r="F167" s="4">
        <v>152</v>
      </c>
      <c r="G167" s="4">
        <v>152</v>
      </c>
      <c r="H167" s="4">
        <v>9.5299999999999994</v>
      </c>
      <c r="I167" s="4">
        <v>30.2</v>
      </c>
      <c r="J167" s="4">
        <v>15.9</v>
      </c>
      <c r="K167" s="4">
        <v>15.9</v>
      </c>
      <c r="L167" s="4">
        <v>23</v>
      </c>
      <c r="M167" s="4">
        <v>1</v>
      </c>
      <c r="N167" s="4">
        <v>44.1</v>
      </c>
      <c r="O167" s="4">
        <v>5610</v>
      </c>
      <c r="P167" s="4">
        <v>12.7</v>
      </c>
      <c r="Q167" s="4">
        <v>115</v>
      </c>
      <c r="R167" s="4">
        <v>47.6</v>
      </c>
      <c r="S167" s="4">
        <v>41.5</v>
      </c>
      <c r="T167" s="4">
        <v>63.2</v>
      </c>
      <c r="U167" s="4">
        <v>65.900000000000006</v>
      </c>
      <c r="V167" s="4">
        <v>66.599999999999994</v>
      </c>
      <c r="W167" s="4">
        <v>67.3</v>
      </c>
      <c r="X167" s="4">
        <v>68.7</v>
      </c>
      <c r="Y167" s="4">
        <v>70.099999999999994</v>
      </c>
      <c r="Z167" s="4">
        <v>36.799999999999997</v>
      </c>
      <c r="AA167" s="4">
        <v>170</v>
      </c>
      <c r="AB167" s="4">
        <v>0.307</v>
      </c>
      <c r="AC167" s="4">
        <v>1.22</v>
      </c>
      <c r="AD167" s="4" t="s">
        <v>254</v>
      </c>
      <c r="AE167" s="4">
        <v>29.6</v>
      </c>
    </row>
    <row r="168" spans="1:31">
      <c r="A168" s="4"/>
      <c r="B168" s="5" t="s">
        <v>255</v>
      </c>
      <c r="C168" s="4" t="s">
        <v>76</v>
      </c>
      <c r="D168" s="4">
        <v>13</v>
      </c>
      <c r="E168" s="4">
        <v>1</v>
      </c>
      <c r="F168" s="4">
        <v>152</v>
      </c>
      <c r="G168" s="4">
        <v>152</v>
      </c>
      <c r="H168" s="4">
        <v>7.94</v>
      </c>
      <c r="I168" s="4">
        <v>30.3</v>
      </c>
      <c r="J168" s="4">
        <v>19.100000000000001</v>
      </c>
      <c r="K168" s="4">
        <v>19.100000000000001</v>
      </c>
      <c r="L168" s="4">
        <v>21</v>
      </c>
      <c r="M168" s="4">
        <v>1</v>
      </c>
      <c r="N168" s="4">
        <v>36.9</v>
      </c>
      <c r="O168" s="4">
        <v>4700</v>
      </c>
      <c r="P168" s="4">
        <v>10.8</v>
      </c>
      <c r="Q168" s="4">
        <v>96.8</v>
      </c>
      <c r="R168" s="4">
        <v>47.8</v>
      </c>
      <c r="S168" s="4">
        <v>41</v>
      </c>
      <c r="T168" s="4">
        <v>63</v>
      </c>
      <c r="U168" s="4">
        <v>65.599999999999994</v>
      </c>
      <c r="V168" s="4">
        <v>66.3</v>
      </c>
      <c r="W168" s="4">
        <v>67</v>
      </c>
      <c r="X168" s="4">
        <v>68.400000000000006</v>
      </c>
      <c r="Y168" s="4">
        <v>69.900000000000006</v>
      </c>
      <c r="Z168" s="4">
        <v>37</v>
      </c>
      <c r="AA168" s="4">
        <v>98.8</v>
      </c>
      <c r="AB168" s="4">
        <v>0.18</v>
      </c>
      <c r="AC168" s="4">
        <v>1.22</v>
      </c>
      <c r="AD168" s="4" t="s">
        <v>256</v>
      </c>
      <c r="AE168" s="4">
        <v>24.8</v>
      </c>
    </row>
    <row r="169" spans="1:31">
      <c r="A169" s="4"/>
      <c r="B169" s="5" t="s">
        <v>257</v>
      </c>
      <c r="C169" s="4" t="s">
        <v>76</v>
      </c>
      <c r="D169" s="4">
        <v>13</v>
      </c>
      <c r="E169" s="4">
        <v>1</v>
      </c>
      <c r="F169" s="4">
        <v>152</v>
      </c>
      <c r="G169" s="4">
        <v>152</v>
      </c>
      <c r="H169" s="4">
        <v>6.35</v>
      </c>
      <c r="I169" s="4">
        <v>30.4</v>
      </c>
      <c r="J169" s="4">
        <v>23.9</v>
      </c>
      <c r="K169" s="4">
        <v>23.9</v>
      </c>
      <c r="L169" s="4">
        <v>19</v>
      </c>
      <c r="M169" s="4">
        <v>1</v>
      </c>
      <c r="N169" s="4">
        <v>29.7</v>
      </c>
      <c r="O169" s="4">
        <v>3780</v>
      </c>
      <c r="P169" s="4">
        <v>8.73</v>
      </c>
      <c r="Q169" s="4">
        <v>78.2</v>
      </c>
      <c r="R169" s="4">
        <v>48.1</v>
      </c>
      <c r="S169" s="4">
        <v>40.4</v>
      </c>
      <c r="T169" s="4">
        <v>62.8</v>
      </c>
      <c r="U169" s="4">
        <v>65.400000000000006</v>
      </c>
      <c r="V169" s="4">
        <v>66.099999999999994</v>
      </c>
      <c r="W169" s="4">
        <v>66.8</v>
      </c>
      <c r="X169" s="4">
        <v>68.2</v>
      </c>
      <c r="Y169" s="4">
        <v>69.599999999999994</v>
      </c>
      <c r="Z169" s="4">
        <v>37.200000000000003</v>
      </c>
      <c r="AA169" s="4">
        <v>50.8</v>
      </c>
      <c r="AB169" s="4">
        <v>9.3799999999999994E-2</v>
      </c>
      <c r="AC169" s="4">
        <v>1.22</v>
      </c>
      <c r="AD169" s="4" t="s">
        <v>258</v>
      </c>
      <c r="AE169" s="4">
        <v>19.899999999999999</v>
      </c>
    </row>
    <row r="170" spans="1:31">
      <c r="A170" s="4" t="s">
        <v>76</v>
      </c>
      <c r="B170" s="5" t="s">
        <v>259</v>
      </c>
      <c r="C170" s="4" t="s">
        <v>76</v>
      </c>
      <c r="D170" s="4">
        <v>13</v>
      </c>
      <c r="E170" s="4">
        <v>3</v>
      </c>
      <c r="F170" s="4">
        <v>127</v>
      </c>
      <c r="G170" s="4">
        <v>127</v>
      </c>
      <c r="H170" s="4">
        <v>22.2</v>
      </c>
      <c r="I170" s="4">
        <v>24.7</v>
      </c>
      <c r="J170" s="4">
        <v>5.72</v>
      </c>
      <c r="K170" s="4">
        <v>5.72</v>
      </c>
      <c r="L170" s="4">
        <v>35</v>
      </c>
      <c r="M170" s="4">
        <v>1</v>
      </c>
      <c r="N170" s="4">
        <v>80.8</v>
      </c>
      <c r="O170" s="4">
        <v>10300</v>
      </c>
      <c r="P170" s="4">
        <v>14.8</v>
      </c>
      <c r="Q170" s="4">
        <v>169</v>
      </c>
      <c r="R170" s="4">
        <v>37.9</v>
      </c>
      <c r="S170" s="4">
        <v>39.799999999999997</v>
      </c>
      <c r="T170" s="4">
        <v>55</v>
      </c>
      <c r="U170" s="4">
        <v>57.9</v>
      </c>
      <c r="V170" s="4">
        <v>58.7</v>
      </c>
      <c r="W170" s="4">
        <v>59.4</v>
      </c>
      <c r="X170" s="4">
        <v>61</v>
      </c>
      <c r="Y170" s="4">
        <v>62.6</v>
      </c>
      <c r="Z170" s="4">
        <v>28.7</v>
      </c>
      <c r="AA170" s="4">
        <v>1690</v>
      </c>
      <c r="AB170" s="4">
        <v>1.89</v>
      </c>
      <c r="AC170" s="4">
        <v>1.02</v>
      </c>
      <c r="AD170" s="4" t="s">
        <v>260</v>
      </c>
      <c r="AE170" s="4">
        <v>54.3</v>
      </c>
    </row>
    <row r="171" spans="1:31">
      <c r="A171" s="4"/>
      <c r="B171" s="5" t="s">
        <v>261</v>
      </c>
      <c r="C171" s="4"/>
      <c r="D171" s="4">
        <v>13</v>
      </c>
      <c r="E171" s="4">
        <v>2</v>
      </c>
      <c r="F171" s="4">
        <v>127</v>
      </c>
      <c r="G171" s="4">
        <v>127</v>
      </c>
      <c r="H171" s="4">
        <v>19.100000000000001</v>
      </c>
      <c r="I171" s="4">
        <v>24.8</v>
      </c>
      <c r="J171" s="4">
        <v>6.65</v>
      </c>
      <c r="K171" s="4">
        <v>6.65</v>
      </c>
      <c r="L171" s="4">
        <v>32</v>
      </c>
      <c r="M171" s="4">
        <v>1</v>
      </c>
      <c r="N171" s="4">
        <v>70.400000000000006</v>
      </c>
      <c r="O171" s="4">
        <v>8970</v>
      </c>
      <c r="P171" s="4">
        <v>13.1</v>
      </c>
      <c r="Q171" s="4">
        <v>149</v>
      </c>
      <c r="R171" s="4">
        <v>38.299999999999997</v>
      </c>
      <c r="S171" s="4">
        <v>38.700000000000003</v>
      </c>
      <c r="T171" s="4">
        <v>54.4</v>
      </c>
      <c r="U171" s="4">
        <v>57.3</v>
      </c>
      <c r="V171" s="4">
        <v>58.1</v>
      </c>
      <c r="W171" s="4">
        <v>58.8</v>
      </c>
      <c r="X171" s="4">
        <v>60.4</v>
      </c>
      <c r="Y171" s="4">
        <v>61.9</v>
      </c>
      <c r="Z171" s="4">
        <v>29.2</v>
      </c>
      <c r="AA171" s="4">
        <v>1090</v>
      </c>
      <c r="AB171" s="4">
        <v>1.25</v>
      </c>
      <c r="AC171" s="4">
        <v>1.02</v>
      </c>
      <c r="AD171" s="4" t="s">
        <v>262</v>
      </c>
      <c r="AE171" s="4">
        <v>47.3</v>
      </c>
    </row>
    <row r="172" spans="1:31">
      <c r="A172" s="4"/>
      <c r="B172" s="5" t="s">
        <v>263</v>
      </c>
      <c r="C172" s="4"/>
      <c r="D172" s="4">
        <v>13</v>
      </c>
      <c r="E172" s="4">
        <v>2</v>
      </c>
      <c r="F172" s="4">
        <v>127</v>
      </c>
      <c r="G172" s="4">
        <v>127</v>
      </c>
      <c r="H172" s="4">
        <v>15.9</v>
      </c>
      <c r="I172" s="4">
        <v>24.8</v>
      </c>
      <c r="J172" s="4">
        <v>7.99</v>
      </c>
      <c r="K172" s="4">
        <v>7.99</v>
      </c>
      <c r="L172" s="4">
        <v>29</v>
      </c>
      <c r="M172" s="4">
        <v>1</v>
      </c>
      <c r="N172" s="4">
        <v>59.4</v>
      </c>
      <c r="O172" s="4">
        <v>7570</v>
      </c>
      <c r="P172" s="4">
        <v>11.3</v>
      </c>
      <c r="Q172" s="4">
        <v>127</v>
      </c>
      <c r="R172" s="4">
        <v>38.700000000000003</v>
      </c>
      <c r="S172" s="4">
        <v>37.6</v>
      </c>
      <c r="T172" s="4">
        <v>53.9</v>
      </c>
      <c r="U172" s="4">
        <v>56.8</v>
      </c>
      <c r="V172" s="4">
        <v>57.5</v>
      </c>
      <c r="W172" s="4">
        <v>58.3</v>
      </c>
      <c r="X172" s="4">
        <v>59.8</v>
      </c>
      <c r="Y172" s="4">
        <v>61.3</v>
      </c>
      <c r="Z172" s="4">
        <v>29.6</v>
      </c>
      <c r="AA172" s="4">
        <v>638</v>
      </c>
      <c r="AB172" s="4">
        <v>0.754</v>
      </c>
      <c r="AC172" s="4">
        <v>1.02</v>
      </c>
      <c r="AD172" s="4" t="s">
        <v>264</v>
      </c>
      <c r="AE172" s="4">
        <v>39.9</v>
      </c>
    </row>
    <row r="173" spans="1:31">
      <c r="A173" s="4"/>
      <c r="B173" s="5" t="s">
        <v>265</v>
      </c>
      <c r="C173" s="4"/>
      <c r="D173" s="4">
        <v>13</v>
      </c>
      <c r="E173" s="4">
        <v>1</v>
      </c>
      <c r="F173" s="4">
        <v>127</v>
      </c>
      <c r="G173" s="4">
        <v>127</v>
      </c>
      <c r="H173" s="4">
        <v>12.7</v>
      </c>
      <c r="I173" s="4">
        <v>25</v>
      </c>
      <c r="J173" s="4">
        <v>10</v>
      </c>
      <c r="K173" s="4">
        <v>10</v>
      </c>
      <c r="L173" s="4">
        <v>26</v>
      </c>
      <c r="M173" s="4">
        <v>1</v>
      </c>
      <c r="N173" s="4">
        <v>48.1</v>
      </c>
      <c r="O173" s="4">
        <v>6130</v>
      </c>
      <c r="P173" s="4">
        <v>9.3699999999999992</v>
      </c>
      <c r="Q173" s="4">
        <v>103</v>
      </c>
      <c r="R173" s="4">
        <v>39.1</v>
      </c>
      <c r="S173" s="4">
        <v>36.4</v>
      </c>
      <c r="T173" s="4">
        <v>53.4</v>
      </c>
      <c r="U173" s="4">
        <v>56.2</v>
      </c>
      <c r="V173" s="4">
        <v>57</v>
      </c>
      <c r="W173" s="4">
        <v>57.7</v>
      </c>
      <c r="X173" s="4">
        <v>59.2</v>
      </c>
      <c r="Y173" s="4">
        <v>60.7</v>
      </c>
      <c r="Z173" s="4">
        <v>30.1</v>
      </c>
      <c r="AA173" s="4">
        <v>330</v>
      </c>
      <c r="AB173" s="4">
        <v>0.4</v>
      </c>
      <c r="AC173" s="4">
        <v>1.02</v>
      </c>
      <c r="AD173" s="4" t="s">
        <v>266</v>
      </c>
      <c r="AE173" s="4">
        <v>32.299999999999997</v>
      </c>
    </row>
    <row r="174" spans="1:31">
      <c r="A174" s="4"/>
      <c r="B174" s="5" t="s">
        <v>267</v>
      </c>
      <c r="C174" s="4" t="s">
        <v>76</v>
      </c>
      <c r="D174" s="4">
        <v>13</v>
      </c>
      <c r="E174" s="4">
        <v>1</v>
      </c>
      <c r="F174" s="4">
        <v>127</v>
      </c>
      <c r="G174" s="4">
        <v>127</v>
      </c>
      <c r="H174" s="4">
        <v>11.1</v>
      </c>
      <c r="I174" s="4">
        <v>25</v>
      </c>
      <c r="J174" s="4">
        <v>11.4</v>
      </c>
      <c r="K174" s="4">
        <v>11.4</v>
      </c>
      <c r="L174" s="4">
        <v>24</v>
      </c>
      <c r="M174" s="4">
        <v>1</v>
      </c>
      <c r="N174" s="4">
        <v>42.3</v>
      </c>
      <c r="O174" s="4">
        <v>5390</v>
      </c>
      <c r="P174" s="4">
        <v>8.33</v>
      </c>
      <c r="Q174" s="4">
        <v>91.4</v>
      </c>
      <c r="R174" s="4">
        <v>39.299999999999997</v>
      </c>
      <c r="S174" s="4">
        <v>35.799999999999997</v>
      </c>
      <c r="T174" s="4">
        <v>53.2</v>
      </c>
      <c r="U174" s="4">
        <v>56</v>
      </c>
      <c r="V174" s="4">
        <v>56.7</v>
      </c>
      <c r="W174" s="4">
        <v>57.4</v>
      </c>
      <c r="X174" s="4">
        <v>58.9</v>
      </c>
      <c r="Y174" s="4">
        <v>60.4</v>
      </c>
      <c r="Z174" s="4">
        <v>30.3</v>
      </c>
      <c r="AA174" s="4">
        <v>221</v>
      </c>
      <c r="AB174" s="4">
        <v>0.27200000000000002</v>
      </c>
      <c r="AC174" s="4">
        <v>1.02</v>
      </c>
      <c r="AD174" s="4" t="s">
        <v>268</v>
      </c>
      <c r="AE174" s="4">
        <v>28.4</v>
      </c>
    </row>
    <row r="175" spans="1:31">
      <c r="A175" s="4"/>
      <c r="B175" s="5" t="s">
        <v>269</v>
      </c>
      <c r="C175" s="4"/>
      <c r="D175" s="4">
        <v>13</v>
      </c>
      <c r="E175" s="4">
        <v>1</v>
      </c>
      <c r="F175" s="4">
        <v>127</v>
      </c>
      <c r="G175" s="4">
        <v>127</v>
      </c>
      <c r="H175" s="4">
        <v>9.5299999999999994</v>
      </c>
      <c r="I175" s="4">
        <v>25.1</v>
      </c>
      <c r="J175" s="4">
        <v>13.3</v>
      </c>
      <c r="K175" s="4">
        <v>13.3</v>
      </c>
      <c r="L175" s="4">
        <v>23</v>
      </c>
      <c r="M175" s="4">
        <v>1</v>
      </c>
      <c r="N175" s="4">
        <v>36.6</v>
      </c>
      <c r="O175" s="4">
        <v>4660</v>
      </c>
      <c r="P175" s="4">
        <v>7.28</v>
      </c>
      <c r="Q175" s="4">
        <v>79.400000000000006</v>
      </c>
      <c r="R175" s="4">
        <v>39.5</v>
      </c>
      <c r="S175" s="4">
        <v>35.299999999999997</v>
      </c>
      <c r="T175" s="4">
        <v>53</v>
      </c>
      <c r="U175" s="4">
        <v>55.7</v>
      </c>
      <c r="V175" s="4">
        <v>56.4</v>
      </c>
      <c r="W175" s="4">
        <v>57.2</v>
      </c>
      <c r="X175" s="4">
        <v>58.6</v>
      </c>
      <c r="Y175" s="4">
        <v>60.1</v>
      </c>
      <c r="Z175" s="4">
        <v>30.5</v>
      </c>
      <c r="AA175" s="4">
        <v>141</v>
      </c>
      <c r="AB175" s="4">
        <v>0.17599999999999999</v>
      </c>
      <c r="AC175" s="4">
        <v>1.02</v>
      </c>
      <c r="AD175" s="4" t="s">
        <v>270</v>
      </c>
      <c r="AE175" s="4">
        <v>24.6</v>
      </c>
    </row>
    <row r="176" spans="1:31">
      <c r="A176" s="4"/>
      <c r="B176" s="5" t="s">
        <v>271</v>
      </c>
      <c r="C176" s="4"/>
      <c r="D176" s="4">
        <v>13</v>
      </c>
      <c r="E176" s="4">
        <v>1</v>
      </c>
      <c r="F176" s="4">
        <v>127</v>
      </c>
      <c r="G176" s="4">
        <v>127</v>
      </c>
      <c r="H176" s="4">
        <v>7.94</v>
      </c>
      <c r="I176" s="4">
        <v>25.2</v>
      </c>
      <c r="J176" s="4">
        <v>16</v>
      </c>
      <c r="K176" s="4">
        <v>16</v>
      </c>
      <c r="L176" s="4">
        <v>21</v>
      </c>
      <c r="M176" s="4">
        <v>1</v>
      </c>
      <c r="N176" s="4">
        <v>30.7</v>
      </c>
      <c r="O176" s="4">
        <v>3910</v>
      </c>
      <c r="P176" s="4">
        <v>6.18</v>
      </c>
      <c r="Q176" s="4">
        <v>66.900000000000006</v>
      </c>
      <c r="R176" s="4">
        <v>39.799999999999997</v>
      </c>
      <c r="S176" s="4">
        <v>34.700000000000003</v>
      </c>
      <c r="T176" s="4">
        <v>52.8</v>
      </c>
      <c r="U176" s="4">
        <v>55.5</v>
      </c>
      <c r="V176" s="4">
        <v>56.2</v>
      </c>
      <c r="W176" s="4">
        <v>56.9</v>
      </c>
      <c r="X176" s="4">
        <v>58.3</v>
      </c>
      <c r="Y176" s="4">
        <v>59.8</v>
      </c>
      <c r="Z176" s="4">
        <v>30.7</v>
      </c>
      <c r="AA176" s="4">
        <v>82.1</v>
      </c>
      <c r="AB176" s="4">
        <v>0.104</v>
      </c>
      <c r="AC176" s="4">
        <v>1.02</v>
      </c>
      <c r="AD176" s="4" t="s">
        <v>272</v>
      </c>
      <c r="AE176" s="4">
        <v>20.6</v>
      </c>
    </row>
    <row r="177" spans="1:31">
      <c r="A177" s="4"/>
      <c r="B177" s="5" t="s">
        <v>273</v>
      </c>
      <c r="C177" s="4" t="s">
        <v>76</v>
      </c>
      <c r="D177" s="4">
        <v>13</v>
      </c>
      <c r="E177" s="4">
        <v>1</v>
      </c>
      <c r="F177" s="4">
        <v>127</v>
      </c>
      <c r="G177" s="4">
        <v>127</v>
      </c>
      <c r="H177" s="4">
        <v>6.35</v>
      </c>
      <c r="I177" s="4">
        <v>25.4</v>
      </c>
      <c r="J177" s="4">
        <v>20</v>
      </c>
      <c r="K177" s="4">
        <v>20</v>
      </c>
      <c r="L177" s="4">
        <v>19</v>
      </c>
      <c r="M177" s="4">
        <v>1</v>
      </c>
      <c r="N177" s="4">
        <v>24.7</v>
      </c>
      <c r="O177" s="4">
        <v>3150</v>
      </c>
      <c r="P177" s="4">
        <v>5.03</v>
      </c>
      <c r="Q177" s="4">
        <v>54.2</v>
      </c>
      <c r="R177" s="4">
        <v>40</v>
      </c>
      <c r="S177" s="4">
        <v>34.1</v>
      </c>
      <c r="T177" s="4">
        <v>52.6</v>
      </c>
      <c r="U177" s="4">
        <v>55.2</v>
      </c>
      <c r="V177" s="4">
        <v>55.9</v>
      </c>
      <c r="W177" s="4">
        <v>56.6</v>
      </c>
      <c r="X177" s="4">
        <v>58.1</v>
      </c>
      <c r="Y177" s="4">
        <v>59.5</v>
      </c>
      <c r="Z177" s="4">
        <v>30.9</v>
      </c>
      <c r="AA177" s="4">
        <v>42.3</v>
      </c>
      <c r="AB177" s="4">
        <v>5.3999999999999999E-2</v>
      </c>
      <c r="AC177" s="4">
        <v>1.02</v>
      </c>
      <c r="AD177" s="4" t="s">
        <v>274</v>
      </c>
      <c r="AE177" s="4">
        <v>16.600000000000001</v>
      </c>
    </row>
    <row r="178" spans="1:31">
      <c r="A178" s="4" t="s">
        <v>76</v>
      </c>
      <c r="B178" s="5" t="s">
        <v>275</v>
      </c>
      <c r="C178" s="4"/>
      <c r="D178" s="4">
        <v>13</v>
      </c>
      <c r="E178" s="4">
        <v>2</v>
      </c>
      <c r="F178" s="4">
        <v>102</v>
      </c>
      <c r="G178" s="4">
        <v>102</v>
      </c>
      <c r="H178" s="4">
        <v>19.100000000000001</v>
      </c>
      <c r="I178" s="4">
        <v>19.8</v>
      </c>
      <c r="J178" s="4">
        <v>5.34</v>
      </c>
      <c r="K178" s="4">
        <v>5.34</v>
      </c>
      <c r="L178" s="4">
        <v>29</v>
      </c>
      <c r="M178" s="4">
        <v>1</v>
      </c>
      <c r="N178" s="4">
        <v>55.4</v>
      </c>
      <c r="O178" s="4">
        <v>7060</v>
      </c>
      <c r="P178" s="4">
        <v>6.48</v>
      </c>
      <c r="Q178" s="4">
        <v>93.1</v>
      </c>
      <c r="R178" s="4">
        <v>30.3</v>
      </c>
      <c r="S178" s="4">
        <v>32.4</v>
      </c>
      <c r="T178" s="4">
        <v>44.4</v>
      </c>
      <c r="U178" s="4">
        <v>47.4</v>
      </c>
      <c r="V178" s="4">
        <v>48.1</v>
      </c>
      <c r="W178" s="4">
        <v>48.9</v>
      </c>
      <c r="X178" s="4">
        <v>50.5</v>
      </c>
      <c r="Y178" s="4">
        <v>52.1</v>
      </c>
      <c r="Z178" s="4">
        <v>22.9</v>
      </c>
      <c r="AA178" s="4">
        <v>859</v>
      </c>
      <c r="AB178" s="4">
        <v>0.61199999999999999</v>
      </c>
      <c r="AC178" s="4">
        <v>0.81600000000000006</v>
      </c>
      <c r="AD178" s="4" t="s">
        <v>276</v>
      </c>
      <c r="AE178" s="4">
        <v>37.299999999999997</v>
      </c>
    </row>
    <row r="179" spans="1:31">
      <c r="A179" s="4"/>
      <c r="B179" s="5" t="s">
        <v>277</v>
      </c>
      <c r="C179" s="4" t="s">
        <v>76</v>
      </c>
      <c r="D179" s="4">
        <v>13</v>
      </c>
      <c r="E179" s="4">
        <v>2</v>
      </c>
      <c r="F179" s="4">
        <v>102</v>
      </c>
      <c r="G179" s="4">
        <v>102</v>
      </c>
      <c r="H179" s="4">
        <v>15.9</v>
      </c>
      <c r="I179" s="4">
        <v>19.899999999999999</v>
      </c>
      <c r="J179" s="4">
        <v>6.42</v>
      </c>
      <c r="K179" s="4">
        <v>6.42</v>
      </c>
      <c r="L179" s="4">
        <v>26</v>
      </c>
      <c r="M179" s="4">
        <v>1</v>
      </c>
      <c r="N179" s="4">
        <v>47</v>
      </c>
      <c r="O179" s="4">
        <v>5980</v>
      </c>
      <c r="P179" s="4">
        <v>5.62</v>
      </c>
      <c r="Q179" s="4">
        <v>79.5</v>
      </c>
      <c r="R179" s="4">
        <v>30.7</v>
      </c>
      <c r="S179" s="4">
        <v>31.3</v>
      </c>
      <c r="T179" s="4">
        <v>43.8</v>
      </c>
      <c r="U179" s="4">
        <v>46.7</v>
      </c>
      <c r="V179" s="4">
        <v>47.5</v>
      </c>
      <c r="W179" s="4">
        <v>48.3</v>
      </c>
      <c r="X179" s="4">
        <v>49.8</v>
      </c>
      <c r="Y179" s="4">
        <v>51.4</v>
      </c>
      <c r="Z179" s="4">
        <v>23.3</v>
      </c>
      <c r="AA179" s="4">
        <v>504</v>
      </c>
      <c r="AB179" s="4">
        <v>0.372</v>
      </c>
      <c r="AC179" s="4">
        <v>0.81600000000000006</v>
      </c>
      <c r="AD179" s="4" t="s">
        <v>278</v>
      </c>
      <c r="AE179" s="4">
        <v>31.6</v>
      </c>
    </row>
    <row r="180" spans="1:31">
      <c r="A180" s="4"/>
      <c r="B180" s="5" t="s">
        <v>279</v>
      </c>
      <c r="C180" s="4"/>
      <c r="D180" s="4">
        <v>13</v>
      </c>
      <c r="E180" s="4">
        <v>1</v>
      </c>
      <c r="F180" s="4">
        <v>102</v>
      </c>
      <c r="G180" s="4">
        <v>102</v>
      </c>
      <c r="H180" s="4">
        <v>12.7</v>
      </c>
      <c r="I180" s="4">
        <v>19.899999999999999</v>
      </c>
      <c r="J180" s="4">
        <v>8.0299999999999994</v>
      </c>
      <c r="K180" s="4">
        <v>8.0299999999999994</v>
      </c>
      <c r="L180" s="4">
        <v>23</v>
      </c>
      <c r="M180" s="4">
        <v>1</v>
      </c>
      <c r="N180" s="4">
        <v>38.1</v>
      </c>
      <c r="O180" s="4">
        <v>4860</v>
      </c>
      <c r="P180" s="4">
        <v>4.6900000000000004</v>
      </c>
      <c r="Q180" s="4">
        <v>65.3</v>
      </c>
      <c r="R180" s="4">
        <v>31.1</v>
      </c>
      <c r="S180" s="4">
        <v>30.2</v>
      </c>
      <c r="T180" s="4">
        <v>43.3</v>
      </c>
      <c r="U180" s="4">
        <v>46.2</v>
      </c>
      <c r="V180" s="4">
        <v>46.9</v>
      </c>
      <c r="W180" s="4">
        <v>47.7</v>
      </c>
      <c r="X180" s="4">
        <v>49.2</v>
      </c>
      <c r="Y180" s="4">
        <v>50.8</v>
      </c>
      <c r="Z180" s="4">
        <v>23.8</v>
      </c>
      <c r="AA180" s="4">
        <v>261</v>
      </c>
      <c r="AB180" s="4">
        <v>0.19900000000000001</v>
      </c>
      <c r="AC180" s="4">
        <v>0.81600000000000006</v>
      </c>
      <c r="AD180" s="4" t="s">
        <v>280</v>
      </c>
      <c r="AE180" s="4">
        <v>25.6</v>
      </c>
    </row>
    <row r="181" spans="1:31">
      <c r="A181" s="4"/>
      <c r="B181" s="5" t="s">
        <v>281</v>
      </c>
      <c r="C181" s="4" t="s">
        <v>76</v>
      </c>
      <c r="D181" s="4">
        <v>13</v>
      </c>
      <c r="E181" s="4">
        <v>1</v>
      </c>
      <c r="F181" s="4">
        <v>102</v>
      </c>
      <c r="G181" s="4">
        <v>102</v>
      </c>
      <c r="H181" s="4">
        <v>11.1</v>
      </c>
      <c r="I181" s="4">
        <v>20</v>
      </c>
      <c r="J181" s="4">
        <v>9.19</v>
      </c>
      <c r="K181" s="4">
        <v>9.19</v>
      </c>
      <c r="L181" s="4">
        <v>21</v>
      </c>
      <c r="M181" s="4">
        <v>1</v>
      </c>
      <c r="N181" s="4">
        <v>33.6</v>
      </c>
      <c r="O181" s="4">
        <v>4280</v>
      </c>
      <c r="P181" s="4">
        <v>4.1900000000000004</v>
      </c>
      <c r="Q181" s="4">
        <v>57.8</v>
      </c>
      <c r="R181" s="4">
        <v>31.3</v>
      </c>
      <c r="S181" s="4">
        <v>29.6</v>
      </c>
      <c r="T181" s="4">
        <v>43</v>
      </c>
      <c r="U181" s="4">
        <v>45.9</v>
      </c>
      <c r="V181" s="4">
        <v>46.6</v>
      </c>
      <c r="W181" s="4">
        <v>47.4</v>
      </c>
      <c r="X181" s="4">
        <v>48.9</v>
      </c>
      <c r="Y181" s="4">
        <v>50.4</v>
      </c>
      <c r="Z181" s="4">
        <v>24</v>
      </c>
      <c r="AA181" s="4">
        <v>176</v>
      </c>
      <c r="AB181" s="4">
        <v>0.13600000000000001</v>
      </c>
      <c r="AC181" s="4">
        <v>0.81600000000000006</v>
      </c>
      <c r="AD181" s="4" t="s">
        <v>282</v>
      </c>
      <c r="AE181" s="4">
        <v>22.6</v>
      </c>
    </row>
    <row r="182" spans="1:31">
      <c r="A182" s="4"/>
      <c r="B182" s="5" t="s">
        <v>283</v>
      </c>
      <c r="C182" s="4"/>
      <c r="D182" s="4">
        <v>13</v>
      </c>
      <c r="E182" s="4">
        <v>1</v>
      </c>
      <c r="F182" s="4">
        <v>102</v>
      </c>
      <c r="G182" s="4">
        <v>102</v>
      </c>
      <c r="H182" s="4">
        <v>9.5299999999999994</v>
      </c>
      <c r="I182" s="4">
        <v>20.100000000000001</v>
      </c>
      <c r="J182" s="4">
        <v>10.7</v>
      </c>
      <c r="K182" s="4">
        <v>10.7</v>
      </c>
      <c r="L182" s="4">
        <v>20</v>
      </c>
      <c r="M182" s="4">
        <v>1</v>
      </c>
      <c r="N182" s="4">
        <v>29.1</v>
      </c>
      <c r="O182" s="4">
        <v>3710</v>
      </c>
      <c r="P182" s="4">
        <v>3.68</v>
      </c>
      <c r="Q182" s="4">
        <v>50.4</v>
      </c>
      <c r="R182" s="4">
        <v>31.5</v>
      </c>
      <c r="S182" s="4">
        <v>29</v>
      </c>
      <c r="T182" s="4">
        <v>42.8</v>
      </c>
      <c r="U182" s="4">
        <v>45.6</v>
      </c>
      <c r="V182" s="4">
        <v>46.4</v>
      </c>
      <c r="W182" s="4">
        <v>47.1</v>
      </c>
      <c r="X182" s="4">
        <v>48.6</v>
      </c>
      <c r="Y182" s="4">
        <v>50.1</v>
      </c>
      <c r="Z182" s="4">
        <v>24.3</v>
      </c>
      <c r="AA182" s="4">
        <v>112</v>
      </c>
      <c r="AB182" s="4">
        <v>8.8400000000000006E-2</v>
      </c>
      <c r="AC182" s="4">
        <v>0.81600000000000006</v>
      </c>
      <c r="AD182" s="4" t="s">
        <v>284</v>
      </c>
      <c r="AE182" s="4">
        <v>19.600000000000001</v>
      </c>
    </row>
    <row r="183" spans="1:31">
      <c r="A183" s="4"/>
      <c r="B183" s="5" t="s">
        <v>285</v>
      </c>
      <c r="C183" s="4"/>
      <c r="D183" s="4">
        <v>13</v>
      </c>
      <c r="E183" s="4">
        <v>1</v>
      </c>
      <c r="F183" s="4">
        <v>102</v>
      </c>
      <c r="G183" s="4">
        <v>102</v>
      </c>
      <c r="H183" s="4">
        <v>7.94</v>
      </c>
      <c r="I183" s="4">
        <v>20.2</v>
      </c>
      <c r="J183" s="4">
        <v>12.8</v>
      </c>
      <c r="K183" s="4">
        <v>12.8</v>
      </c>
      <c r="L183" s="4">
        <v>18</v>
      </c>
      <c r="M183" s="4">
        <v>1</v>
      </c>
      <c r="N183" s="4">
        <v>24.4</v>
      </c>
      <c r="O183" s="4">
        <v>3110</v>
      </c>
      <c r="P183" s="4">
        <v>3.13</v>
      </c>
      <c r="Q183" s="4">
        <v>42.6</v>
      </c>
      <c r="R183" s="4">
        <v>31.7</v>
      </c>
      <c r="S183" s="4">
        <v>28.4</v>
      </c>
      <c r="T183" s="4">
        <v>42.6</v>
      </c>
      <c r="U183" s="4">
        <v>45.4</v>
      </c>
      <c r="V183" s="4">
        <v>46.1</v>
      </c>
      <c r="W183" s="4">
        <v>46.8</v>
      </c>
      <c r="X183" s="4">
        <v>48.3</v>
      </c>
      <c r="Y183" s="4">
        <v>49.8</v>
      </c>
      <c r="Z183" s="4">
        <v>24.5</v>
      </c>
      <c r="AA183" s="4">
        <v>65.400000000000006</v>
      </c>
      <c r="AB183" s="4">
        <v>5.2400000000000002E-2</v>
      </c>
      <c r="AC183" s="4">
        <v>0.81600000000000006</v>
      </c>
      <c r="AD183" s="4" t="s">
        <v>286</v>
      </c>
      <c r="AE183" s="4">
        <v>16.399999999999999</v>
      </c>
    </row>
    <row r="184" spans="1:31">
      <c r="A184" s="4"/>
      <c r="B184" s="5" t="s">
        <v>287</v>
      </c>
      <c r="C184" s="4"/>
      <c r="D184" s="4">
        <v>13</v>
      </c>
      <c r="E184" s="4">
        <v>1</v>
      </c>
      <c r="F184" s="4">
        <v>102</v>
      </c>
      <c r="G184" s="4">
        <v>102</v>
      </c>
      <c r="H184" s="4">
        <v>6.35</v>
      </c>
      <c r="I184" s="4">
        <v>20.3</v>
      </c>
      <c r="J184" s="4">
        <v>16.100000000000001</v>
      </c>
      <c r="K184" s="4">
        <v>16.100000000000001</v>
      </c>
      <c r="L184" s="4">
        <v>16</v>
      </c>
      <c r="M184" s="4">
        <v>1</v>
      </c>
      <c r="N184" s="4">
        <v>19.7</v>
      </c>
      <c r="O184" s="4">
        <v>2510</v>
      </c>
      <c r="P184" s="4">
        <v>2.56</v>
      </c>
      <c r="Q184" s="4">
        <v>34.5</v>
      </c>
      <c r="R184" s="4">
        <v>31.9</v>
      </c>
      <c r="S184" s="4">
        <v>27.9</v>
      </c>
      <c r="T184" s="4">
        <v>42.4</v>
      </c>
      <c r="U184" s="4">
        <v>45.1</v>
      </c>
      <c r="V184" s="4">
        <v>45.8</v>
      </c>
      <c r="W184" s="4">
        <v>46.5</v>
      </c>
      <c r="X184" s="4">
        <v>48</v>
      </c>
      <c r="Y184" s="4">
        <v>49.5</v>
      </c>
      <c r="Z184" s="4">
        <v>24.7</v>
      </c>
      <c r="AA184" s="4">
        <v>33.700000000000003</v>
      </c>
      <c r="AB184" s="4">
        <v>2.75E-2</v>
      </c>
      <c r="AC184" s="4">
        <v>0.81600000000000006</v>
      </c>
      <c r="AD184" s="4" t="s">
        <v>288</v>
      </c>
      <c r="AE184" s="4">
        <v>13.2</v>
      </c>
    </row>
    <row r="185" spans="1:31">
      <c r="A185" s="4" t="s">
        <v>76</v>
      </c>
      <c r="B185" s="5" t="s">
        <v>289</v>
      </c>
      <c r="C185" s="4"/>
      <c r="D185" s="4">
        <v>13</v>
      </c>
      <c r="E185" s="4">
        <v>1</v>
      </c>
      <c r="F185" s="4">
        <v>88.9</v>
      </c>
      <c r="G185" s="4">
        <v>88.9</v>
      </c>
      <c r="H185" s="4">
        <v>12.7</v>
      </c>
      <c r="I185" s="4">
        <v>17.3</v>
      </c>
      <c r="J185" s="4">
        <v>7</v>
      </c>
      <c r="K185" s="4">
        <v>7</v>
      </c>
      <c r="L185" s="4">
        <v>23</v>
      </c>
      <c r="M185" s="4">
        <v>1</v>
      </c>
      <c r="N185" s="4">
        <v>32.9</v>
      </c>
      <c r="O185" s="4">
        <v>4190</v>
      </c>
      <c r="P185" s="4">
        <v>3.03</v>
      </c>
      <c r="Q185" s="4">
        <v>48.8</v>
      </c>
      <c r="R185" s="4">
        <v>26.9</v>
      </c>
      <c r="S185" s="4">
        <v>26.9</v>
      </c>
      <c r="T185" s="4">
        <v>38</v>
      </c>
      <c r="U185" s="4">
        <v>40.9</v>
      </c>
      <c r="V185" s="4">
        <v>41.7</v>
      </c>
      <c r="W185" s="4">
        <v>42.4</v>
      </c>
      <c r="X185" s="4">
        <v>44</v>
      </c>
      <c r="Y185" s="4">
        <v>45.6</v>
      </c>
      <c r="Z185" s="4">
        <v>20.5</v>
      </c>
      <c r="AA185" s="4">
        <v>225</v>
      </c>
      <c r="AB185" s="4">
        <v>0.128</v>
      </c>
      <c r="AC185" s="4">
        <v>0.71099999999999997</v>
      </c>
      <c r="AD185" s="4" t="s">
        <v>290</v>
      </c>
      <c r="AE185" s="4">
        <v>22.1</v>
      </c>
    </row>
    <row r="186" spans="1:31">
      <c r="A186" s="4"/>
      <c r="B186" s="5" t="s">
        <v>291</v>
      </c>
      <c r="C186" s="4" t="s">
        <v>76</v>
      </c>
      <c r="D186" s="4">
        <v>13</v>
      </c>
      <c r="E186" s="4">
        <v>1</v>
      </c>
      <c r="F186" s="4">
        <v>88.9</v>
      </c>
      <c r="G186" s="4">
        <v>88.9</v>
      </c>
      <c r="H186" s="4">
        <v>11.1</v>
      </c>
      <c r="I186" s="4">
        <v>17.399999999999999</v>
      </c>
      <c r="J186" s="4">
        <v>8.01</v>
      </c>
      <c r="K186" s="4">
        <v>8.01</v>
      </c>
      <c r="L186" s="4">
        <v>21</v>
      </c>
      <c r="M186" s="4">
        <v>1</v>
      </c>
      <c r="N186" s="4">
        <v>29.1</v>
      </c>
      <c r="O186" s="4">
        <v>3700</v>
      </c>
      <c r="P186" s="4">
        <v>2.71</v>
      </c>
      <c r="Q186" s="4">
        <v>43.3</v>
      </c>
      <c r="R186" s="4">
        <v>27.1</v>
      </c>
      <c r="S186" s="4">
        <v>26.3</v>
      </c>
      <c r="T186" s="4">
        <v>37.700000000000003</v>
      </c>
      <c r="U186" s="4">
        <v>40.6</v>
      </c>
      <c r="V186" s="4">
        <v>41.4</v>
      </c>
      <c r="W186" s="4">
        <v>42.1</v>
      </c>
      <c r="X186" s="4">
        <v>43.7</v>
      </c>
      <c r="Y186" s="4">
        <v>45.3</v>
      </c>
      <c r="Z186" s="4">
        <v>20.7</v>
      </c>
      <c r="AA186" s="4">
        <v>152</v>
      </c>
      <c r="AB186" s="4">
        <v>8.7999999999999995E-2</v>
      </c>
      <c r="AC186" s="4">
        <v>0.71099999999999997</v>
      </c>
      <c r="AD186" s="4" t="s">
        <v>292</v>
      </c>
      <c r="AE186" s="4">
        <v>19.5</v>
      </c>
    </row>
    <row r="187" spans="1:31">
      <c r="A187" s="4"/>
      <c r="B187" s="5" t="s">
        <v>293</v>
      </c>
      <c r="C187" s="4"/>
      <c r="D187" s="4">
        <v>13</v>
      </c>
      <c r="E187" s="4">
        <v>1</v>
      </c>
      <c r="F187" s="4">
        <v>88.9</v>
      </c>
      <c r="G187" s="4">
        <v>88.9</v>
      </c>
      <c r="H187" s="4">
        <v>9.5299999999999994</v>
      </c>
      <c r="I187" s="4">
        <v>17.399999999999999</v>
      </c>
      <c r="J187" s="4">
        <v>9.33</v>
      </c>
      <c r="K187" s="4">
        <v>9.33</v>
      </c>
      <c r="L187" s="4">
        <v>20</v>
      </c>
      <c r="M187" s="4">
        <v>1</v>
      </c>
      <c r="N187" s="4">
        <v>25.2</v>
      </c>
      <c r="O187" s="4">
        <v>3210</v>
      </c>
      <c r="P187" s="4">
        <v>2.39</v>
      </c>
      <c r="Q187" s="4">
        <v>37.799999999999997</v>
      </c>
      <c r="R187" s="4">
        <v>27.3</v>
      </c>
      <c r="S187" s="4">
        <v>25.7</v>
      </c>
      <c r="T187" s="4">
        <v>37.5</v>
      </c>
      <c r="U187" s="4">
        <v>40.299999999999997</v>
      </c>
      <c r="V187" s="4">
        <v>41.1</v>
      </c>
      <c r="W187" s="4">
        <v>41.8</v>
      </c>
      <c r="X187" s="4">
        <v>43.4</v>
      </c>
      <c r="Y187" s="4">
        <v>45</v>
      </c>
      <c r="Z187" s="4">
        <v>21</v>
      </c>
      <c r="AA187" s="4">
        <v>97.1</v>
      </c>
      <c r="AB187" s="4">
        <v>5.7299999999999997E-2</v>
      </c>
      <c r="AC187" s="4">
        <v>0.71099999999999997</v>
      </c>
      <c r="AD187" s="4" t="s">
        <v>294</v>
      </c>
      <c r="AE187" s="4">
        <v>16.899999999999999</v>
      </c>
    </row>
    <row r="188" spans="1:31">
      <c r="A188" s="4"/>
      <c r="B188" s="5" t="s">
        <v>295</v>
      </c>
      <c r="C188" s="4"/>
      <c r="D188" s="4">
        <v>13</v>
      </c>
      <c r="E188" s="4">
        <v>1</v>
      </c>
      <c r="F188" s="4">
        <v>88.9</v>
      </c>
      <c r="G188" s="4">
        <v>88.9</v>
      </c>
      <c r="H188" s="4">
        <v>7.94</v>
      </c>
      <c r="I188" s="4">
        <v>17.5</v>
      </c>
      <c r="J188" s="4">
        <v>11.2</v>
      </c>
      <c r="K188" s="4">
        <v>11.2</v>
      </c>
      <c r="L188" s="4">
        <v>18</v>
      </c>
      <c r="M188" s="4">
        <v>1</v>
      </c>
      <c r="N188" s="4">
        <v>21.2</v>
      </c>
      <c r="O188" s="4">
        <v>2700</v>
      </c>
      <c r="P188" s="4">
        <v>2.04</v>
      </c>
      <c r="Q188" s="4">
        <v>32</v>
      </c>
      <c r="R188" s="4">
        <v>27.5</v>
      </c>
      <c r="S188" s="4">
        <v>25.2</v>
      </c>
      <c r="T188" s="4">
        <v>37.299999999999997</v>
      </c>
      <c r="U188" s="4">
        <v>40.1</v>
      </c>
      <c r="V188" s="4">
        <v>40.799999999999997</v>
      </c>
      <c r="W188" s="4">
        <v>41.6</v>
      </c>
      <c r="X188" s="4">
        <v>43.1</v>
      </c>
      <c r="Y188" s="4">
        <v>44.6</v>
      </c>
      <c r="Z188" s="4">
        <v>21.2</v>
      </c>
      <c r="AA188" s="4">
        <v>56.7</v>
      </c>
      <c r="AB188" s="4">
        <v>3.4099999999999998E-2</v>
      </c>
      <c r="AC188" s="4">
        <v>0.71099999999999997</v>
      </c>
      <c r="AD188" s="4" t="s">
        <v>296</v>
      </c>
      <c r="AE188" s="4">
        <v>14.2</v>
      </c>
    </row>
    <row r="189" spans="1:31">
      <c r="A189" s="4"/>
      <c r="B189" s="5" t="s">
        <v>297</v>
      </c>
      <c r="C189" s="4"/>
      <c r="D189" s="4">
        <v>13</v>
      </c>
      <c r="E189" s="4">
        <v>1</v>
      </c>
      <c r="F189" s="4">
        <v>88.9</v>
      </c>
      <c r="G189" s="4">
        <v>88.9</v>
      </c>
      <c r="H189" s="4">
        <v>6.35</v>
      </c>
      <c r="I189" s="4">
        <v>17.600000000000001</v>
      </c>
      <c r="J189" s="4">
        <v>14</v>
      </c>
      <c r="K189" s="4">
        <v>14</v>
      </c>
      <c r="L189" s="4">
        <v>16</v>
      </c>
      <c r="M189" s="4">
        <v>1</v>
      </c>
      <c r="N189" s="4">
        <v>17.100000000000001</v>
      </c>
      <c r="O189" s="4">
        <v>2180</v>
      </c>
      <c r="P189" s="4">
        <v>1.67</v>
      </c>
      <c r="Q189" s="4">
        <v>26</v>
      </c>
      <c r="R189" s="4">
        <v>27.7</v>
      </c>
      <c r="S189" s="4">
        <v>24.6</v>
      </c>
      <c r="T189" s="4">
        <v>37</v>
      </c>
      <c r="U189" s="4">
        <v>39.799999999999997</v>
      </c>
      <c r="V189" s="4">
        <v>40.5</v>
      </c>
      <c r="W189" s="4">
        <v>41.3</v>
      </c>
      <c r="X189" s="4">
        <v>42.8</v>
      </c>
      <c r="Y189" s="4">
        <v>44.3</v>
      </c>
      <c r="Z189" s="4">
        <v>21.4</v>
      </c>
      <c r="AA189" s="4">
        <v>29.3</v>
      </c>
      <c r="AB189" s="4">
        <v>1.7899999999999999E-2</v>
      </c>
      <c r="AC189" s="4">
        <v>0.71099999999999997</v>
      </c>
      <c r="AD189" s="4" t="s">
        <v>298</v>
      </c>
      <c r="AE189" s="4">
        <v>11.5</v>
      </c>
    </row>
    <row r="190" spans="1:31">
      <c r="A190" s="4" t="s">
        <v>76</v>
      </c>
      <c r="B190" s="5" t="s">
        <v>34</v>
      </c>
      <c r="C190" s="4"/>
      <c r="D190" s="4">
        <v>13</v>
      </c>
      <c r="E190" s="4">
        <v>1</v>
      </c>
      <c r="F190" s="4">
        <v>76.2</v>
      </c>
      <c r="G190" s="4">
        <v>76.2</v>
      </c>
      <c r="H190" s="4">
        <v>12.7</v>
      </c>
      <c r="I190" s="4">
        <v>14.8</v>
      </c>
      <c r="J190" s="4">
        <v>6</v>
      </c>
      <c r="K190" s="4">
        <v>6</v>
      </c>
      <c r="L190" s="4">
        <v>23</v>
      </c>
      <c r="M190" s="4">
        <v>1</v>
      </c>
      <c r="N190" s="4">
        <v>27.9</v>
      </c>
      <c r="O190" s="4">
        <v>3550</v>
      </c>
      <c r="P190" s="4">
        <v>1.85</v>
      </c>
      <c r="Q190" s="4">
        <v>35.1</v>
      </c>
      <c r="R190" s="4">
        <v>22.8</v>
      </c>
      <c r="S190" s="4">
        <v>23.7</v>
      </c>
      <c r="T190" s="4">
        <v>32.9</v>
      </c>
      <c r="U190" s="4">
        <v>35.9</v>
      </c>
      <c r="V190" s="4">
        <v>36.6</v>
      </c>
      <c r="W190" s="4">
        <v>37.4</v>
      </c>
      <c r="X190" s="4">
        <v>39</v>
      </c>
      <c r="Y190" s="4">
        <v>40.700000000000003</v>
      </c>
      <c r="Z190" s="4">
        <v>17.3</v>
      </c>
      <c r="AA190" s="4">
        <v>191</v>
      </c>
      <c r="AB190" s="4">
        <v>7.7600000000000002E-2</v>
      </c>
      <c r="AC190" s="4">
        <v>0.61</v>
      </c>
      <c r="AD190" s="4" t="s">
        <v>299</v>
      </c>
      <c r="AE190" s="4">
        <v>18.7</v>
      </c>
    </row>
    <row r="191" spans="1:31">
      <c r="A191" s="4"/>
      <c r="B191" s="5" t="s">
        <v>300</v>
      </c>
      <c r="C191" s="4" t="s">
        <v>76</v>
      </c>
      <c r="D191" s="4">
        <v>13</v>
      </c>
      <c r="E191" s="4">
        <v>1</v>
      </c>
      <c r="F191" s="4">
        <v>76.2</v>
      </c>
      <c r="G191" s="4">
        <v>76.2</v>
      </c>
      <c r="H191" s="4">
        <v>11.1</v>
      </c>
      <c r="I191" s="4">
        <v>14.9</v>
      </c>
      <c r="J191" s="4">
        <v>6.86</v>
      </c>
      <c r="K191" s="4">
        <v>6.86</v>
      </c>
      <c r="L191" s="4">
        <v>21</v>
      </c>
      <c r="M191" s="4">
        <v>1</v>
      </c>
      <c r="N191" s="4">
        <v>24.6</v>
      </c>
      <c r="O191" s="4">
        <v>3140</v>
      </c>
      <c r="P191" s="4">
        <v>1.66</v>
      </c>
      <c r="Q191" s="4">
        <v>31.2</v>
      </c>
      <c r="R191" s="4">
        <v>23</v>
      </c>
      <c r="S191" s="4">
        <v>23.1</v>
      </c>
      <c r="T191" s="4">
        <v>32.6</v>
      </c>
      <c r="U191" s="4">
        <v>35.5</v>
      </c>
      <c r="V191" s="4">
        <v>36.299999999999997</v>
      </c>
      <c r="W191" s="4">
        <v>37.1</v>
      </c>
      <c r="X191" s="4">
        <v>38.700000000000003</v>
      </c>
      <c r="Y191" s="4">
        <v>40.299999999999997</v>
      </c>
      <c r="Z191" s="4">
        <v>17.600000000000001</v>
      </c>
      <c r="AA191" s="4">
        <v>129</v>
      </c>
      <c r="AB191" s="4">
        <v>5.3600000000000002E-2</v>
      </c>
      <c r="AC191" s="4">
        <v>0.61</v>
      </c>
      <c r="AD191" s="4" t="s">
        <v>301</v>
      </c>
      <c r="AE191" s="4">
        <v>16.5</v>
      </c>
    </row>
    <row r="192" spans="1:31">
      <c r="A192" s="4"/>
      <c r="B192" s="5" t="s">
        <v>33</v>
      </c>
      <c r="C192" s="4"/>
      <c r="D192" s="4">
        <v>13</v>
      </c>
      <c r="E192" s="4">
        <v>1</v>
      </c>
      <c r="F192" s="4">
        <v>76.2</v>
      </c>
      <c r="G192" s="4">
        <v>76.2</v>
      </c>
      <c r="H192" s="4">
        <v>9.5299999999999994</v>
      </c>
      <c r="I192" s="4">
        <v>14.9</v>
      </c>
      <c r="J192" s="4">
        <v>8</v>
      </c>
      <c r="K192" s="4">
        <v>8</v>
      </c>
      <c r="L192" s="4">
        <v>20</v>
      </c>
      <c r="M192" s="4">
        <v>1</v>
      </c>
      <c r="N192" s="4">
        <v>21.4</v>
      </c>
      <c r="O192" s="4">
        <v>2720</v>
      </c>
      <c r="P192" s="4">
        <v>1.47</v>
      </c>
      <c r="Q192" s="4">
        <v>27.3</v>
      </c>
      <c r="R192" s="4">
        <v>23.2</v>
      </c>
      <c r="S192" s="4">
        <v>22.5</v>
      </c>
      <c r="T192" s="4">
        <v>32.299999999999997</v>
      </c>
      <c r="U192" s="4">
        <v>35.299999999999997</v>
      </c>
      <c r="V192" s="4">
        <v>36</v>
      </c>
      <c r="W192" s="4">
        <v>36.799999999999997</v>
      </c>
      <c r="X192" s="4">
        <v>38.4</v>
      </c>
      <c r="Y192" s="4">
        <v>40</v>
      </c>
      <c r="Z192" s="4">
        <v>17.8</v>
      </c>
      <c r="AA192" s="4">
        <v>82.4</v>
      </c>
      <c r="AB192" s="4">
        <v>3.5099999999999999E-2</v>
      </c>
      <c r="AC192" s="4">
        <v>0.61</v>
      </c>
      <c r="AD192" s="4" t="s">
        <v>302</v>
      </c>
      <c r="AE192" s="4">
        <v>14.4</v>
      </c>
    </row>
    <row r="193" spans="1:31">
      <c r="A193" s="4"/>
      <c r="B193" s="5" t="s">
        <v>303</v>
      </c>
      <c r="C193" s="4"/>
      <c r="D193" s="4">
        <v>13</v>
      </c>
      <c r="E193" s="4">
        <v>1</v>
      </c>
      <c r="F193" s="4">
        <v>76.2</v>
      </c>
      <c r="G193" s="4">
        <v>76.2</v>
      </c>
      <c r="H193" s="4">
        <v>7.94</v>
      </c>
      <c r="I193" s="4">
        <v>15</v>
      </c>
      <c r="J193" s="4">
        <v>9.6</v>
      </c>
      <c r="K193" s="4">
        <v>9.6</v>
      </c>
      <c r="L193" s="4">
        <v>18</v>
      </c>
      <c r="M193" s="4">
        <v>1</v>
      </c>
      <c r="N193" s="4">
        <v>18</v>
      </c>
      <c r="O193" s="4">
        <v>2290</v>
      </c>
      <c r="P193" s="4">
        <v>1.26</v>
      </c>
      <c r="Q193" s="4">
        <v>23.2</v>
      </c>
      <c r="R193" s="4">
        <v>23.4</v>
      </c>
      <c r="S193" s="4">
        <v>22</v>
      </c>
      <c r="T193" s="4">
        <v>32.1</v>
      </c>
      <c r="U193" s="4">
        <v>35</v>
      </c>
      <c r="V193" s="4">
        <v>35.700000000000003</v>
      </c>
      <c r="W193" s="4">
        <v>36.5</v>
      </c>
      <c r="X193" s="4">
        <v>38</v>
      </c>
      <c r="Y193" s="4">
        <v>39.6</v>
      </c>
      <c r="Z193" s="4">
        <v>18</v>
      </c>
      <c r="AA193" s="4">
        <v>48.2</v>
      </c>
      <c r="AB193" s="4">
        <v>2.1000000000000001E-2</v>
      </c>
      <c r="AC193" s="4">
        <v>0.61</v>
      </c>
      <c r="AD193" s="4" t="s">
        <v>304</v>
      </c>
      <c r="AE193" s="4">
        <v>12.1</v>
      </c>
    </row>
    <row r="194" spans="1:31">
      <c r="A194" s="4"/>
      <c r="B194" s="5" t="s">
        <v>305</v>
      </c>
      <c r="C194" s="4"/>
      <c r="D194" s="4">
        <v>13</v>
      </c>
      <c r="E194" s="4">
        <v>1</v>
      </c>
      <c r="F194" s="4">
        <v>76.2</v>
      </c>
      <c r="G194" s="4">
        <v>76.2</v>
      </c>
      <c r="H194" s="4">
        <v>6.35</v>
      </c>
      <c r="I194" s="4">
        <v>15</v>
      </c>
      <c r="J194" s="4">
        <v>12</v>
      </c>
      <c r="K194" s="4">
        <v>12</v>
      </c>
      <c r="L194" s="4">
        <v>16</v>
      </c>
      <c r="M194" s="4">
        <v>1</v>
      </c>
      <c r="N194" s="4">
        <v>14.6</v>
      </c>
      <c r="O194" s="4">
        <v>1850</v>
      </c>
      <c r="P194" s="4">
        <v>1.04</v>
      </c>
      <c r="Q194" s="4">
        <v>18.899999999999999</v>
      </c>
      <c r="R194" s="4">
        <v>23.6</v>
      </c>
      <c r="S194" s="4">
        <v>21.4</v>
      </c>
      <c r="T194" s="4">
        <v>31.9</v>
      </c>
      <c r="U194" s="4">
        <v>34.700000000000003</v>
      </c>
      <c r="V194" s="4">
        <v>35.4</v>
      </c>
      <c r="W194" s="4">
        <v>36.200000000000003</v>
      </c>
      <c r="X194" s="4">
        <v>37.700000000000003</v>
      </c>
      <c r="Y194" s="4">
        <v>39.299999999999997</v>
      </c>
      <c r="Z194" s="4">
        <v>18.2</v>
      </c>
      <c r="AA194" s="4">
        <v>24.9</v>
      </c>
      <c r="AB194" s="4">
        <v>1.11E-2</v>
      </c>
      <c r="AC194" s="4">
        <v>0.61</v>
      </c>
      <c r="AD194" s="4" t="s">
        <v>306</v>
      </c>
      <c r="AE194" s="4">
        <v>9.7799999999999994</v>
      </c>
    </row>
    <row r="195" spans="1:31">
      <c r="A195" s="4"/>
      <c r="B195" s="5" t="s">
        <v>307</v>
      </c>
      <c r="C195" s="4"/>
      <c r="D195" s="4">
        <v>13</v>
      </c>
      <c r="E195" s="4">
        <v>1</v>
      </c>
      <c r="F195" s="4">
        <v>76.2</v>
      </c>
      <c r="G195" s="4">
        <v>76.2</v>
      </c>
      <c r="H195" s="4">
        <v>4.76</v>
      </c>
      <c r="I195" s="4">
        <v>15.1</v>
      </c>
      <c r="J195" s="4">
        <v>16</v>
      </c>
      <c r="K195" s="4">
        <v>16</v>
      </c>
      <c r="L195" s="4">
        <v>15</v>
      </c>
      <c r="M195" s="4">
        <v>1</v>
      </c>
      <c r="N195" s="4">
        <v>11</v>
      </c>
      <c r="O195" s="4">
        <v>1410</v>
      </c>
      <c r="P195" s="4">
        <v>0.8</v>
      </c>
      <c r="Q195" s="4">
        <v>14.4</v>
      </c>
      <c r="R195" s="4">
        <v>23.9</v>
      </c>
      <c r="S195" s="4">
        <v>20.8</v>
      </c>
      <c r="T195" s="4">
        <v>31.7</v>
      </c>
      <c r="U195" s="4">
        <v>34.4</v>
      </c>
      <c r="V195" s="4">
        <v>35.200000000000003</v>
      </c>
      <c r="W195" s="4">
        <v>35.9</v>
      </c>
      <c r="X195" s="4">
        <v>37.4</v>
      </c>
      <c r="Y195" s="4">
        <v>39</v>
      </c>
      <c r="Z195" s="4">
        <v>18.399999999999999</v>
      </c>
      <c r="AA195" s="4">
        <v>10.6</v>
      </c>
      <c r="AB195" s="4">
        <v>4.8199999999999996E-3</v>
      </c>
      <c r="AC195" s="4">
        <v>0.61</v>
      </c>
      <c r="AD195" s="4" t="s">
        <v>308</v>
      </c>
      <c r="AE195" s="4">
        <v>7.41</v>
      </c>
    </row>
    <row r="196" spans="1:31">
      <c r="A196" s="4" t="s">
        <v>76</v>
      </c>
      <c r="B196" s="5" t="s">
        <v>309</v>
      </c>
      <c r="C196" s="4"/>
      <c r="D196" s="4">
        <v>13</v>
      </c>
      <c r="E196" s="4">
        <v>1</v>
      </c>
      <c r="F196" s="4">
        <v>63.5</v>
      </c>
      <c r="G196" s="4">
        <v>63.5</v>
      </c>
      <c r="H196" s="4">
        <v>12.7</v>
      </c>
      <c r="I196" s="4">
        <v>12.4</v>
      </c>
      <c r="J196" s="4">
        <v>5</v>
      </c>
      <c r="K196" s="4">
        <v>5</v>
      </c>
      <c r="L196" s="4">
        <v>19</v>
      </c>
      <c r="M196" s="4">
        <v>1</v>
      </c>
      <c r="N196" s="4">
        <v>22.8</v>
      </c>
      <c r="O196" s="4">
        <v>2900</v>
      </c>
      <c r="P196" s="4">
        <v>1.02</v>
      </c>
      <c r="Q196" s="4">
        <v>23.7</v>
      </c>
      <c r="R196" s="4">
        <v>18.8</v>
      </c>
      <c r="S196" s="4">
        <v>20.5</v>
      </c>
      <c r="T196" s="4">
        <v>27.8</v>
      </c>
      <c r="U196" s="4">
        <v>30.8</v>
      </c>
      <c r="V196" s="4">
        <v>31.6</v>
      </c>
      <c r="W196" s="4">
        <v>32.4</v>
      </c>
      <c r="X196" s="4">
        <v>34.1</v>
      </c>
      <c r="Y196" s="4">
        <v>35.799999999999997</v>
      </c>
      <c r="Z196" s="4">
        <v>14.1</v>
      </c>
      <c r="AA196" s="4">
        <v>156</v>
      </c>
      <c r="AB196" s="4">
        <v>4.2500000000000003E-2</v>
      </c>
      <c r="AC196" s="4">
        <v>0.50800000000000001</v>
      </c>
      <c r="AD196" s="4" t="s">
        <v>310</v>
      </c>
      <c r="AE196" s="4">
        <v>15.3</v>
      </c>
    </row>
    <row r="197" spans="1:31">
      <c r="A197" s="4"/>
      <c r="B197" s="5" t="s">
        <v>311</v>
      </c>
      <c r="C197" s="4"/>
      <c r="D197" s="4">
        <v>13</v>
      </c>
      <c r="E197" s="4">
        <v>1</v>
      </c>
      <c r="F197" s="4">
        <v>63.5</v>
      </c>
      <c r="G197" s="4">
        <v>63.5</v>
      </c>
      <c r="H197" s="4">
        <v>9.5299999999999994</v>
      </c>
      <c r="I197" s="4">
        <v>12.4</v>
      </c>
      <c r="J197" s="4">
        <v>6.66</v>
      </c>
      <c r="K197" s="4">
        <v>6.66</v>
      </c>
      <c r="L197" s="4">
        <v>16</v>
      </c>
      <c r="M197" s="4">
        <v>1</v>
      </c>
      <c r="N197" s="4">
        <v>17.600000000000001</v>
      </c>
      <c r="O197" s="4">
        <v>2240</v>
      </c>
      <c r="P197" s="4">
        <v>0.81899999999999995</v>
      </c>
      <c r="Q197" s="4">
        <v>18.600000000000001</v>
      </c>
      <c r="R197" s="4">
        <v>19.100000000000001</v>
      </c>
      <c r="S197" s="4">
        <v>19.399999999999999</v>
      </c>
      <c r="T197" s="4">
        <v>27.2</v>
      </c>
      <c r="U197" s="4">
        <v>30.2</v>
      </c>
      <c r="V197" s="4">
        <v>31</v>
      </c>
      <c r="W197" s="4">
        <v>31.8</v>
      </c>
      <c r="X197" s="4">
        <v>33.4</v>
      </c>
      <c r="Y197" s="4">
        <v>35</v>
      </c>
      <c r="Z197" s="4">
        <v>14.6</v>
      </c>
      <c r="AA197" s="4">
        <v>67.8</v>
      </c>
      <c r="AB197" s="4">
        <v>1.95E-2</v>
      </c>
      <c r="AC197" s="4">
        <v>0.50800000000000001</v>
      </c>
      <c r="AD197" s="4" t="s">
        <v>312</v>
      </c>
      <c r="AE197" s="4">
        <v>11.8</v>
      </c>
    </row>
    <row r="198" spans="1:31">
      <c r="A198" s="4"/>
      <c r="B198" s="5" t="s">
        <v>313</v>
      </c>
      <c r="C198" s="4"/>
      <c r="D198" s="4">
        <v>13</v>
      </c>
      <c r="E198" s="4">
        <v>1</v>
      </c>
      <c r="F198" s="4">
        <v>63.5</v>
      </c>
      <c r="G198" s="4">
        <v>63.5</v>
      </c>
      <c r="H198" s="4">
        <v>7.94</v>
      </c>
      <c r="I198" s="4">
        <v>12.4</v>
      </c>
      <c r="J198" s="4">
        <v>8</v>
      </c>
      <c r="K198" s="4">
        <v>8</v>
      </c>
      <c r="L198" s="4">
        <v>14</v>
      </c>
      <c r="M198" s="4">
        <v>1</v>
      </c>
      <c r="N198" s="4">
        <v>14.8</v>
      </c>
      <c r="O198" s="4">
        <v>1890</v>
      </c>
      <c r="P198" s="4">
        <v>0.70699999999999996</v>
      </c>
      <c r="Q198" s="4">
        <v>15.8</v>
      </c>
      <c r="R198" s="4">
        <v>19.3</v>
      </c>
      <c r="S198" s="4">
        <v>18.8</v>
      </c>
      <c r="T198" s="4">
        <v>27</v>
      </c>
      <c r="U198" s="4">
        <v>29.9</v>
      </c>
      <c r="V198" s="4">
        <v>30.7</v>
      </c>
      <c r="W198" s="4">
        <v>31.4</v>
      </c>
      <c r="X198" s="4">
        <v>33</v>
      </c>
      <c r="Y198" s="4">
        <v>34.700000000000003</v>
      </c>
      <c r="Z198" s="4">
        <v>14.8</v>
      </c>
      <c r="AA198" s="4">
        <v>39.700000000000003</v>
      </c>
      <c r="AB198" s="4">
        <v>1.17E-2</v>
      </c>
      <c r="AC198" s="4">
        <v>0.50800000000000001</v>
      </c>
      <c r="AD198" s="4" t="s">
        <v>314</v>
      </c>
      <c r="AE198" s="4">
        <v>9.9700000000000006</v>
      </c>
    </row>
    <row r="199" spans="1:31">
      <c r="A199" s="4"/>
      <c r="B199" s="5" t="s">
        <v>315</v>
      </c>
      <c r="C199" s="4"/>
      <c r="D199" s="4">
        <v>13</v>
      </c>
      <c r="E199" s="4">
        <v>1</v>
      </c>
      <c r="F199" s="4">
        <v>63.5</v>
      </c>
      <c r="G199" s="4">
        <v>63.5</v>
      </c>
      <c r="H199" s="4">
        <v>6.35</v>
      </c>
      <c r="I199" s="4">
        <v>12.5</v>
      </c>
      <c r="J199" s="4">
        <v>10</v>
      </c>
      <c r="K199" s="4">
        <v>10</v>
      </c>
      <c r="L199" s="4">
        <v>12</v>
      </c>
      <c r="M199" s="4">
        <v>1</v>
      </c>
      <c r="N199" s="4">
        <v>12</v>
      </c>
      <c r="O199" s="4">
        <v>1530</v>
      </c>
      <c r="P199" s="4">
        <v>0.58499999999999996</v>
      </c>
      <c r="Q199" s="4">
        <v>12.9</v>
      </c>
      <c r="R199" s="4">
        <v>19.5</v>
      </c>
      <c r="S199" s="4">
        <v>18.2</v>
      </c>
      <c r="T199" s="4">
        <v>26.7</v>
      </c>
      <c r="U199" s="4">
        <v>29.6</v>
      </c>
      <c r="V199" s="4">
        <v>30.3</v>
      </c>
      <c r="W199" s="4">
        <v>31.1</v>
      </c>
      <c r="X199" s="4">
        <v>32.700000000000003</v>
      </c>
      <c r="Y199" s="4">
        <v>34.299999999999997</v>
      </c>
      <c r="Z199" s="4">
        <v>15</v>
      </c>
      <c r="AA199" s="4">
        <v>20.6</v>
      </c>
      <c r="AB199" s="4">
        <v>6.2500000000000003E-3</v>
      </c>
      <c r="AC199" s="4">
        <v>0.50800000000000001</v>
      </c>
      <c r="AD199" s="4" t="s">
        <v>316</v>
      </c>
      <c r="AE199" s="4">
        <v>8.08</v>
      </c>
    </row>
    <row r="200" spans="1:31">
      <c r="A200" s="4"/>
      <c r="B200" s="5" t="s">
        <v>317</v>
      </c>
      <c r="C200" s="4"/>
      <c r="D200" s="4">
        <v>13</v>
      </c>
      <c r="E200" s="4">
        <v>1</v>
      </c>
      <c r="F200" s="4">
        <v>63.5</v>
      </c>
      <c r="G200" s="4">
        <v>63.5</v>
      </c>
      <c r="H200" s="4">
        <v>4.76</v>
      </c>
      <c r="I200" s="4">
        <v>12.6</v>
      </c>
      <c r="J200" s="4">
        <v>13.3</v>
      </c>
      <c r="K200" s="4">
        <v>13.3</v>
      </c>
      <c r="L200" s="4">
        <v>11</v>
      </c>
      <c r="M200" s="4">
        <v>1</v>
      </c>
      <c r="N200" s="4">
        <v>9.14</v>
      </c>
      <c r="O200" s="4">
        <v>1160</v>
      </c>
      <c r="P200" s="4">
        <v>0.45500000000000002</v>
      </c>
      <c r="Q200" s="4">
        <v>9.92</v>
      </c>
      <c r="R200" s="4">
        <v>19.8</v>
      </c>
      <c r="S200" s="4">
        <v>17.600000000000001</v>
      </c>
      <c r="T200" s="4">
        <v>26.5</v>
      </c>
      <c r="U200" s="4">
        <v>29.3</v>
      </c>
      <c r="V200" s="4">
        <v>30.1</v>
      </c>
      <c r="W200" s="4">
        <v>30.8</v>
      </c>
      <c r="X200" s="4">
        <v>32.4</v>
      </c>
      <c r="Y200" s="4">
        <v>34</v>
      </c>
      <c r="Z200" s="4">
        <v>15.3</v>
      </c>
      <c r="AA200" s="4">
        <v>8.7899999999999991</v>
      </c>
      <c r="AB200" s="4">
        <v>2.7399999999999998E-3</v>
      </c>
      <c r="AC200" s="4">
        <v>0.50800000000000001</v>
      </c>
      <c r="AD200" s="4" t="s">
        <v>318</v>
      </c>
      <c r="AE200" s="4">
        <v>6.14</v>
      </c>
    </row>
    <row r="201" spans="1:31">
      <c r="A201" s="4" t="s">
        <v>76</v>
      </c>
      <c r="B201" s="5" t="s">
        <v>319</v>
      </c>
      <c r="C201" s="4"/>
      <c r="D201" s="4">
        <v>13</v>
      </c>
      <c r="E201" s="4">
        <v>1</v>
      </c>
      <c r="F201" s="4">
        <v>50.8</v>
      </c>
      <c r="G201" s="4">
        <v>50.8</v>
      </c>
      <c r="H201" s="4">
        <v>9.5299999999999994</v>
      </c>
      <c r="I201" s="4">
        <v>9.89</v>
      </c>
      <c r="J201" s="4">
        <v>5.33</v>
      </c>
      <c r="K201" s="4">
        <v>5.33</v>
      </c>
      <c r="L201" s="4">
        <v>16</v>
      </c>
      <c r="M201" s="4">
        <v>1</v>
      </c>
      <c r="N201" s="4">
        <v>13.8</v>
      </c>
      <c r="O201" s="4">
        <v>1750</v>
      </c>
      <c r="P201" s="4">
        <v>0.39900000000000002</v>
      </c>
      <c r="Q201" s="4">
        <v>11.5</v>
      </c>
      <c r="R201" s="4">
        <v>15.1</v>
      </c>
      <c r="S201" s="4">
        <v>16.2</v>
      </c>
      <c r="T201" s="4">
        <v>22.1</v>
      </c>
      <c r="U201" s="4">
        <v>25.2</v>
      </c>
      <c r="V201" s="4">
        <v>26</v>
      </c>
      <c r="W201" s="4">
        <v>26.8</v>
      </c>
      <c r="X201" s="4">
        <v>28.5</v>
      </c>
      <c r="Y201" s="4">
        <v>30.2</v>
      </c>
      <c r="Z201" s="4">
        <v>11.4</v>
      </c>
      <c r="AA201" s="4">
        <v>53.1</v>
      </c>
      <c r="AB201" s="4">
        <v>9.3799999999999994E-3</v>
      </c>
      <c r="AC201" s="4">
        <v>0.40600000000000003</v>
      </c>
      <c r="AD201" s="4" t="s">
        <v>320</v>
      </c>
      <c r="AE201" s="4">
        <v>9.26</v>
      </c>
    </row>
    <row r="202" spans="1:31">
      <c r="A202" s="4"/>
      <c r="B202" s="5" t="s">
        <v>321</v>
      </c>
      <c r="C202" s="4"/>
      <c r="D202" s="4">
        <v>13</v>
      </c>
      <c r="E202" s="4">
        <v>1</v>
      </c>
      <c r="F202" s="4">
        <v>50.8</v>
      </c>
      <c r="G202" s="4">
        <v>50.8</v>
      </c>
      <c r="H202" s="4">
        <v>7.94</v>
      </c>
      <c r="I202" s="4">
        <v>9.9</v>
      </c>
      <c r="J202" s="4">
        <v>6.4</v>
      </c>
      <c r="K202" s="4">
        <v>6.4</v>
      </c>
      <c r="L202" s="4">
        <v>14</v>
      </c>
      <c r="M202" s="4">
        <v>1</v>
      </c>
      <c r="N202" s="4">
        <v>11.7</v>
      </c>
      <c r="O202" s="4">
        <v>1490</v>
      </c>
      <c r="P202" s="4">
        <v>0.34699999999999998</v>
      </c>
      <c r="Q202" s="4">
        <v>9.84</v>
      </c>
      <c r="R202" s="4">
        <v>15.3</v>
      </c>
      <c r="S202" s="4">
        <v>15.6</v>
      </c>
      <c r="T202" s="4">
        <v>21.8</v>
      </c>
      <c r="U202" s="4">
        <v>24.8</v>
      </c>
      <c r="V202" s="4">
        <v>25.6</v>
      </c>
      <c r="W202" s="4">
        <v>26.4</v>
      </c>
      <c r="X202" s="4">
        <v>28.1</v>
      </c>
      <c r="Y202" s="4">
        <v>29.8</v>
      </c>
      <c r="Z202" s="4">
        <v>11.6</v>
      </c>
      <c r="AA202" s="4">
        <v>31.3</v>
      </c>
      <c r="AB202" s="4">
        <v>5.7099999999999998E-3</v>
      </c>
      <c r="AC202" s="4">
        <v>0.40600000000000003</v>
      </c>
      <c r="AD202" s="4" t="s">
        <v>322</v>
      </c>
      <c r="AE202" s="4">
        <v>7.85</v>
      </c>
    </row>
    <row r="203" spans="1:31">
      <c r="A203" s="4"/>
      <c r="B203" s="5" t="s">
        <v>323</v>
      </c>
      <c r="C203" s="4"/>
      <c r="D203" s="4">
        <v>13</v>
      </c>
      <c r="E203" s="4">
        <v>1</v>
      </c>
      <c r="F203" s="4">
        <v>50.8</v>
      </c>
      <c r="G203" s="4">
        <v>50.8</v>
      </c>
      <c r="H203" s="4">
        <v>6.35</v>
      </c>
      <c r="I203" s="4">
        <v>9.93</v>
      </c>
      <c r="J203" s="4">
        <v>8</v>
      </c>
      <c r="K203" s="4">
        <v>8</v>
      </c>
      <c r="L203" s="4">
        <v>12</v>
      </c>
      <c r="M203" s="4">
        <v>1</v>
      </c>
      <c r="N203" s="4">
        <v>9.5</v>
      </c>
      <c r="O203" s="4">
        <v>1210</v>
      </c>
      <c r="P203" s="4">
        <v>0.28899999999999998</v>
      </c>
      <c r="Q203" s="4">
        <v>8.09</v>
      </c>
      <c r="R203" s="4">
        <v>15.5</v>
      </c>
      <c r="S203" s="4">
        <v>15</v>
      </c>
      <c r="T203" s="4">
        <v>21.6</v>
      </c>
      <c r="U203" s="4">
        <v>24.5</v>
      </c>
      <c r="V203" s="4">
        <v>25.3</v>
      </c>
      <c r="W203" s="4">
        <v>26.1</v>
      </c>
      <c r="X203" s="4">
        <v>27.7</v>
      </c>
      <c r="Y203" s="4">
        <v>29.4</v>
      </c>
      <c r="Z203" s="4">
        <v>11.9</v>
      </c>
      <c r="AA203" s="4">
        <v>16.3</v>
      </c>
      <c r="AB203" s="4">
        <v>3.0699999999999998E-3</v>
      </c>
      <c r="AC203" s="4">
        <v>0.40600000000000003</v>
      </c>
      <c r="AD203" s="4" t="s">
        <v>324</v>
      </c>
      <c r="AE203" s="4">
        <v>6.38</v>
      </c>
    </row>
    <row r="204" spans="1:31">
      <c r="A204" s="4"/>
      <c r="B204" s="5" t="s">
        <v>325</v>
      </c>
      <c r="C204" s="4"/>
      <c r="D204" s="4">
        <v>13</v>
      </c>
      <c r="E204" s="4">
        <v>1</v>
      </c>
      <c r="F204" s="4">
        <v>50.8</v>
      </c>
      <c r="G204" s="4">
        <v>50.8</v>
      </c>
      <c r="H204" s="4">
        <v>4.76</v>
      </c>
      <c r="I204" s="4">
        <v>10</v>
      </c>
      <c r="J204" s="4">
        <v>10.7</v>
      </c>
      <c r="K204" s="4">
        <v>10.7</v>
      </c>
      <c r="L204" s="4">
        <v>11</v>
      </c>
      <c r="M204" s="4">
        <v>1</v>
      </c>
      <c r="N204" s="4">
        <v>7.24</v>
      </c>
      <c r="O204" s="4">
        <v>922</v>
      </c>
      <c r="P204" s="4">
        <v>0.22700000000000001</v>
      </c>
      <c r="Q204" s="4">
        <v>6.24</v>
      </c>
      <c r="R204" s="4">
        <v>15.7</v>
      </c>
      <c r="S204" s="4">
        <v>14.5</v>
      </c>
      <c r="T204" s="4">
        <v>21.3</v>
      </c>
      <c r="U204" s="4">
        <v>24.2</v>
      </c>
      <c r="V204" s="4">
        <v>25</v>
      </c>
      <c r="W204" s="4">
        <v>25.8</v>
      </c>
      <c r="X204" s="4">
        <v>27.4</v>
      </c>
      <c r="Y204" s="4">
        <v>29.1</v>
      </c>
      <c r="Z204" s="4">
        <v>12.1</v>
      </c>
      <c r="AA204" s="4">
        <v>6.96</v>
      </c>
      <c r="AB204" s="4">
        <v>1.3600000000000001E-3</v>
      </c>
      <c r="AC204" s="4">
        <v>0.40600000000000003</v>
      </c>
      <c r="AD204" s="4" t="s">
        <v>326</v>
      </c>
      <c r="AE204" s="4">
        <v>4.8600000000000003</v>
      </c>
    </row>
    <row r="205" spans="1:31">
      <c r="A205" s="4"/>
      <c r="B205" s="5" t="s">
        <v>327</v>
      </c>
      <c r="C205" s="4"/>
      <c r="D205" s="4">
        <v>13</v>
      </c>
      <c r="E205" s="4">
        <v>1</v>
      </c>
      <c r="F205" s="4">
        <v>50.8</v>
      </c>
      <c r="G205" s="4">
        <v>50.8</v>
      </c>
      <c r="H205" s="4">
        <v>3.18</v>
      </c>
      <c r="I205" s="4">
        <v>10.1</v>
      </c>
      <c r="J205" s="4">
        <v>16</v>
      </c>
      <c r="K205" s="4">
        <v>16</v>
      </c>
      <c r="L205" s="4">
        <v>9</v>
      </c>
      <c r="M205" s="4">
        <v>1</v>
      </c>
      <c r="N205" s="4">
        <v>4.91</v>
      </c>
      <c r="O205" s="4">
        <v>626</v>
      </c>
      <c r="P205" s="4">
        <v>0.158</v>
      </c>
      <c r="Q205" s="4">
        <v>4.29</v>
      </c>
      <c r="R205" s="4">
        <v>15.9</v>
      </c>
      <c r="S205" s="4">
        <v>13.9</v>
      </c>
      <c r="T205" s="4">
        <v>21.1</v>
      </c>
      <c r="U205" s="4">
        <v>23.9</v>
      </c>
      <c r="V205" s="4">
        <v>24.7</v>
      </c>
      <c r="W205" s="4">
        <v>25.5</v>
      </c>
      <c r="X205" s="4">
        <v>27.1</v>
      </c>
      <c r="Y205" s="4">
        <v>28.7</v>
      </c>
      <c r="Z205" s="4">
        <v>12.3</v>
      </c>
      <c r="AA205" s="4">
        <v>2.11</v>
      </c>
      <c r="AB205" s="4">
        <v>4.26E-4</v>
      </c>
      <c r="AC205" s="4">
        <v>0.40600000000000003</v>
      </c>
      <c r="AD205" s="4" t="s">
        <v>328</v>
      </c>
      <c r="AE205" s="4">
        <v>3.3</v>
      </c>
    </row>
    <row r="206" spans="1:31">
      <c r="A206" s="4" t="s">
        <v>76</v>
      </c>
      <c r="B206" s="5" t="s">
        <v>329</v>
      </c>
      <c r="C206" s="4"/>
      <c r="D206" s="4">
        <v>13</v>
      </c>
      <c r="E206" s="4">
        <v>1</v>
      </c>
      <c r="F206" s="4">
        <v>44.5</v>
      </c>
      <c r="G206" s="4">
        <v>44.5</v>
      </c>
      <c r="H206" s="4">
        <v>6.35</v>
      </c>
      <c r="I206" s="4">
        <v>8.68</v>
      </c>
      <c r="J206" s="4">
        <v>7.01</v>
      </c>
      <c r="K206" s="4">
        <v>7.01</v>
      </c>
      <c r="L206" s="4">
        <v>12</v>
      </c>
      <c r="M206" s="4">
        <v>1</v>
      </c>
      <c r="N206" s="4">
        <v>8.24</v>
      </c>
      <c r="O206" s="4">
        <v>1050</v>
      </c>
      <c r="P206" s="4">
        <v>0.19</v>
      </c>
      <c r="Q206" s="4">
        <v>6.11</v>
      </c>
      <c r="R206" s="4">
        <v>13.4</v>
      </c>
      <c r="S206" s="4">
        <v>13.4</v>
      </c>
      <c r="T206" s="4">
        <v>19</v>
      </c>
      <c r="U206" s="4">
        <v>22</v>
      </c>
      <c r="V206" s="4">
        <v>22.8</v>
      </c>
      <c r="W206" s="4">
        <v>23.6</v>
      </c>
      <c r="X206" s="4">
        <v>25.3</v>
      </c>
      <c r="Y206" s="4">
        <v>27</v>
      </c>
      <c r="Z206" s="4">
        <v>10.3</v>
      </c>
      <c r="AA206" s="4">
        <v>14.1</v>
      </c>
      <c r="AB206" s="4">
        <v>2.0100000000000001E-3</v>
      </c>
      <c r="AC206" s="4">
        <v>0.35599999999999998</v>
      </c>
      <c r="AD206" s="4" t="s">
        <v>330</v>
      </c>
      <c r="AE206" s="4">
        <v>5.54</v>
      </c>
    </row>
    <row r="207" spans="1:31">
      <c r="A207" s="4"/>
      <c r="B207" s="5" t="s">
        <v>331</v>
      </c>
      <c r="C207" s="4"/>
      <c r="D207" s="4">
        <v>13</v>
      </c>
      <c r="E207" s="4">
        <v>1</v>
      </c>
      <c r="F207" s="4">
        <v>44.5</v>
      </c>
      <c r="G207" s="4">
        <v>44.5</v>
      </c>
      <c r="H207" s="4">
        <v>4.76</v>
      </c>
      <c r="I207" s="4">
        <v>8.73</v>
      </c>
      <c r="J207" s="4">
        <v>9.35</v>
      </c>
      <c r="K207" s="4">
        <v>9.35</v>
      </c>
      <c r="L207" s="4">
        <v>11</v>
      </c>
      <c r="M207" s="4">
        <v>1</v>
      </c>
      <c r="N207" s="4">
        <v>6.3</v>
      </c>
      <c r="O207" s="4">
        <v>802</v>
      </c>
      <c r="P207" s="4">
        <v>0.15</v>
      </c>
      <c r="Q207" s="4">
        <v>4.7300000000000004</v>
      </c>
      <c r="R207" s="4">
        <v>13.7</v>
      </c>
      <c r="S207" s="4">
        <v>12.9</v>
      </c>
      <c r="T207" s="4">
        <v>18.8</v>
      </c>
      <c r="U207" s="4">
        <v>21.7</v>
      </c>
      <c r="V207" s="4">
        <v>22.5</v>
      </c>
      <c r="W207" s="4">
        <v>23.3</v>
      </c>
      <c r="X207" s="4">
        <v>24.9</v>
      </c>
      <c r="Y207" s="4">
        <v>26.6</v>
      </c>
      <c r="Z207" s="4">
        <v>10.5</v>
      </c>
      <c r="AA207" s="4">
        <v>6.06</v>
      </c>
      <c r="AB207" s="4">
        <v>8.9499999999999996E-4</v>
      </c>
      <c r="AC207" s="4">
        <v>0.35599999999999998</v>
      </c>
      <c r="AD207" s="4" t="s">
        <v>332</v>
      </c>
      <c r="AE207" s="4">
        <v>4.2300000000000004</v>
      </c>
    </row>
    <row r="208" spans="1:31">
      <c r="A208" s="4"/>
      <c r="B208" s="5" t="s">
        <v>333</v>
      </c>
      <c r="C208" s="4"/>
      <c r="D208" s="4">
        <v>13</v>
      </c>
      <c r="E208" s="4">
        <v>1</v>
      </c>
      <c r="F208" s="4">
        <v>44.5</v>
      </c>
      <c r="G208" s="4">
        <v>44.5</v>
      </c>
      <c r="H208" s="4">
        <v>3.18</v>
      </c>
      <c r="I208" s="4">
        <v>8.82</v>
      </c>
      <c r="J208" s="4">
        <v>14</v>
      </c>
      <c r="K208" s="4">
        <v>14</v>
      </c>
      <c r="L208" s="4">
        <v>9</v>
      </c>
      <c r="M208" s="4">
        <v>1</v>
      </c>
      <c r="N208" s="4">
        <v>4.28</v>
      </c>
      <c r="O208" s="4">
        <v>546</v>
      </c>
      <c r="P208" s="4">
        <v>0.105</v>
      </c>
      <c r="Q208" s="4">
        <v>3.26</v>
      </c>
      <c r="R208" s="4">
        <v>13.9</v>
      </c>
      <c r="S208" s="4">
        <v>12.3</v>
      </c>
      <c r="T208" s="4">
        <v>18.5</v>
      </c>
      <c r="U208" s="4">
        <v>21.4</v>
      </c>
      <c r="V208" s="4">
        <v>22.2</v>
      </c>
      <c r="W208" s="4">
        <v>23</v>
      </c>
      <c r="X208" s="4">
        <v>24.6</v>
      </c>
      <c r="Y208" s="4">
        <v>26.3</v>
      </c>
      <c r="Z208" s="4">
        <v>10.7</v>
      </c>
      <c r="AA208" s="4">
        <v>1.84</v>
      </c>
      <c r="AB208" s="4">
        <v>2.8200000000000002E-4</v>
      </c>
      <c r="AC208" s="4">
        <v>0.35599999999999998</v>
      </c>
      <c r="AD208" s="4" t="s">
        <v>334</v>
      </c>
      <c r="AE208" s="4">
        <v>2.88</v>
      </c>
    </row>
    <row r="209" spans="1:31">
      <c r="A209" s="4" t="s">
        <v>76</v>
      </c>
      <c r="B209" s="5" t="s">
        <v>335</v>
      </c>
      <c r="C209" s="4"/>
      <c r="D209" s="4">
        <v>13</v>
      </c>
      <c r="E209" s="4">
        <v>1</v>
      </c>
      <c r="F209" s="4">
        <v>38.1</v>
      </c>
      <c r="G209" s="4">
        <v>38.1</v>
      </c>
      <c r="H209" s="4">
        <v>6.35</v>
      </c>
      <c r="I209" s="4">
        <v>7.42</v>
      </c>
      <c r="J209" s="4">
        <v>6</v>
      </c>
      <c r="K209" s="4">
        <v>6</v>
      </c>
      <c r="L209" s="4">
        <v>11</v>
      </c>
      <c r="M209" s="4">
        <v>1</v>
      </c>
      <c r="N209" s="4">
        <v>6.96</v>
      </c>
      <c r="O209" s="4">
        <v>887</v>
      </c>
      <c r="P209" s="4">
        <v>0.115</v>
      </c>
      <c r="Q209" s="4">
        <v>4.3899999999999997</v>
      </c>
      <c r="R209" s="4">
        <v>11.4</v>
      </c>
      <c r="S209" s="4">
        <v>11.8</v>
      </c>
      <c r="T209" s="4">
        <v>16.399999999999999</v>
      </c>
      <c r="U209" s="4">
        <v>19.5</v>
      </c>
      <c r="V209" s="4">
        <v>20.3</v>
      </c>
      <c r="W209" s="4">
        <v>21.2</v>
      </c>
      <c r="X209" s="4">
        <v>22.9</v>
      </c>
      <c r="Y209" s="4">
        <v>24.6</v>
      </c>
      <c r="Z209" s="4">
        <v>8.66</v>
      </c>
      <c r="AA209" s="4">
        <v>11.9</v>
      </c>
      <c r="AB209" s="4">
        <v>1.2099999999999999E-3</v>
      </c>
      <c r="AC209" s="4">
        <v>0.30499999999999999</v>
      </c>
      <c r="AD209" s="4" t="s">
        <v>336</v>
      </c>
      <c r="AE209" s="4">
        <v>4.68</v>
      </c>
    </row>
    <row r="210" spans="1:31">
      <c r="A210" s="4"/>
      <c r="B210" s="5" t="s">
        <v>337</v>
      </c>
      <c r="C210" s="4"/>
      <c r="D210" s="4">
        <v>13</v>
      </c>
      <c r="E210" s="4">
        <v>1</v>
      </c>
      <c r="F210" s="4">
        <v>38.1</v>
      </c>
      <c r="G210" s="4">
        <v>38.1</v>
      </c>
      <c r="H210" s="4">
        <v>4.76</v>
      </c>
      <c r="I210" s="4">
        <v>7.45</v>
      </c>
      <c r="J210" s="4">
        <v>8</v>
      </c>
      <c r="K210" s="4">
        <v>8</v>
      </c>
      <c r="L210" s="4">
        <v>10</v>
      </c>
      <c r="M210" s="4">
        <v>1</v>
      </c>
      <c r="N210" s="4">
        <v>5.34</v>
      </c>
      <c r="O210" s="4">
        <v>680</v>
      </c>
      <c r="P210" s="4">
        <v>9.1499999999999998E-2</v>
      </c>
      <c r="Q210" s="4">
        <v>3.41</v>
      </c>
      <c r="R210" s="4">
        <v>11.6</v>
      </c>
      <c r="S210" s="4">
        <v>11.3</v>
      </c>
      <c r="T210" s="4">
        <v>16.2</v>
      </c>
      <c r="U210" s="4">
        <v>19.2</v>
      </c>
      <c r="V210" s="4">
        <v>20</v>
      </c>
      <c r="W210" s="4">
        <v>20.8</v>
      </c>
      <c r="X210" s="4">
        <v>22.5</v>
      </c>
      <c r="Y210" s="4">
        <v>24.2</v>
      </c>
      <c r="Z210" s="4">
        <v>8.89</v>
      </c>
      <c r="AA210" s="4">
        <v>5.14</v>
      </c>
      <c r="AB210" s="4">
        <v>5.4600000000000004E-4</v>
      </c>
      <c r="AC210" s="4">
        <v>0.30499999999999999</v>
      </c>
      <c r="AD210" s="4" t="s">
        <v>338</v>
      </c>
      <c r="AE210" s="4">
        <v>3.59</v>
      </c>
    </row>
    <row r="211" spans="1:31">
      <c r="A211" s="4"/>
      <c r="B211" s="5" t="s">
        <v>339</v>
      </c>
      <c r="C211" s="4"/>
      <c r="D211" s="4">
        <v>13</v>
      </c>
      <c r="E211" s="4">
        <v>1</v>
      </c>
      <c r="F211" s="4">
        <v>38.1</v>
      </c>
      <c r="G211" s="4">
        <v>38.1</v>
      </c>
      <c r="H211" s="4">
        <v>3.18</v>
      </c>
      <c r="I211" s="4">
        <v>7.52</v>
      </c>
      <c r="J211" s="4">
        <v>12</v>
      </c>
      <c r="K211" s="4">
        <v>12</v>
      </c>
      <c r="L211" s="4">
        <v>8</v>
      </c>
      <c r="M211" s="4">
        <v>1</v>
      </c>
      <c r="N211" s="4">
        <v>3.65</v>
      </c>
      <c r="O211" s="4">
        <v>464</v>
      </c>
      <c r="P211" s="4">
        <v>6.4799999999999996E-2</v>
      </c>
      <c r="Q211" s="4">
        <v>2.37</v>
      </c>
      <c r="R211" s="4">
        <v>11.8</v>
      </c>
      <c r="S211" s="4">
        <v>10.7</v>
      </c>
      <c r="T211" s="4">
        <v>15.9</v>
      </c>
      <c r="U211" s="4">
        <v>18.899999999999999</v>
      </c>
      <c r="V211" s="4">
        <v>19.600000000000001</v>
      </c>
      <c r="W211" s="4">
        <v>20.5</v>
      </c>
      <c r="X211" s="4">
        <v>22.1</v>
      </c>
      <c r="Y211" s="4">
        <v>23.8</v>
      </c>
      <c r="Z211" s="4">
        <v>9.11</v>
      </c>
      <c r="AA211" s="4">
        <v>1.57</v>
      </c>
      <c r="AB211" s="4">
        <v>1.74E-4</v>
      </c>
      <c r="AC211" s="4">
        <v>0.30499999999999999</v>
      </c>
      <c r="AD211" s="4" t="s">
        <v>340</v>
      </c>
      <c r="AE211" s="4">
        <v>2.4500000000000002</v>
      </c>
    </row>
    <row r="212" spans="1:31">
      <c r="A212" s="4" t="s">
        <v>76</v>
      </c>
      <c r="B212" s="5" t="s">
        <v>341</v>
      </c>
      <c r="C212" s="4"/>
      <c r="D212" s="4">
        <v>13</v>
      </c>
      <c r="E212" s="4">
        <v>1</v>
      </c>
      <c r="F212" s="4">
        <v>31.8</v>
      </c>
      <c r="G212" s="4">
        <v>31.8</v>
      </c>
      <c r="H212" s="4">
        <v>6.35</v>
      </c>
      <c r="I212" s="4">
        <v>6.19</v>
      </c>
      <c r="J212" s="4">
        <v>5.01</v>
      </c>
      <c r="K212" s="4">
        <v>5.01</v>
      </c>
      <c r="L212" s="4">
        <v>11</v>
      </c>
      <c r="M212" s="4">
        <v>1</v>
      </c>
      <c r="N212" s="4">
        <v>5.71</v>
      </c>
      <c r="O212" s="4">
        <v>727</v>
      </c>
      <c r="P212" s="4">
        <v>6.4199999999999993E-2</v>
      </c>
      <c r="Q212" s="4">
        <v>2.98</v>
      </c>
      <c r="R212" s="4">
        <v>9.4</v>
      </c>
      <c r="S212" s="4">
        <v>10.199999999999999</v>
      </c>
      <c r="T212" s="4">
        <v>13.9</v>
      </c>
      <c r="U212" s="4">
        <v>17.100000000000001</v>
      </c>
      <c r="V212" s="4">
        <v>17.899999999999999</v>
      </c>
      <c r="W212" s="4">
        <v>18.8</v>
      </c>
      <c r="X212" s="4">
        <v>20.5</v>
      </c>
      <c r="Y212" s="4">
        <v>22.3</v>
      </c>
      <c r="Z212" s="4">
        <v>7.07</v>
      </c>
      <c r="AA212" s="4">
        <v>9.77</v>
      </c>
      <c r="AB212" s="4">
        <v>6.6699999999999995E-4</v>
      </c>
      <c r="AC212" s="4">
        <v>0.254</v>
      </c>
      <c r="AD212" s="4" t="s">
        <v>342</v>
      </c>
      <c r="AE212" s="4">
        <v>3.84</v>
      </c>
    </row>
    <row r="213" spans="1:31">
      <c r="A213" s="4"/>
      <c r="B213" s="5" t="s">
        <v>343</v>
      </c>
      <c r="C213" s="4"/>
      <c r="D213" s="4">
        <v>13</v>
      </c>
      <c r="E213" s="4">
        <v>1</v>
      </c>
      <c r="F213" s="4">
        <v>31.8</v>
      </c>
      <c r="G213" s="4">
        <v>31.8</v>
      </c>
      <c r="H213" s="4">
        <v>4.76</v>
      </c>
      <c r="I213" s="4">
        <v>6.2</v>
      </c>
      <c r="J213" s="4">
        <v>6.68</v>
      </c>
      <c r="K213" s="4">
        <v>6.68</v>
      </c>
      <c r="L213" s="4">
        <v>10</v>
      </c>
      <c r="M213" s="4">
        <v>1</v>
      </c>
      <c r="N213" s="4">
        <v>4.4000000000000004</v>
      </c>
      <c r="O213" s="4">
        <v>560</v>
      </c>
      <c r="P213" s="4">
        <v>5.1400000000000001E-2</v>
      </c>
      <c r="Q213" s="4">
        <v>2.33</v>
      </c>
      <c r="R213" s="4">
        <v>9.58</v>
      </c>
      <c r="S213" s="4">
        <v>9.69</v>
      </c>
      <c r="T213" s="4">
        <v>13.6</v>
      </c>
      <c r="U213" s="4">
        <v>16.7</v>
      </c>
      <c r="V213" s="4">
        <v>17.5</v>
      </c>
      <c r="W213" s="4">
        <v>18.399999999999999</v>
      </c>
      <c r="X213" s="4">
        <v>20.100000000000001</v>
      </c>
      <c r="Y213" s="4">
        <v>21.9</v>
      </c>
      <c r="Z213" s="4">
        <v>7.31</v>
      </c>
      <c r="AA213" s="4">
        <v>4.2300000000000004</v>
      </c>
      <c r="AB213" s="4">
        <v>3.0499999999999999E-4</v>
      </c>
      <c r="AC213" s="4">
        <v>0.254</v>
      </c>
      <c r="AD213" s="4" t="s">
        <v>344</v>
      </c>
      <c r="AE213" s="4">
        <v>2.95</v>
      </c>
    </row>
    <row r="214" spans="1:31">
      <c r="A214" s="4"/>
      <c r="B214" s="5" t="s">
        <v>345</v>
      </c>
      <c r="C214" s="4"/>
      <c r="D214" s="4">
        <v>13</v>
      </c>
      <c r="E214" s="4">
        <v>1</v>
      </c>
      <c r="F214" s="4">
        <v>31.8</v>
      </c>
      <c r="G214" s="4">
        <v>31.8</v>
      </c>
      <c r="H214" s="4">
        <v>3.18</v>
      </c>
      <c r="I214" s="4">
        <v>6.25</v>
      </c>
      <c r="J214" s="4">
        <v>10</v>
      </c>
      <c r="K214" s="4">
        <v>10</v>
      </c>
      <c r="L214" s="4">
        <v>8</v>
      </c>
      <c r="M214" s="4">
        <v>1</v>
      </c>
      <c r="N214" s="4">
        <v>3.02</v>
      </c>
      <c r="O214" s="4">
        <v>384</v>
      </c>
      <c r="P214" s="4">
        <v>3.6799999999999999E-2</v>
      </c>
      <c r="Q214" s="4">
        <v>1.62</v>
      </c>
      <c r="R214" s="4">
        <v>9.7899999999999991</v>
      </c>
      <c r="S214" s="4">
        <v>9.1199999999999992</v>
      </c>
      <c r="T214" s="4">
        <v>13.4</v>
      </c>
      <c r="U214" s="4">
        <v>16.399999999999999</v>
      </c>
      <c r="V214" s="4">
        <v>17.2</v>
      </c>
      <c r="W214" s="4">
        <v>18</v>
      </c>
      <c r="X214" s="4">
        <v>19.7</v>
      </c>
      <c r="Y214" s="4">
        <v>21.5</v>
      </c>
      <c r="Z214" s="4">
        <v>7.53</v>
      </c>
      <c r="AA214" s="4">
        <v>1.3</v>
      </c>
      <c r="AB214" s="4">
        <v>9.8499999999999995E-5</v>
      </c>
      <c r="AC214" s="4">
        <v>0.254</v>
      </c>
      <c r="AD214" s="4" t="s">
        <v>346</v>
      </c>
      <c r="AE214" s="4">
        <v>2.0299999999999998</v>
      </c>
    </row>
    <row r="215" spans="1:31">
      <c r="A215" s="4" t="s">
        <v>76</v>
      </c>
      <c r="B215" s="5" t="s">
        <v>347</v>
      </c>
      <c r="C215" s="4"/>
      <c r="D215" s="4">
        <v>13</v>
      </c>
      <c r="E215" s="4">
        <v>1</v>
      </c>
      <c r="F215" s="4">
        <v>25.4</v>
      </c>
      <c r="G215" s="4">
        <v>25.4</v>
      </c>
      <c r="H215" s="4">
        <v>6.35</v>
      </c>
      <c r="I215" s="4">
        <v>4.9800000000000004</v>
      </c>
      <c r="J215" s="4">
        <v>4</v>
      </c>
      <c r="K215" s="4">
        <v>4</v>
      </c>
      <c r="L215" s="4">
        <v>11</v>
      </c>
      <c r="M215" s="4">
        <v>1</v>
      </c>
      <c r="N215" s="4">
        <v>4.43</v>
      </c>
      <c r="O215" s="4">
        <v>565</v>
      </c>
      <c r="P215" s="4">
        <v>3.0700000000000002E-2</v>
      </c>
      <c r="Q215" s="4">
        <v>1.83</v>
      </c>
      <c r="R215" s="4">
        <v>7.37</v>
      </c>
      <c r="S215" s="4">
        <v>8.6199999999999992</v>
      </c>
      <c r="T215" s="4">
        <v>11.3</v>
      </c>
      <c r="U215" s="4">
        <v>14.6</v>
      </c>
      <c r="V215" s="4">
        <v>15.5</v>
      </c>
      <c r="W215" s="4">
        <v>16.399999999999999</v>
      </c>
      <c r="X215" s="4">
        <v>18.2</v>
      </c>
      <c r="Y215" s="4">
        <v>20</v>
      </c>
      <c r="Z215" s="4">
        <v>5.44</v>
      </c>
      <c r="AA215" s="4">
        <v>7.59</v>
      </c>
      <c r="AB215" s="4">
        <v>3.1199999999999999E-4</v>
      </c>
      <c r="AC215" s="4">
        <v>0.20300000000000001</v>
      </c>
      <c r="AD215" s="4" t="s">
        <v>348</v>
      </c>
      <c r="AE215" s="4">
        <v>2.98</v>
      </c>
    </row>
    <row r="216" spans="1:31">
      <c r="A216" s="4"/>
      <c r="B216" s="5" t="s">
        <v>349</v>
      </c>
      <c r="C216" s="4"/>
      <c r="D216" s="4">
        <v>13</v>
      </c>
      <c r="E216" s="4">
        <v>1</v>
      </c>
      <c r="F216" s="4">
        <v>25.4</v>
      </c>
      <c r="G216" s="4">
        <v>25.4</v>
      </c>
      <c r="H216" s="4">
        <v>4.76</v>
      </c>
      <c r="I216" s="4">
        <v>4.9400000000000004</v>
      </c>
      <c r="J216" s="4">
        <v>5.34</v>
      </c>
      <c r="K216" s="4">
        <v>5.34</v>
      </c>
      <c r="L216" s="4">
        <v>10</v>
      </c>
      <c r="M216" s="4">
        <v>1</v>
      </c>
      <c r="N216" s="4">
        <v>3.44</v>
      </c>
      <c r="O216" s="4">
        <v>438</v>
      </c>
      <c r="P216" s="4">
        <v>2.4899999999999999E-2</v>
      </c>
      <c r="Q216" s="4">
        <v>1.44</v>
      </c>
      <c r="R216" s="4">
        <v>7.54</v>
      </c>
      <c r="S216" s="4">
        <v>8.07</v>
      </c>
      <c r="T216" s="4">
        <v>11</v>
      </c>
      <c r="U216" s="4">
        <v>14.2</v>
      </c>
      <c r="V216" s="4">
        <v>15.1</v>
      </c>
      <c r="W216" s="4">
        <v>16</v>
      </c>
      <c r="X216" s="4">
        <v>17.8</v>
      </c>
      <c r="Y216" s="4">
        <v>19.600000000000001</v>
      </c>
      <c r="Z216" s="4">
        <v>5.69</v>
      </c>
      <c r="AA216" s="4">
        <v>3.31</v>
      </c>
      <c r="AB216" s="4">
        <v>1.46E-4</v>
      </c>
      <c r="AC216" s="4">
        <v>0.20300000000000001</v>
      </c>
      <c r="AD216" s="4" t="s">
        <v>350</v>
      </c>
      <c r="AE216" s="4">
        <v>2.31</v>
      </c>
    </row>
    <row r="217" spans="1:31">
      <c r="A217" s="4"/>
      <c r="B217" s="5" t="s">
        <v>351</v>
      </c>
      <c r="C217" s="4"/>
      <c r="D217" s="4">
        <v>13</v>
      </c>
      <c r="E217" s="4">
        <v>1</v>
      </c>
      <c r="F217" s="4">
        <v>25.4</v>
      </c>
      <c r="G217" s="4">
        <v>25.4</v>
      </c>
      <c r="H217" s="4">
        <v>3.18</v>
      </c>
      <c r="I217" s="4">
        <v>4.97</v>
      </c>
      <c r="J217" s="4">
        <v>7.99</v>
      </c>
      <c r="K217" s="4">
        <v>7.99</v>
      </c>
      <c r="L217" s="4">
        <v>8</v>
      </c>
      <c r="M217" s="4">
        <v>1</v>
      </c>
      <c r="N217" s="4">
        <v>2.38</v>
      </c>
      <c r="O217" s="4">
        <v>303</v>
      </c>
      <c r="P217" s="4">
        <v>1.8100000000000002E-2</v>
      </c>
      <c r="Q217" s="4">
        <v>1.01</v>
      </c>
      <c r="R217" s="4">
        <v>7.73</v>
      </c>
      <c r="S217" s="4">
        <v>7.52</v>
      </c>
      <c r="T217" s="4">
        <v>10.8</v>
      </c>
      <c r="U217" s="4">
        <v>13.9</v>
      </c>
      <c r="V217" s="4">
        <v>14.7</v>
      </c>
      <c r="W217" s="4">
        <v>15.6</v>
      </c>
      <c r="X217" s="4">
        <v>17.3</v>
      </c>
      <c r="Y217" s="4">
        <v>19.100000000000001</v>
      </c>
      <c r="Z217" s="4">
        <v>5.93</v>
      </c>
      <c r="AA217" s="4">
        <v>1.02</v>
      </c>
      <c r="AB217" s="4">
        <v>4.8199999999999999E-5</v>
      </c>
      <c r="AC217" s="4">
        <v>0.20300000000000001</v>
      </c>
      <c r="AD217" s="4" t="s">
        <v>352</v>
      </c>
      <c r="AE217" s="4">
        <v>1.6</v>
      </c>
    </row>
    <row r="218" spans="1:31">
      <c r="A218" s="4" t="s">
        <v>76</v>
      </c>
      <c r="B218" s="5" t="s">
        <v>353</v>
      </c>
      <c r="C218" s="4"/>
      <c r="D218" s="4">
        <v>13</v>
      </c>
      <c r="E218" s="4">
        <v>1</v>
      </c>
      <c r="F218" s="4">
        <v>19.100000000000001</v>
      </c>
      <c r="G218" s="4">
        <v>19.100000000000001</v>
      </c>
      <c r="H218" s="4">
        <v>3.18</v>
      </c>
      <c r="I218" s="4">
        <v>3.72</v>
      </c>
      <c r="J218" s="4">
        <v>6.01</v>
      </c>
      <c r="K218" s="4">
        <v>6.01</v>
      </c>
      <c r="L218" s="4">
        <v>8</v>
      </c>
      <c r="M218" s="4">
        <v>1</v>
      </c>
      <c r="N218" s="4">
        <v>1.75</v>
      </c>
      <c r="O218" s="4">
        <v>223</v>
      </c>
      <c r="P218" s="4">
        <v>7.28E-3</v>
      </c>
      <c r="Q218" s="4">
        <v>0.55300000000000005</v>
      </c>
      <c r="R218" s="4">
        <v>5.72</v>
      </c>
      <c r="S218" s="4">
        <v>5.93</v>
      </c>
      <c r="T218" s="4">
        <v>8.24</v>
      </c>
      <c r="U218" s="4">
        <v>11.5</v>
      </c>
      <c r="V218" s="4">
        <v>12.3</v>
      </c>
      <c r="W218" s="4">
        <v>13.2</v>
      </c>
      <c r="X218" s="4">
        <v>15.1</v>
      </c>
      <c r="Y218" s="4">
        <v>16.899999999999999</v>
      </c>
      <c r="Z218" s="4">
        <v>4.34</v>
      </c>
      <c r="AA218" s="4">
        <v>0.751</v>
      </c>
      <c r="AB218" s="4">
        <v>1.9199999999999999E-5</v>
      </c>
      <c r="AC218" s="4">
        <v>0.153</v>
      </c>
      <c r="AD218" s="4" t="s">
        <v>354</v>
      </c>
      <c r="AE218" s="4">
        <v>1.17</v>
      </c>
    </row>
  </sheetData>
  <autoFilter ref="A78:AE218" xr:uid="{58B4FE79-5F20-4520-8BC7-733AB442D16A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9d746c0-3369-42be-bf83-6862f3f56ae7}" enabled="1" method="Standard" siteId="{75864cfe-f26d-419c-b69d-c638695b5533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123</vt:i4>
      </vt:variant>
    </vt:vector>
  </HeadingPairs>
  <TitlesOfParts>
    <vt:vector size="127" baseType="lpstr">
      <vt:lpstr>2L_Check - L102</vt:lpstr>
      <vt:lpstr>2L_Check - L76</vt:lpstr>
      <vt:lpstr>WT_Check - WT100</vt:lpstr>
      <vt:lpstr>2L_Database</vt:lpstr>
      <vt:lpstr>'2L_Check - L102'!A.br</vt:lpstr>
      <vt:lpstr>'2L_Check - L76'!A.br</vt:lpstr>
      <vt:lpstr>'WT_Check - WT100'!A.br</vt:lpstr>
      <vt:lpstr>'2L_Check - L102'!Ane.br</vt:lpstr>
      <vt:lpstr>'2L_Check - L76'!Ane.br</vt:lpstr>
      <vt:lpstr>'WT_Check - WT100'!Ane.br</vt:lpstr>
      <vt:lpstr>'2L_Check - L102'!b.br</vt:lpstr>
      <vt:lpstr>'2L_Check - L76'!b.br</vt:lpstr>
      <vt:lpstr>'WT_Check - WT100'!b.br</vt:lpstr>
      <vt:lpstr>'2L_Check - L102'!Cf.br</vt:lpstr>
      <vt:lpstr>'2L_Check - L76'!Cf.br</vt:lpstr>
      <vt:lpstr>'WT_Check - WT100'!Cf.br</vt:lpstr>
      <vt:lpstr>'2L_Check - L102'!Cw.br</vt:lpstr>
      <vt:lpstr>'2L_Check - L76'!Cw.br</vt:lpstr>
      <vt:lpstr>'WT_Check - WT100'!Cw.br</vt:lpstr>
      <vt:lpstr>'2L_Check - L102'!d.br</vt:lpstr>
      <vt:lpstr>'2L_Check - L76'!d.br</vt:lpstr>
      <vt:lpstr>'WT_Check - WT100'!d.br</vt:lpstr>
      <vt:lpstr>'2L_Check - L102'!E.br</vt:lpstr>
      <vt:lpstr>'2L_Check - L76'!E.br</vt:lpstr>
      <vt:lpstr>'WT_Check - WT100'!E.br</vt:lpstr>
      <vt:lpstr>'2L_Check - L102'!Fe.br</vt:lpstr>
      <vt:lpstr>'2L_Check - L76'!Fe.br</vt:lpstr>
      <vt:lpstr>'WT_Check - WT100'!Fe.br</vt:lpstr>
      <vt:lpstr>'2L_Check - L102'!Fex.br</vt:lpstr>
      <vt:lpstr>'2L_Check - L76'!Fex.br</vt:lpstr>
      <vt:lpstr>'WT_Check - WT100'!Fex.br</vt:lpstr>
      <vt:lpstr>'2L_Check - L102'!Fey.br</vt:lpstr>
      <vt:lpstr>'2L_Check - L76'!Fey.br</vt:lpstr>
      <vt:lpstr>'WT_Check - WT100'!Fey.br</vt:lpstr>
      <vt:lpstr>'2L_Check - L102'!Feyz.br</vt:lpstr>
      <vt:lpstr>'2L_Check - L76'!Feyz.br</vt:lpstr>
      <vt:lpstr>'WT_Check - WT100'!Feyz.br</vt:lpstr>
      <vt:lpstr>'2L_Check - L102'!Fez.br</vt:lpstr>
      <vt:lpstr>'2L_Check - L76'!Fez.br</vt:lpstr>
      <vt:lpstr>'WT_Check - WT100'!Fez.br</vt:lpstr>
      <vt:lpstr>'2L_Check - L102'!Fu.br</vt:lpstr>
      <vt:lpstr>'2L_Check - L76'!Fu.br</vt:lpstr>
      <vt:lpstr>'WT_Check - WT100'!Fu.br</vt:lpstr>
      <vt:lpstr>'2L_Check - L102'!Fy.br</vt:lpstr>
      <vt:lpstr>'2L_Check - L76'!Fy.br</vt:lpstr>
      <vt:lpstr>'WT_Check - WT100'!Fy.br</vt:lpstr>
      <vt:lpstr>'2L_Check - L102'!G.br</vt:lpstr>
      <vt:lpstr>'2L_Check - L76'!G.br</vt:lpstr>
      <vt:lpstr>'WT_Check - WT100'!G.br</vt:lpstr>
      <vt:lpstr>'2L_Check - L102'!Ix.br</vt:lpstr>
      <vt:lpstr>'2L_Check - L76'!Ix.br</vt:lpstr>
      <vt:lpstr>'WT_Check - WT100'!Ix.br</vt:lpstr>
      <vt:lpstr>'2L_Check - L102'!Iy.br</vt:lpstr>
      <vt:lpstr>'2L_Check - L76'!Iy.br</vt:lpstr>
      <vt:lpstr>'WT_Check - WT100'!Iy.br</vt:lpstr>
      <vt:lpstr>'2L_Check - L102'!J.br</vt:lpstr>
      <vt:lpstr>'2L_Check - L76'!J.br</vt:lpstr>
      <vt:lpstr>'WT_Check - WT100'!J.br</vt:lpstr>
      <vt:lpstr>'2L_Check - L102'!Kx.br</vt:lpstr>
      <vt:lpstr>'2L_Check - L76'!Kx.br</vt:lpstr>
      <vt:lpstr>'WT_Check - WT100'!Kx.br</vt:lpstr>
      <vt:lpstr>'2L_Check - L102'!Ky.br</vt:lpstr>
      <vt:lpstr>'2L_Check - L76'!Ky.br</vt:lpstr>
      <vt:lpstr>'WT_Check - WT100'!Ky.br</vt:lpstr>
      <vt:lpstr>'2L_Check - L102'!Kz.br</vt:lpstr>
      <vt:lpstr>'2L_Check - L76'!Kz.br</vt:lpstr>
      <vt:lpstr>'WT_Check - WT100'!Kz.br</vt:lpstr>
      <vt:lpstr>'2L_Check - L102'!Lambda.br</vt:lpstr>
      <vt:lpstr>'2L_Check - L76'!Lambda.br</vt:lpstr>
      <vt:lpstr>'WT_Check - WT100'!Lambda.br</vt:lpstr>
      <vt:lpstr>'2L_Check - L102'!Lx.br</vt:lpstr>
      <vt:lpstr>'2L_Check - L76'!Lx.br</vt:lpstr>
      <vt:lpstr>'WT_Check - WT100'!Lx.br</vt:lpstr>
      <vt:lpstr>'2L_Check - L102'!Ly.br</vt:lpstr>
      <vt:lpstr>'2L_Check - L76'!Ly.br</vt:lpstr>
      <vt:lpstr>'WT_Check - WT100'!Ly.br</vt:lpstr>
      <vt:lpstr>'2L_Check - L102'!Lz.br</vt:lpstr>
      <vt:lpstr>'2L_Check - L76'!Lz.br</vt:lpstr>
      <vt:lpstr>'WT_Check - WT100'!Lz.br</vt:lpstr>
      <vt:lpstr>'2L_Check - L102'!Mrx.br</vt:lpstr>
      <vt:lpstr>'2L_Check - L76'!Mrx.br</vt:lpstr>
      <vt:lpstr>'WT_Check - WT100'!Mrx.br</vt:lpstr>
      <vt:lpstr>'2L_Check - L102'!n.br</vt:lpstr>
      <vt:lpstr>'2L_Check - L76'!n.br</vt:lpstr>
      <vt:lpstr>'WT_Check - WT100'!n.br</vt:lpstr>
      <vt:lpstr>'2L_Check - L102'!Omega.br</vt:lpstr>
      <vt:lpstr>'2L_Check - L76'!Omega.br</vt:lpstr>
      <vt:lpstr>'WT_Check - WT100'!Omega.br</vt:lpstr>
      <vt:lpstr>'2L_Check - L102'!PHI.br</vt:lpstr>
      <vt:lpstr>'2L_Check - L76'!PHI.br</vt:lpstr>
      <vt:lpstr>'WT_Check - WT100'!PHI.br</vt:lpstr>
      <vt:lpstr>'2L_Check - L102'!PHIu.br</vt:lpstr>
      <vt:lpstr>'2L_Check - L76'!PHIu.br</vt:lpstr>
      <vt:lpstr>'WT_Check - WT100'!PHIu.br</vt:lpstr>
      <vt:lpstr>'2L_Check - L102'!Print_Area</vt:lpstr>
      <vt:lpstr>'2L_Check - L76'!Print_Area</vt:lpstr>
      <vt:lpstr>'WT_Check - WT100'!Print_Area</vt:lpstr>
      <vt:lpstr>'2L_Check - L102'!r0.br</vt:lpstr>
      <vt:lpstr>'2L_Check - L76'!r0.br</vt:lpstr>
      <vt:lpstr>'WT_Check - WT100'!r0.br</vt:lpstr>
      <vt:lpstr>'2L_Check - L102'!rx.br</vt:lpstr>
      <vt:lpstr>'2L_Check - L76'!rx.br</vt:lpstr>
      <vt:lpstr>'WT_Check - WT100'!rx.br</vt:lpstr>
      <vt:lpstr>'2L_Check - L102'!ry.br</vt:lpstr>
      <vt:lpstr>'2L_Check - L76'!ry.br</vt:lpstr>
      <vt:lpstr>'WT_Check - WT100'!ry.br</vt:lpstr>
      <vt:lpstr>'2L_Check - L102'!Sx.br</vt:lpstr>
      <vt:lpstr>'2L_Check - L76'!Sx.br</vt:lpstr>
      <vt:lpstr>'WT_Check - WT100'!Sx.br</vt:lpstr>
      <vt:lpstr>'2L_Check - L102'!t.br</vt:lpstr>
      <vt:lpstr>'2L_Check - L76'!t.br</vt:lpstr>
      <vt:lpstr>'WT_Check - WT100'!t.br</vt:lpstr>
      <vt:lpstr>'2L_Check - L102'!Tf.br</vt:lpstr>
      <vt:lpstr>'2L_Check - L76'!Tf.br</vt:lpstr>
      <vt:lpstr>'WT_Check - WT100'!Tf.br</vt:lpstr>
      <vt:lpstr>'2L_Check - L102'!w.br</vt:lpstr>
      <vt:lpstr>'2L_Check - L76'!w.br</vt:lpstr>
      <vt:lpstr>'WT_Check - WT100'!w.br</vt:lpstr>
      <vt:lpstr>'2L_Check - L102'!WT</vt:lpstr>
      <vt:lpstr>'2L_Check - L76'!WT</vt:lpstr>
      <vt:lpstr>'WT_Check - WT100'!WT</vt:lpstr>
      <vt:lpstr>'2L_Check - L102'!y.br</vt:lpstr>
      <vt:lpstr>'2L_Check - L76'!y.br</vt:lpstr>
      <vt:lpstr>'WT_Check - WT100'!y.br</vt:lpstr>
      <vt:lpstr>'2L_Check - L102'!y0.br</vt:lpstr>
      <vt:lpstr>'2L_Check - L76'!y0.br</vt:lpstr>
      <vt:lpstr>'WT_Check - WT100'!y0.br</vt:lpstr>
    </vt:vector>
  </TitlesOfParts>
  <Company>Fluor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Ryley Gray</dc:creator>
  <cp:lastModifiedBy>Coltin Walsh</cp:lastModifiedBy>
  <cp:lastPrinted>2026-03-09T17:14:20Z</cp:lastPrinted>
  <dcterms:created xsi:type="dcterms:W3CDTF">2019-01-21T22:25:30Z</dcterms:created>
  <dcterms:modified xsi:type="dcterms:W3CDTF">2026-03-09T17:14:31Z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9d746c0-3369-42be-bf83-6862f3f56ae7_Enabled">
    <vt:lpwstr>true</vt:lpwstr>
  </property>
  <property fmtid="{D5CDD505-2E9C-101B-9397-08002B2CF9AE}" pid="3" name="MSIP_Label_e9d746c0-3369-42be-bf83-6862f3f56ae7_SetDate">
    <vt:lpwstr>2024-08-29T19:51:13Z</vt:lpwstr>
  </property>
  <property fmtid="{D5CDD505-2E9C-101B-9397-08002B2CF9AE}" pid="4" name="MSIP_Label_e9d746c0-3369-42be-bf83-6862f3f56ae7_Method">
    <vt:lpwstr>Standard</vt:lpwstr>
  </property>
  <property fmtid="{D5CDD505-2E9C-101B-9397-08002B2CF9AE}" pid="5" name="MSIP_Label_e9d746c0-3369-42be-bf83-6862f3f56ae7_Name">
    <vt:lpwstr>Fluor General</vt:lpwstr>
  </property>
  <property fmtid="{D5CDD505-2E9C-101B-9397-08002B2CF9AE}" pid="6" name="MSIP_Label_e9d746c0-3369-42be-bf83-6862f3f56ae7_SiteId">
    <vt:lpwstr>75864cfe-f26d-419c-b69d-c638695b5533</vt:lpwstr>
  </property>
  <property fmtid="{D5CDD505-2E9C-101B-9397-08002B2CF9AE}" pid="7" name="MSIP_Label_e9d746c0-3369-42be-bf83-6862f3f56ae7_ActionId">
    <vt:lpwstr>e9264a29-9b5e-49b7-8e7e-858fc4c202cd</vt:lpwstr>
  </property>
  <property fmtid="{D5CDD505-2E9C-101B-9397-08002B2CF9AE}" pid="8" name="MSIP_Label_e9d746c0-3369-42be-bf83-6862f3f56ae7_ContentBits">
    <vt:lpwstr>0</vt:lpwstr>
  </property>
</Properties>
</file>