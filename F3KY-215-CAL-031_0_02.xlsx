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defaultThemeVersion="124226"/>
  <mc:AlternateContent xmlns:mc="http://schemas.openxmlformats.org/markup-compatibility/2006">
    <mc:Choice Requires="x15">
      <x15ac:absPath xmlns:x15ac="http://schemas.microsoft.com/office/spreadsheetml/2010/11/ac" url="\\FDNET.COM\CA_Projects\CA_F3KY\215_STRUCTURAL\215E_ENGINEERING_DESIGN_DATA\215E_014_R_Proj_Calculations_Sketches\F3KY-215-CAL-031 CWA 240 Tray Waterfall Pile and Steel Design\Working\"/>
    </mc:Choice>
  </mc:AlternateContent>
  <xr:revisionPtr revIDLastSave="0" documentId="13_ncr:1_{B56BB5A2-D125-4BB3-A7BA-90B3A95BE8A3}" xr6:coauthVersionLast="47" xr6:coauthVersionMax="47" xr10:uidLastSave="{00000000-0000-0000-0000-000000000000}"/>
  <bookViews>
    <workbookView xWindow="28680" yWindow="-5490" windowWidth="38640" windowHeight="21120" tabRatio="880" activeTab="1" xr2:uid="{00000000-000D-0000-FFFF-FFFF00000000}"/>
  </bookViews>
  <sheets>
    <sheet name="C1_Transverse" sheetId="14" r:id="rId1"/>
    <sheet name="C1_Longitudinal" sheetId="7" r:id="rId2"/>
    <sheet name="D1_Transverse" sheetId="15" r:id="rId3"/>
    <sheet name="D1_Longitudinal" sheetId="16" r:id="rId4"/>
    <sheet name="W Sections" sheetId="4" r:id="rId5"/>
    <sheet name="2L" sheetId="13" r:id="rId6"/>
  </sheets>
  <definedNames>
    <definedName name="_xlnm._FilterDatabase" localSheetId="5" hidden="1">'2L'!$A$78:$AE$218</definedName>
    <definedName name="_xlnm.Print_Area" localSheetId="1">'C1_Longitudinal'!$A$2:$R$43</definedName>
    <definedName name="_xlnm.Print_Area" localSheetId="0">'C1_Transverse'!$A$1:$O$82</definedName>
    <definedName name="_xlnm.Print_Area" localSheetId="3">D1_Longitudinal!$A$2:$R$42</definedName>
    <definedName name="_xlnm.Print_Area" localSheetId="2">D1_Transverse!$A$1:$O$52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4" i="15" l="1"/>
  <c r="D34" i="15"/>
  <c r="D64" i="14"/>
  <c r="C64" i="14"/>
  <c r="D49" i="14"/>
  <c r="C49" i="14"/>
  <c r="D48" i="14"/>
  <c r="C48" i="14"/>
  <c r="D44" i="14"/>
  <c r="D45" i="14" s="1"/>
  <c r="C44" i="14"/>
  <c r="C45" i="14" s="1"/>
  <c r="D39" i="14"/>
  <c r="D40" i="14" s="1"/>
  <c r="D46" i="14" s="1"/>
  <c r="C39" i="14"/>
  <c r="C40" i="14" s="1"/>
  <c r="L10" i="16"/>
  <c r="F10" i="16"/>
  <c r="G10" i="16" s="1"/>
  <c r="H10" i="16" s="1"/>
  <c r="I10" i="16" s="1"/>
  <c r="E10" i="16"/>
  <c r="M10" i="16" s="1"/>
  <c r="N10" i="16" s="1"/>
  <c r="L9" i="16"/>
  <c r="F9" i="16"/>
  <c r="G9" i="16" s="1"/>
  <c r="H9" i="16" s="1"/>
  <c r="I9" i="16" s="1"/>
  <c r="E9" i="16"/>
  <c r="M9" i="16" s="1"/>
  <c r="N9" i="16" s="1"/>
  <c r="L8" i="16"/>
  <c r="F8" i="16"/>
  <c r="G8" i="16" s="1"/>
  <c r="H8" i="16" s="1"/>
  <c r="I8" i="16" s="1"/>
  <c r="E8" i="16"/>
  <c r="M8" i="16" s="1"/>
  <c r="N8" i="16" s="1"/>
  <c r="L7" i="16"/>
  <c r="F7" i="16"/>
  <c r="G7" i="16" s="1"/>
  <c r="H7" i="16" s="1"/>
  <c r="I7" i="16" s="1"/>
  <c r="E7" i="16"/>
  <c r="M7" i="16" s="1"/>
  <c r="N7" i="16" s="1"/>
  <c r="D50" i="14" l="1"/>
  <c r="D51" i="14" s="1"/>
  <c r="C50" i="14"/>
  <c r="C46" i="14"/>
  <c r="C51" i="14" s="1"/>
  <c r="Q9" i="16"/>
  <c r="Q8" i="16"/>
  <c r="Q7" i="16"/>
  <c r="Q10" i="16"/>
  <c r="E51" i="14" l="1"/>
  <c r="O11" i="16"/>
  <c r="D48" i="15" l="1"/>
  <c r="D50" i="15" s="1"/>
  <c r="C48" i="15"/>
  <c r="C50" i="15" s="1"/>
  <c r="D44" i="15"/>
  <c r="D45" i="15" s="1"/>
  <c r="C44" i="15"/>
  <c r="C45" i="15" s="1"/>
  <c r="D39" i="15"/>
  <c r="D40" i="15" s="1"/>
  <c r="C39" i="15"/>
  <c r="C40" i="15" s="1"/>
  <c r="D33" i="15"/>
  <c r="C33" i="15"/>
  <c r="D29" i="15"/>
  <c r="D30" i="15" s="1"/>
  <c r="C29" i="15"/>
  <c r="C30" i="15" s="1"/>
  <c r="D24" i="15"/>
  <c r="D25" i="15" s="1"/>
  <c r="C24" i="15"/>
  <c r="C25" i="15" s="1"/>
  <c r="D18" i="15"/>
  <c r="D20" i="15" s="1"/>
  <c r="C18" i="15"/>
  <c r="C20" i="15" s="1"/>
  <c r="D14" i="15"/>
  <c r="D15" i="15" s="1"/>
  <c r="C14" i="15"/>
  <c r="C15" i="15" s="1"/>
  <c r="V11" i="15" s="1"/>
  <c r="D9" i="15"/>
  <c r="D10" i="15" s="1"/>
  <c r="C9" i="15"/>
  <c r="C10" i="15" s="1"/>
  <c r="T67" i="14"/>
  <c r="D78" i="14"/>
  <c r="D80" i="14" s="1"/>
  <c r="C78" i="14"/>
  <c r="C80" i="14" s="1"/>
  <c r="D74" i="14"/>
  <c r="D75" i="14" s="1"/>
  <c r="W71" i="14" s="1"/>
  <c r="C74" i="14"/>
  <c r="C75" i="14" s="1"/>
  <c r="V71" i="14" s="1"/>
  <c r="D69" i="14"/>
  <c r="D70" i="14" s="1"/>
  <c r="C69" i="14"/>
  <c r="C70" i="14" s="1"/>
  <c r="D63" i="14"/>
  <c r="C63" i="14"/>
  <c r="D59" i="14"/>
  <c r="D60" i="14" s="1"/>
  <c r="W56" i="14" s="1"/>
  <c r="C59" i="14"/>
  <c r="C60" i="14" s="1"/>
  <c r="V74" i="14" s="1"/>
  <c r="D54" i="14"/>
  <c r="D55" i="14" s="1"/>
  <c r="C54" i="14"/>
  <c r="C55" i="14" s="1"/>
  <c r="D33" i="14"/>
  <c r="D35" i="14" s="1"/>
  <c r="C33" i="14"/>
  <c r="C35" i="14" s="1"/>
  <c r="D29" i="14"/>
  <c r="D30" i="14" s="1"/>
  <c r="C29" i="14"/>
  <c r="C30" i="14" s="1"/>
  <c r="V59" i="14" s="1"/>
  <c r="D24" i="14"/>
  <c r="D25" i="14" s="1"/>
  <c r="C24" i="14"/>
  <c r="C25" i="14" s="1"/>
  <c r="D18" i="14"/>
  <c r="D20" i="14" s="1"/>
  <c r="C18" i="14"/>
  <c r="C20" i="14" s="1"/>
  <c r="D14" i="14"/>
  <c r="D15" i="14" s="1"/>
  <c r="W29" i="14" s="1"/>
  <c r="C14" i="14"/>
  <c r="C15" i="14" s="1"/>
  <c r="V29" i="14" s="1"/>
  <c r="D9" i="14"/>
  <c r="D10" i="14" s="1"/>
  <c r="C9" i="14"/>
  <c r="C10" i="14" s="1"/>
  <c r="F10" i="7"/>
  <c r="E10" i="7"/>
  <c r="F9" i="7"/>
  <c r="E9" i="7"/>
  <c r="F8" i="7"/>
  <c r="E8" i="7"/>
  <c r="F7" i="7"/>
  <c r="E7" i="7"/>
  <c r="W74" i="14" l="1"/>
  <c r="W76" i="14" s="1"/>
  <c r="W11" i="14"/>
  <c r="W16" i="14" s="1"/>
  <c r="C31" i="14"/>
  <c r="C36" i="14" s="1"/>
  <c r="D76" i="14"/>
  <c r="D81" i="14" s="1"/>
  <c r="C16" i="15"/>
  <c r="C31" i="15"/>
  <c r="D31" i="15"/>
  <c r="C21" i="15"/>
  <c r="C46" i="15"/>
  <c r="C51" i="15" s="1"/>
  <c r="D16" i="15"/>
  <c r="D21" i="15" s="1"/>
  <c r="D35" i="15"/>
  <c r="C35" i="15"/>
  <c r="W41" i="15"/>
  <c r="V44" i="15"/>
  <c r="V26" i="15"/>
  <c r="W26" i="15"/>
  <c r="W44" i="15"/>
  <c r="V29" i="15"/>
  <c r="V16" i="15"/>
  <c r="W29" i="15"/>
  <c r="W11" i="15"/>
  <c r="W16" i="15" s="1"/>
  <c r="D46" i="15"/>
  <c r="D51" i="15" s="1"/>
  <c r="V41" i="15"/>
  <c r="W59" i="14"/>
  <c r="W26" i="14"/>
  <c r="W31" i="14" s="1"/>
  <c r="V26" i="14"/>
  <c r="V31" i="14" s="1"/>
  <c r="V11" i="14"/>
  <c r="V16" i="14" s="1"/>
  <c r="C61" i="14"/>
  <c r="D31" i="14"/>
  <c r="D36" i="14" s="1"/>
  <c r="V56" i="14"/>
  <c r="V76" i="14"/>
  <c r="C76" i="14"/>
  <c r="C81" i="14" s="1"/>
  <c r="D65" i="14"/>
  <c r="C65" i="14"/>
  <c r="D61" i="14"/>
  <c r="C16" i="14"/>
  <c r="C21" i="14" s="1"/>
  <c r="D16" i="14"/>
  <c r="D21" i="14" s="1"/>
  <c r="C36" i="15" l="1"/>
  <c r="D36" i="15"/>
  <c r="W61" i="14"/>
  <c r="V18" i="14"/>
  <c r="E21" i="15"/>
  <c r="W31" i="15"/>
  <c r="V46" i="15"/>
  <c r="V61" i="14"/>
  <c r="C66" i="14"/>
  <c r="D66" i="14"/>
  <c r="E36" i="15"/>
  <c r="V31" i="15"/>
  <c r="W46" i="15"/>
  <c r="V18" i="15"/>
  <c r="E51" i="15"/>
  <c r="V33" i="14"/>
  <c r="E36" i="14"/>
  <c r="V78" i="14"/>
  <c r="E81" i="14"/>
  <c r="E21" i="14"/>
  <c r="V63" i="14" l="1"/>
  <c r="E66" i="14"/>
  <c r="B82" i="14" s="1"/>
  <c r="B52" i="15"/>
  <c r="V48" i="15"/>
  <c r="V33" i="15"/>
  <c r="G10" i="7"/>
  <c r="H10" i="7" s="1"/>
  <c r="M10" i="7"/>
  <c r="N10" i="7" s="1"/>
  <c r="M9" i="7"/>
  <c r="N9" i="7" s="1"/>
  <c r="M8" i="7"/>
  <c r="N8" i="7" s="1"/>
  <c r="G7" i="7"/>
  <c r="H7" i="7" s="1"/>
  <c r="I7" i="7" s="1"/>
  <c r="M7" i="7"/>
  <c r="N7" i="7" s="1"/>
  <c r="I10" i="7" l="1"/>
  <c r="L10" i="7" s="1"/>
  <c r="Q10" i="7" s="1"/>
  <c r="G9" i="7"/>
  <c r="H9" i="7" s="1"/>
  <c r="I9" i="7" s="1"/>
  <c r="L9" i="7" s="1"/>
  <c r="Q9" i="7" s="1"/>
  <c r="G8" i="7"/>
  <c r="H8" i="7" s="1"/>
  <c r="I8" i="7" s="1"/>
  <c r="L8" i="7" s="1"/>
  <c r="Q8" i="7" s="1"/>
  <c r="L7" i="7"/>
  <c r="Q7" i="7" s="1"/>
  <c r="O11" i="7" l="1"/>
</calcChain>
</file>

<file path=xl/sharedStrings.xml><?xml version="1.0" encoding="utf-8"?>
<sst xmlns="http://schemas.openxmlformats.org/spreadsheetml/2006/main" count="1869" uniqueCount="970">
  <si>
    <t>Column Size</t>
  </si>
  <si>
    <t>Beam Size</t>
  </si>
  <si>
    <t>Number of Columns at Joint</t>
  </si>
  <si>
    <t>A</t>
  </si>
  <si>
    <t>Number of Beam at Joint</t>
  </si>
  <si>
    <t>Joint Type</t>
  </si>
  <si>
    <t>B</t>
  </si>
  <si>
    <t>W24x229</t>
  </si>
  <si>
    <t>W27x114</t>
  </si>
  <si>
    <t>W24x103</t>
  </si>
  <si>
    <t>W24x94</t>
  </si>
  <si>
    <t>W24x76</t>
  </si>
  <si>
    <t>W21x62</t>
  </si>
  <si>
    <t>Prp</t>
  </si>
  <si>
    <t>Dsg</t>
  </si>
  <si>
    <t>Avl</t>
  </si>
  <si>
    <t>Shp</t>
  </si>
  <si>
    <t>Grp</t>
  </si>
  <si>
    <t>Use</t>
  </si>
  <si>
    <t>D</t>
  </si>
  <si>
    <t>T</t>
  </si>
  <si>
    <t>W</t>
  </si>
  <si>
    <t>BT</t>
  </si>
  <si>
    <t>HW</t>
  </si>
  <si>
    <t>K</t>
  </si>
  <si>
    <t>K1</t>
  </si>
  <si>
    <t>Dnom</t>
  </si>
  <si>
    <t>Mass</t>
  </si>
  <si>
    <t>Ix</t>
  </si>
  <si>
    <t>Sx</t>
  </si>
  <si>
    <t>Rx</t>
  </si>
  <si>
    <t>Zx</t>
  </si>
  <si>
    <t>Iy</t>
  </si>
  <si>
    <t>Sy</t>
  </si>
  <si>
    <t>Ry</t>
  </si>
  <si>
    <t>Zy</t>
  </si>
  <si>
    <t>J</t>
  </si>
  <si>
    <t>Cw</t>
  </si>
  <si>
    <t>Wn</t>
  </si>
  <si>
    <t>Sw</t>
  </si>
  <si>
    <t>Qf</t>
  </si>
  <si>
    <t>Qw</t>
  </si>
  <si>
    <t>SA</t>
  </si>
  <si>
    <t>Ds_i</t>
  </si>
  <si>
    <t>Dn_i</t>
  </si>
  <si>
    <t>Wt_i</t>
  </si>
  <si>
    <t>10^6</t>
  </si>
  <si>
    <t>10^3</t>
  </si>
  <si>
    <t>10^9</t>
  </si>
  <si>
    <t>W: Wide-Flange Shapes</t>
  </si>
  <si>
    <t>mm</t>
  </si>
  <si>
    <t>kg/m</t>
  </si>
  <si>
    <t>mm^2</t>
  </si>
  <si>
    <t>mm^4</t>
  </si>
  <si>
    <t>mm^3</t>
  </si>
  <si>
    <t>mm^6</t>
  </si>
  <si>
    <t>m</t>
  </si>
  <si>
    <t>in</t>
  </si>
  <si>
    <t>lb/ft</t>
  </si>
  <si>
    <t>*</t>
  </si>
  <si>
    <t>W1100x499</t>
  </si>
  <si>
    <t>W44x335</t>
  </si>
  <si>
    <t>W1100x433</t>
  </si>
  <si>
    <t>W44x290</t>
  </si>
  <si>
    <t>W1100x390</t>
  </si>
  <si>
    <t>W44x262</t>
  </si>
  <si>
    <t>W1100x343</t>
  </si>
  <si>
    <t>W44x230</t>
  </si>
  <si>
    <t>W1000x883</t>
  </si>
  <si>
    <t>W40x593</t>
  </si>
  <si>
    <t>W1000x748</t>
  </si>
  <si>
    <t>W40x503</t>
  </si>
  <si>
    <t>W1000x642</t>
  </si>
  <si>
    <t>W40x431</t>
  </si>
  <si>
    <t>W1000x591</t>
  </si>
  <si>
    <t>W40x397</t>
  </si>
  <si>
    <t>W1000x554</t>
  </si>
  <si>
    <t>W40x372</t>
  </si>
  <si>
    <t>W1000x539</t>
  </si>
  <si>
    <t>W40x362</t>
  </si>
  <si>
    <t>W1000x483</t>
  </si>
  <si>
    <t>W40x324</t>
  </si>
  <si>
    <t>W1000x443</t>
  </si>
  <si>
    <t>W40x297</t>
  </si>
  <si>
    <t>W1000x412</t>
  </si>
  <si>
    <t>W40x277</t>
  </si>
  <si>
    <t>W1000x371</t>
  </si>
  <si>
    <t>W40x249</t>
  </si>
  <si>
    <t>W1000x321</t>
  </si>
  <si>
    <t>W40x215</t>
  </si>
  <si>
    <t>W1000x296</t>
  </si>
  <si>
    <t>W40x199</t>
  </si>
  <si>
    <t>W1000x584</t>
  </si>
  <si>
    <t>W40x392</t>
  </si>
  <si>
    <t>W1000x494</t>
  </si>
  <si>
    <t>W40x331</t>
  </si>
  <si>
    <t>W1000x486</t>
  </si>
  <si>
    <t>W40x327</t>
  </si>
  <si>
    <t>W1000x438</t>
  </si>
  <si>
    <t>W40x294</t>
  </si>
  <si>
    <t>W1000x415</t>
  </si>
  <si>
    <t>W40x278</t>
  </si>
  <si>
    <t>W1000x393</t>
  </si>
  <si>
    <t>W40x264</t>
  </si>
  <si>
    <t>W1000x350</t>
  </si>
  <si>
    <t>W40x235</t>
  </si>
  <si>
    <t>W1000x314</t>
  </si>
  <si>
    <t>W40x211</t>
  </si>
  <si>
    <t>W1000x272</t>
  </si>
  <si>
    <t>W40x183</t>
  </si>
  <si>
    <t>W1000x249</t>
  </si>
  <si>
    <t>W40x167</t>
  </si>
  <si>
    <t>W1000x222</t>
  </si>
  <si>
    <t>W40x149</t>
  </si>
  <si>
    <t>W920x1191</t>
  </si>
  <si>
    <t>W36x800</t>
  </si>
  <si>
    <t>W920x970</t>
  </si>
  <si>
    <t>W36x652</t>
  </si>
  <si>
    <t>W920x787</t>
  </si>
  <si>
    <t>W36x529</t>
  </si>
  <si>
    <t>W920x725</t>
  </si>
  <si>
    <t>W36x487</t>
  </si>
  <si>
    <t>W920x656</t>
  </si>
  <si>
    <t>W36x441</t>
  </si>
  <si>
    <t>W920x588</t>
  </si>
  <si>
    <t>W36x395</t>
  </si>
  <si>
    <t>W920x537</t>
  </si>
  <si>
    <t>W36x361</t>
  </si>
  <si>
    <t>W920x491</t>
  </si>
  <si>
    <t>W36x330</t>
  </si>
  <si>
    <t>W920x449</t>
  </si>
  <si>
    <t>W36x302</t>
  </si>
  <si>
    <t>W920x420</t>
  </si>
  <si>
    <t>W36x282</t>
  </si>
  <si>
    <t>W920x390</t>
  </si>
  <si>
    <t>W36x262</t>
  </si>
  <si>
    <t>W920x368</t>
  </si>
  <si>
    <t>W36x247</t>
  </si>
  <si>
    <t>W920x344</t>
  </si>
  <si>
    <t>W36x231</t>
  </si>
  <si>
    <t>W920x381</t>
  </si>
  <si>
    <t>W36x256</t>
  </si>
  <si>
    <t>W920x345</t>
  </si>
  <si>
    <t>W36x232</t>
  </si>
  <si>
    <t>W920x313</t>
  </si>
  <si>
    <t>W36x210</t>
  </si>
  <si>
    <t>W920x289</t>
  </si>
  <si>
    <t>W36x194</t>
  </si>
  <si>
    <t>W920x271</t>
  </si>
  <si>
    <t>W36x182</t>
  </si>
  <si>
    <t>W920x253</t>
  </si>
  <si>
    <t>W36x170</t>
  </si>
  <si>
    <t>W920x238</t>
  </si>
  <si>
    <t>W36x160</t>
  </si>
  <si>
    <t>W920x223</t>
  </si>
  <si>
    <t>W36x150</t>
  </si>
  <si>
    <t>W920x201</t>
  </si>
  <si>
    <t>W36x135</t>
  </si>
  <si>
    <t>W840x576</t>
  </si>
  <si>
    <t>W33x387</t>
  </si>
  <si>
    <t>W840x527</t>
  </si>
  <si>
    <t>W33x354</t>
  </si>
  <si>
    <t>W840x473</t>
  </si>
  <si>
    <t>W33x318</t>
  </si>
  <si>
    <t>W840x433</t>
  </si>
  <si>
    <t>W33x291</t>
  </si>
  <si>
    <t>W840x392</t>
  </si>
  <si>
    <t>W33x263</t>
  </si>
  <si>
    <t>W840x359</t>
  </si>
  <si>
    <t>W33x241</t>
  </si>
  <si>
    <t>W840x329</t>
  </si>
  <si>
    <t>W33x221</t>
  </si>
  <si>
    <t>W840x299</t>
  </si>
  <si>
    <t>W33x201</t>
  </si>
  <si>
    <t>W840x251</t>
  </si>
  <si>
    <t>W33x169</t>
  </si>
  <si>
    <t>W840x226</t>
  </si>
  <si>
    <t>W33x152</t>
  </si>
  <si>
    <t>W840x210</t>
  </si>
  <si>
    <t>W33x141</t>
  </si>
  <si>
    <t>W840x193</t>
  </si>
  <si>
    <t>W33x130</t>
  </si>
  <si>
    <t>W840x176</t>
  </si>
  <si>
    <t>W33x118</t>
  </si>
  <si>
    <t>W760x582</t>
  </si>
  <si>
    <t>W30x391</t>
  </si>
  <si>
    <t>W760x531</t>
  </si>
  <si>
    <t>W30x357</t>
  </si>
  <si>
    <t>W760x484</t>
  </si>
  <si>
    <t>W30x326</t>
  </si>
  <si>
    <t>W760x434</t>
  </si>
  <si>
    <t>W30x292</t>
  </si>
  <si>
    <t>W760x389</t>
  </si>
  <si>
    <t>W30x261</t>
  </si>
  <si>
    <t>W760x350</t>
  </si>
  <si>
    <t>W30x235</t>
  </si>
  <si>
    <t>W760x314</t>
  </si>
  <si>
    <t>W30x211</t>
  </si>
  <si>
    <t>W760x284</t>
  </si>
  <si>
    <t>W30x191</t>
  </si>
  <si>
    <t>W760x257</t>
  </si>
  <si>
    <t>W30x173</t>
  </si>
  <si>
    <t>W760x220</t>
  </si>
  <si>
    <t>W30x148</t>
  </si>
  <si>
    <t>W760x196</t>
  </si>
  <si>
    <t>W30x132</t>
  </si>
  <si>
    <t>W760x185</t>
  </si>
  <si>
    <t>W30x124</t>
  </si>
  <si>
    <t>W760x173</t>
  </si>
  <si>
    <t>W30x116</t>
  </si>
  <si>
    <t>W760x161</t>
  </si>
  <si>
    <t>W30x108</t>
  </si>
  <si>
    <t>W760x147</t>
  </si>
  <si>
    <t>W30x99</t>
  </si>
  <si>
    <t>W760x134</t>
  </si>
  <si>
    <t>W30x90</t>
  </si>
  <si>
    <t>W690x802</t>
  </si>
  <si>
    <t>W27x539</t>
  </si>
  <si>
    <t>W690x548</t>
  </si>
  <si>
    <t>W27x368</t>
  </si>
  <si>
    <t>W690x500</t>
  </si>
  <si>
    <t>W27x336</t>
  </si>
  <si>
    <t>W690x457</t>
  </si>
  <si>
    <t>W27x307</t>
  </si>
  <si>
    <t>W690x419</t>
  </si>
  <si>
    <t>W27x281</t>
  </si>
  <si>
    <t>W690x384</t>
  </si>
  <si>
    <t>W27x258</t>
  </si>
  <si>
    <t>W690x350</t>
  </si>
  <si>
    <t>W27x235</t>
  </si>
  <si>
    <t>W690x323</t>
  </si>
  <si>
    <t>W27x217</t>
  </si>
  <si>
    <t>W690x289</t>
  </si>
  <si>
    <t>W27x194</t>
  </si>
  <si>
    <t>W690x265</t>
  </si>
  <si>
    <t>W27x178</t>
  </si>
  <si>
    <t>W690x240</t>
  </si>
  <si>
    <t>W27x161</t>
  </si>
  <si>
    <t>W690x217</t>
  </si>
  <si>
    <t>W27x146</t>
  </si>
  <si>
    <t>W690x192</t>
  </si>
  <si>
    <t>W27x129</t>
  </si>
  <si>
    <t>W690x170</t>
  </si>
  <si>
    <t>W690x152</t>
  </si>
  <si>
    <t>W27x102</t>
  </si>
  <si>
    <t>W690x140</t>
  </si>
  <si>
    <t>W27x94</t>
  </si>
  <si>
    <t>W690x125</t>
  </si>
  <si>
    <t>W27x84</t>
  </si>
  <si>
    <t>W610x551</t>
  </si>
  <si>
    <t>W24x370</t>
  </si>
  <si>
    <t>W610x498</t>
  </si>
  <si>
    <t>W24x335</t>
  </si>
  <si>
    <t>W610x455</t>
  </si>
  <si>
    <t>W24x306</t>
  </si>
  <si>
    <t>W610x415</t>
  </si>
  <si>
    <t>W24x279</t>
  </si>
  <si>
    <t>W610x372</t>
  </si>
  <si>
    <t>W24x250</t>
  </si>
  <si>
    <t>W610x341</t>
  </si>
  <si>
    <t>W610x307</t>
  </si>
  <si>
    <t>W24x207</t>
  </si>
  <si>
    <t>W610x285</t>
  </si>
  <si>
    <t>W24x192</t>
  </si>
  <si>
    <t>W610x262</t>
  </si>
  <si>
    <t>W24x176</t>
  </si>
  <si>
    <t>W610x241</t>
  </si>
  <si>
    <t>W24x162</t>
  </si>
  <si>
    <t>W610x217</t>
  </si>
  <si>
    <t>W24x146</t>
  </si>
  <si>
    <t>W610x195</t>
  </si>
  <si>
    <t>W24x131</t>
  </si>
  <si>
    <t>W610x174</t>
  </si>
  <si>
    <t>W24x117</t>
  </si>
  <si>
    <t>W610x155</t>
  </si>
  <si>
    <t>W24x104</t>
  </si>
  <si>
    <t>W610x153</t>
  </si>
  <si>
    <t>W610x140</t>
  </si>
  <si>
    <t>W610x125</t>
  </si>
  <si>
    <t>W24x84</t>
  </si>
  <si>
    <t>W610x113</t>
  </si>
  <si>
    <t>W610x101</t>
  </si>
  <si>
    <t>W24x68</t>
  </si>
  <si>
    <t>W610x91</t>
  </si>
  <si>
    <t>+</t>
  </si>
  <si>
    <t>W24x61</t>
  </si>
  <si>
    <t>W610x84</t>
  </si>
  <si>
    <t>W24x56</t>
  </si>
  <si>
    <t>W610x92</t>
  </si>
  <si>
    <t>W24x62</t>
  </si>
  <si>
    <t>W610x82</t>
  </si>
  <si>
    <t>W24x55</t>
  </si>
  <si>
    <t>W530x300</t>
  </si>
  <si>
    <t>W21x201</t>
  </si>
  <si>
    <t>W530x272</t>
  </si>
  <si>
    <t>W21x182</t>
  </si>
  <si>
    <t>W530x248</t>
  </si>
  <si>
    <t>W21x166</t>
  </si>
  <si>
    <t>W530x219</t>
  </si>
  <si>
    <t>W21x147</t>
  </si>
  <si>
    <t>W530x196</t>
  </si>
  <si>
    <t>W21x132</t>
  </si>
  <si>
    <t>W530x182</t>
  </si>
  <si>
    <t>W21x122</t>
  </si>
  <si>
    <t>W530x165</t>
  </si>
  <si>
    <t>W21x111</t>
  </si>
  <si>
    <t>W530x150</t>
  </si>
  <si>
    <t>W21x101</t>
  </si>
  <si>
    <t>W530x138</t>
  </si>
  <si>
    <t>W21x93</t>
  </si>
  <si>
    <t>W530x123</t>
  </si>
  <si>
    <t>W21x83</t>
  </si>
  <si>
    <t>W530x109</t>
  </si>
  <si>
    <t>W21x73</t>
  </si>
  <si>
    <t>W530x101</t>
  </si>
  <si>
    <t>W21x68</t>
  </si>
  <si>
    <t>W530x92</t>
  </si>
  <si>
    <t>W530x82</t>
  </si>
  <si>
    <t>W21x55</t>
  </si>
  <si>
    <t>W530x72</t>
  </si>
  <si>
    <t>W21x48</t>
  </si>
  <si>
    <t>W530x85</t>
  </si>
  <si>
    <t>W21x57</t>
  </si>
  <si>
    <t>W530x74</t>
  </si>
  <si>
    <t>W21x50</t>
  </si>
  <si>
    <t>W530x66</t>
  </si>
  <si>
    <t>W21x44</t>
  </si>
  <si>
    <t>W460x464</t>
  </si>
  <si>
    <t>W18x311</t>
  </si>
  <si>
    <t>W460x421</t>
  </si>
  <si>
    <t>W18x283</t>
  </si>
  <si>
    <t>W460x384</t>
  </si>
  <si>
    <t>W18x258</t>
  </si>
  <si>
    <t>W460x349</t>
  </si>
  <si>
    <t>W18x234</t>
  </si>
  <si>
    <t>W460x315</t>
  </si>
  <si>
    <t>W18x211</t>
  </si>
  <si>
    <t>W460x286</t>
  </si>
  <si>
    <t>W18x192</t>
  </si>
  <si>
    <t>W460x260</t>
  </si>
  <si>
    <t>W18x175</t>
  </si>
  <si>
    <t>W460x235</t>
  </si>
  <si>
    <t>W18x158</t>
  </si>
  <si>
    <t>W460x213</t>
  </si>
  <si>
    <t>W18x143</t>
  </si>
  <si>
    <t>W460x193</t>
  </si>
  <si>
    <t>W18x130</t>
  </si>
  <si>
    <t>W460x177</t>
  </si>
  <si>
    <t>W18x119</t>
  </si>
  <si>
    <t>W460x158</t>
  </si>
  <si>
    <t>W18x106</t>
  </si>
  <si>
    <t>W460x144</t>
  </si>
  <si>
    <t>W18x97</t>
  </si>
  <si>
    <t>W460x128</t>
  </si>
  <si>
    <t>W18x86</t>
  </si>
  <si>
    <t>W460x113</t>
  </si>
  <si>
    <t>W18x76</t>
  </si>
  <si>
    <t>W460x106</t>
  </si>
  <si>
    <t>W18x71</t>
  </si>
  <si>
    <t>W460x97</t>
  </si>
  <si>
    <t>W18x65</t>
  </si>
  <si>
    <t>W460x89</t>
  </si>
  <si>
    <t>W18x60</t>
  </si>
  <si>
    <t>W460x82</t>
  </si>
  <si>
    <t>W18x55</t>
  </si>
  <si>
    <t>W460x74</t>
  </si>
  <si>
    <t>W18x50</t>
  </si>
  <si>
    <t>W460x67</t>
  </si>
  <si>
    <t>W18x45</t>
  </si>
  <si>
    <t>W460x61</t>
  </si>
  <si>
    <t>W18x41</t>
  </si>
  <si>
    <t>W460x68</t>
  </si>
  <si>
    <t>W18x46</t>
  </si>
  <si>
    <t>W460x60</t>
  </si>
  <si>
    <t>W18x40</t>
  </si>
  <si>
    <t>W460x52</t>
  </si>
  <si>
    <t>W18x35</t>
  </si>
  <si>
    <t>W410x149</t>
  </si>
  <si>
    <t>W16x100</t>
  </si>
  <si>
    <t>W410x132</t>
  </si>
  <si>
    <t>W16x89</t>
  </si>
  <si>
    <t>W410x114</t>
  </si>
  <si>
    <t>W16x77</t>
  </si>
  <si>
    <t>W410x100</t>
  </si>
  <si>
    <t>W16x67</t>
  </si>
  <si>
    <t>W410x85</t>
  </si>
  <si>
    <t>W16x57</t>
  </si>
  <si>
    <t>W410x74</t>
  </si>
  <si>
    <t>W16x50</t>
  </si>
  <si>
    <t>W410x67</t>
  </si>
  <si>
    <t>W16x45</t>
  </si>
  <si>
    <t>W410x60</t>
  </si>
  <si>
    <t>W16x40</t>
  </si>
  <si>
    <t>W410x54</t>
  </si>
  <si>
    <t>W16x36</t>
  </si>
  <si>
    <t>W410x46</t>
  </si>
  <si>
    <t>W16x31</t>
  </si>
  <si>
    <t>W410x39</t>
  </si>
  <si>
    <t>W16x26</t>
  </si>
  <si>
    <t>W360x1086</t>
  </si>
  <si>
    <t>W14x730</t>
  </si>
  <si>
    <t>W360x990</t>
  </si>
  <si>
    <t>W14x665</t>
  </si>
  <si>
    <t>W360x900</t>
  </si>
  <si>
    <t>W14x605</t>
  </si>
  <si>
    <t>W360x818</t>
  </si>
  <si>
    <t>W14x550</t>
  </si>
  <si>
    <t>W360x744</t>
  </si>
  <si>
    <t>W14x500</t>
  </si>
  <si>
    <t>W360x677</t>
  </si>
  <si>
    <t>W14x455</t>
  </si>
  <si>
    <t>W360x634</t>
  </si>
  <si>
    <t>W14x426</t>
  </si>
  <si>
    <t>W360x592</t>
  </si>
  <si>
    <t>W14x398</t>
  </si>
  <si>
    <t>W360x551</t>
  </si>
  <si>
    <t>W14x370</t>
  </si>
  <si>
    <t>W360x509</t>
  </si>
  <si>
    <t>W14x342</t>
  </si>
  <si>
    <t>W360x463</t>
  </si>
  <si>
    <t>W14x311</t>
  </si>
  <si>
    <t>W360x421</t>
  </si>
  <si>
    <t>W14x283</t>
  </si>
  <si>
    <t>W360x382</t>
  </si>
  <si>
    <t>W14x257</t>
  </si>
  <si>
    <t>W360x347</t>
  </si>
  <si>
    <t>W14x233</t>
  </si>
  <si>
    <t>W360x314</t>
  </si>
  <si>
    <t>W14x211</t>
  </si>
  <si>
    <t>W360x287</t>
  </si>
  <si>
    <t>W14x193</t>
  </si>
  <si>
    <t>W360x262</t>
  </si>
  <si>
    <t>W14x176</t>
  </si>
  <si>
    <t>W360x237</t>
  </si>
  <si>
    <t>W14x159</t>
  </si>
  <si>
    <t>W360x216</t>
  </si>
  <si>
    <t>W14x145</t>
  </si>
  <si>
    <t>W360x196</t>
  </si>
  <si>
    <t>W14x132</t>
  </si>
  <si>
    <t>W360x179</t>
  </si>
  <si>
    <t>W14x120</t>
  </si>
  <si>
    <t>W360x162</t>
  </si>
  <si>
    <t>W14x109</t>
  </si>
  <si>
    <t>W360x147</t>
  </si>
  <si>
    <t>W14x99</t>
  </si>
  <si>
    <t>W360x134</t>
  </si>
  <si>
    <t>W14x90</t>
  </si>
  <si>
    <t>W360x122</t>
  </si>
  <si>
    <t>W14x82</t>
  </si>
  <si>
    <t>W360x110</t>
  </si>
  <si>
    <t>W14x74</t>
  </si>
  <si>
    <t>W360x101</t>
  </si>
  <si>
    <t>W14x68</t>
  </si>
  <si>
    <t>W360x91</t>
  </si>
  <si>
    <t>W14x61</t>
  </si>
  <si>
    <t>W360x79</t>
  </si>
  <si>
    <t>W14x53</t>
  </si>
  <si>
    <t>W360x72</t>
  </si>
  <si>
    <t>W14x48</t>
  </si>
  <si>
    <t>W360x64</t>
  </si>
  <si>
    <t>W14x43</t>
  </si>
  <si>
    <t>W360x57</t>
  </si>
  <si>
    <t>W14x38</t>
  </si>
  <si>
    <t>W360x51</t>
  </si>
  <si>
    <t>W14x34</t>
  </si>
  <si>
    <t>W360x45</t>
  </si>
  <si>
    <t>W14x30</t>
  </si>
  <si>
    <t>W360x39</t>
  </si>
  <si>
    <t>W14x26</t>
  </si>
  <si>
    <t>W360x33</t>
  </si>
  <si>
    <t>W14x22</t>
  </si>
  <si>
    <t>W310x500</t>
  </si>
  <si>
    <t>W12x336</t>
  </si>
  <si>
    <t>W310x454</t>
  </si>
  <si>
    <t>W12x305</t>
  </si>
  <si>
    <t>W310x415</t>
  </si>
  <si>
    <t>W12x279</t>
  </si>
  <si>
    <t>W310x375</t>
  </si>
  <si>
    <t>W12x252</t>
  </si>
  <si>
    <t>W310x342</t>
  </si>
  <si>
    <t>W12x230</t>
  </si>
  <si>
    <t>W310x313</t>
  </si>
  <si>
    <t>W12x210</t>
  </si>
  <si>
    <t>W310x283</t>
  </si>
  <si>
    <t>W12x190</t>
  </si>
  <si>
    <t>W310x253</t>
  </si>
  <si>
    <t>W12x170</t>
  </si>
  <si>
    <t>W310x226</t>
  </si>
  <si>
    <t>W12x152</t>
  </si>
  <si>
    <t>W310x202</t>
  </si>
  <si>
    <t>W12x136</t>
  </si>
  <si>
    <t>W310x179</t>
  </si>
  <si>
    <t>W12x120</t>
  </si>
  <si>
    <t>W310x158</t>
  </si>
  <si>
    <t>W12x106</t>
  </si>
  <si>
    <t>W310x143</t>
  </si>
  <si>
    <t>W12x96</t>
  </si>
  <si>
    <t>W310x129</t>
  </si>
  <si>
    <t>W12x87</t>
  </si>
  <si>
    <t>W310x118</t>
  </si>
  <si>
    <t>W12x79</t>
  </si>
  <si>
    <t>W310x107</t>
  </si>
  <si>
    <t>W12x72</t>
  </si>
  <si>
    <t>W310x97</t>
  </si>
  <si>
    <t>W12x65</t>
  </si>
  <si>
    <t>W310x86</t>
  </si>
  <si>
    <t>W12x58</t>
  </si>
  <si>
    <t>W310x79</t>
  </si>
  <si>
    <t>W12x53</t>
  </si>
  <si>
    <t>W310x74</t>
  </si>
  <si>
    <t>W12x50</t>
  </si>
  <si>
    <t>W310x67</t>
  </si>
  <si>
    <t>W12x45</t>
  </si>
  <si>
    <t>W310x60</t>
  </si>
  <si>
    <t>W12x40</t>
  </si>
  <si>
    <t>W310x52</t>
  </si>
  <si>
    <t>W12x35</t>
  </si>
  <si>
    <t>W310x45</t>
  </si>
  <si>
    <t>W12x30</t>
  </si>
  <si>
    <t>W310x39</t>
  </si>
  <si>
    <t>W12x26</t>
  </si>
  <si>
    <t>W310x31</t>
  </si>
  <si>
    <t>W12x21</t>
  </si>
  <si>
    <t>W310x33</t>
  </si>
  <si>
    <t>W12x22</t>
  </si>
  <si>
    <t>W310x28</t>
  </si>
  <si>
    <t>W12x19</t>
  </si>
  <si>
    <t>W310x24</t>
  </si>
  <si>
    <t>W12x16</t>
  </si>
  <si>
    <t>W310x21</t>
  </si>
  <si>
    <t>W12x14</t>
  </si>
  <si>
    <t>W250x167</t>
  </si>
  <si>
    <t>W10x112</t>
  </si>
  <si>
    <t>W250x149</t>
  </si>
  <si>
    <t>W10x100</t>
  </si>
  <si>
    <t>W250x131</t>
  </si>
  <si>
    <t>W10x88</t>
  </si>
  <si>
    <t>W250x115</t>
  </si>
  <si>
    <t>W10x77</t>
  </si>
  <si>
    <t>W250x101</t>
  </si>
  <si>
    <t>W10x68</t>
  </si>
  <si>
    <t>W250x89</t>
  </si>
  <si>
    <t>W10x60</t>
  </si>
  <si>
    <t>W250x80</t>
  </si>
  <si>
    <t>W10x54</t>
  </si>
  <si>
    <t>W250x73</t>
  </si>
  <si>
    <t>W10x49</t>
  </si>
  <si>
    <t>W250x67</t>
  </si>
  <si>
    <t>W10x45</t>
  </si>
  <si>
    <t>W250x58</t>
  </si>
  <si>
    <t>W10x39</t>
  </si>
  <si>
    <t>W250x49</t>
  </si>
  <si>
    <t>W10x33</t>
  </si>
  <si>
    <t>W250x45</t>
  </si>
  <si>
    <t>W10x30</t>
  </si>
  <si>
    <t>W250x39</t>
  </si>
  <si>
    <t>W10x26</t>
  </si>
  <si>
    <t>W250x33</t>
  </si>
  <si>
    <t>W10x22</t>
  </si>
  <si>
    <t>W250x24</t>
  </si>
  <si>
    <t>W10x16</t>
  </si>
  <si>
    <t>W250x28</t>
  </si>
  <si>
    <t>W10x19</t>
  </si>
  <si>
    <t>W250x25</t>
  </si>
  <si>
    <t>W10x17</t>
  </si>
  <si>
    <t>W250x22</t>
  </si>
  <si>
    <t>W10x15</t>
  </si>
  <si>
    <t>W250x18</t>
  </si>
  <si>
    <t>W10x12</t>
  </si>
  <si>
    <t>W200x100</t>
  </si>
  <si>
    <t>W8x67</t>
  </si>
  <si>
    <t>W200x86</t>
  </si>
  <si>
    <t>W8x58</t>
  </si>
  <si>
    <t>W200x71</t>
  </si>
  <si>
    <t>W8x48</t>
  </si>
  <si>
    <t>W200x59</t>
  </si>
  <si>
    <t>W8x40</t>
  </si>
  <si>
    <t>W200x52</t>
  </si>
  <si>
    <t>W8x35</t>
  </si>
  <si>
    <t>W200x46</t>
  </si>
  <si>
    <t>W8x31</t>
  </si>
  <si>
    <t>W200x42</t>
  </si>
  <si>
    <t>W8x28</t>
  </si>
  <si>
    <t>W200x36</t>
  </si>
  <si>
    <t>W8x24</t>
  </si>
  <si>
    <t>W200x31</t>
  </si>
  <si>
    <t>W8x21</t>
  </si>
  <si>
    <t>W200x27</t>
  </si>
  <si>
    <t>W8x18</t>
  </si>
  <si>
    <t>W200x21</t>
  </si>
  <si>
    <t>W8x14</t>
  </si>
  <si>
    <t>W200x22</t>
  </si>
  <si>
    <t>W8x15</t>
  </si>
  <si>
    <t>W200x19</t>
  </si>
  <si>
    <t>W8x13</t>
  </si>
  <si>
    <t>W200x15</t>
  </si>
  <si>
    <t>W8x10</t>
  </si>
  <si>
    <t>W150x37</t>
  </si>
  <si>
    <t>W6x25</t>
  </si>
  <si>
    <t>W150x30</t>
  </si>
  <si>
    <t>W6x20</t>
  </si>
  <si>
    <t>W150x22</t>
  </si>
  <si>
    <t>W6x15</t>
  </si>
  <si>
    <t>W150x24</t>
  </si>
  <si>
    <t>W6x16</t>
  </si>
  <si>
    <t>W150x18</t>
  </si>
  <si>
    <t>W6x12</t>
  </si>
  <si>
    <t>W150x14</t>
  </si>
  <si>
    <t>W6x9</t>
  </si>
  <si>
    <t>W150x13</t>
  </si>
  <si>
    <t>W6x8.5</t>
  </si>
  <si>
    <t>W130x28</t>
  </si>
  <si>
    <t>W5x19</t>
  </si>
  <si>
    <t>W130x24</t>
  </si>
  <si>
    <t>W5x16</t>
  </si>
  <si>
    <t>W100x19</t>
  </si>
  <si>
    <t>W4x13</t>
  </si>
  <si>
    <t>W-shapes highlighted in yellow are commonly used sizes and are generally readily available.</t>
  </si>
  <si>
    <t>Mpa</t>
  </si>
  <si>
    <t>Plastic Moment of Inertia (mm^3)</t>
  </si>
  <si>
    <t>Storey Height (m)</t>
  </si>
  <si>
    <t>Clear Height, h (m)</t>
  </si>
  <si>
    <t>Storey Shear (kN)</t>
  </si>
  <si>
    <t>Depth of Beam(m)</t>
  </si>
  <si>
    <t>Moment at the Base Mf (kN-m)</t>
  </si>
  <si>
    <t>EL</t>
  </si>
  <si>
    <t>Bracing Size</t>
  </si>
  <si>
    <t>Slenderness Ratio</t>
  </si>
  <si>
    <t>Bracing Length (m)</t>
  </si>
  <si>
    <t>Angle (degree)</t>
  </si>
  <si>
    <t>Horizontal Component (kN)</t>
  </si>
  <si>
    <t>Number of Compression Bracing</t>
  </si>
  <si>
    <t>Number of Tension Bracing</t>
  </si>
  <si>
    <t>Storey Shear Strength (kN)</t>
  </si>
  <si>
    <t>min. Radius of Gyration (mm)</t>
  </si>
  <si>
    <t>Gross Area (mm^2)</t>
  </si>
  <si>
    <t>MPa</t>
  </si>
  <si>
    <t>Fe (Mpa)</t>
  </si>
  <si>
    <t>λ</t>
  </si>
  <si>
    <t>Bracing Tension Capacity (kN)</t>
  </si>
  <si>
    <t>Steel Yield Strength, Fy</t>
  </si>
  <si>
    <t xml:space="preserve"> =</t>
  </si>
  <si>
    <t>Modulus of Elasticity, E</t>
  </si>
  <si>
    <t xml:space="preserve">n = </t>
  </si>
  <si>
    <t>Comments</t>
  </si>
  <si>
    <t>Average Height was considered</t>
  </si>
  <si>
    <t>Total Storey Shear (kN)</t>
  </si>
  <si>
    <t>WEAK STOREY CHECK FOR SEISMIC LOAD (TRANSVERSE DIRECTION):</t>
  </si>
  <si>
    <t>WEAK STOREY CHECK FOR SEISMIC LOAD (LONGITUDINAL DIRECTION):</t>
  </si>
  <si>
    <r>
      <t>Z</t>
    </r>
    <r>
      <rPr>
        <vertAlign val="subscript"/>
        <sz val="11"/>
        <color theme="1"/>
        <rFont val="Calibri"/>
        <family val="2"/>
        <scheme val="minor"/>
      </rPr>
      <t>x</t>
    </r>
    <r>
      <rPr>
        <sz val="11"/>
        <color theme="1"/>
        <rFont val="Calibri"/>
        <family val="2"/>
        <scheme val="minor"/>
      </rPr>
      <t xml:space="preserve"> = Plastic Moment of Inertia (mm^3)</t>
    </r>
  </si>
  <si>
    <r>
      <t>Steel Yield Strength, F</t>
    </r>
    <r>
      <rPr>
        <vertAlign val="subscript"/>
        <sz val="11"/>
        <color theme="1"/>
        <rFont val="Calibri"/>
        <family val="2"/>
        <scheme val="minor"/>
      </rPr>
      <t>y</t>
    </r>
  </si>
  <si>
    <r>
      <t>M</t>
    </r>
    <r>
      <rPr>
        <vertAlign val="subscript"/>
        <sz val="11"/>
        <color theme="1"/>
        <rFont val="Calibri"/>
        <family val="2"/>
        <scheme val="minor"/>
      </rPr>
      <t>c</t>
    </r>
    <r>
      <rPr>
        <sz val="11"/>
        <color theme="1"/>
        <rFont val="Calibri"/>
        <family val="2"/>
        <scheme val="minor"/>
      </rPr>
      <t xml:space="preserve"> = F</t>
    </r>
    <r>
      <rPr>
        <vertAlign val="subscript"/>
        <sz val="11"/>
        <color theme="1"/>
        <rFont val="Calibri"/>
        <family val="2"/>
        <scheme val="minor"/>
      </rPr>
      <t>y</t>
    </r>
    <r>
      <rPr>
        <sz val="11"/>
        <color theme="1"/>
        <rFont val="Calibri"/>
        <family val="2"/>
        <scheme val="minor"/>
      </rPr>
      <t>Z</t>
    </r>
    <r>
      <rPr>
        <vertAlign val="subscript"/>
        <sz val="11"/>
        <color theme="1"/>
        <rFont val="Calibri"/>
        <family val="2"/>
        <scheme val="minor"/>
      </rPr>
      <t>x</t>
    </r>
    <r>
      <rPr>
        <sz val="11"/>
        <color theme="1"/>
        <rFont val="Calibri"/>
        <family val="2"/>
        <scheme val="minor"/>
      </rPr>
      <t xml:space="preserve"> (kN-m)</t>
    </r>
  </si>
  <si>
    <r>
      <t>M</t>
    </r>
    <r>
      <rPr>
        <vertAlign val="subscript"/>
        <sz val="11"/>
        <color theme="1"/>
        <rFont val="Calibri"/>
        <family val="2"/>
        <scheme val="minor"/>
      </rPr>
      <t>b</t>
    </r>
    <r>
      <rPr>
        <sz val="11"/>
        <color theme="1"/>
        <rFont val="Calibri"/>
        <family val="2"/>
        <scheme val="minor"/>
      </rPr>
      <t xml:space="preserve"> = F</t>
    </r>
    <r>
      <rPr>
        <vertAlign val="subscript"/>
        <sz val="11"/>
        <color theme="1"/>
        <rFont val="Calibri"/>
        <family val="2"/>
        <scheme val="minor"/>
      </rPr>
      <t>y</t>
    </r>
    <r>
      <rPr>
        <sz val="11"/>
        <color theme="1"/>
        <rFont val="Calibri"/>
        <family val="2"/>
        <scheme val="minor"/>
      </rPr>
      <t>Z</t>
    </r>
    <r>
      <rPr>
        <vertAlign val="subscript"/>
        <sz val="11"/>
        <color theme="1"/>
        <rFont val="Calibri"/>
        <family val="2"/>
        <scheme val="minor"/>
      </rPr>
      <t>x</t>
    </r>
    <r>
      <rPr>
        <sz val="11"/>
        <color theme="1"/>
        <rFont val="Calibri"/>
        <family val="2"/>
        <scheme val="minor"/>
      </rPr>
      <t xml:space="preserve"> (kN-m)</t>
    </r>
  </si>
  <si>
    <t>Ryp</t>
  </si>
  <si>
    <t>DT</t>
  </si>
  <si>
    <t>TanA</t>
  </si>
  <si>
    <t>Y</t>
  </si>
  <si>
    <t>Ry0</t>
  </si>
  <si>
    <t>Ry8</t>
  </si>
  <si>
    <t>Ry10</t>
  </si>
  <si>
    <t>Ry12</t>
  </si>
  <si>
    <t>Ry16</t>
  </si>
  <si>
    <t>Ry20</t>
  </si>
  <si>
    <t>Yo</t>
  </si>
  <si>
    <t>2L: Double Angles</t>
  </si>
  <si>
    <t>Short Legs Back-to-Back</t>
  </si>
  <si>
    <t>2L203x152x25</t>
  </si>
  <si>
    <t>2L8x6x1.000</t>
  </si>
  <si>
    <t>2L203x152x22</t>
  </si>
  <si>
    <t>2L8x6x0.875</t>
  </si>
  <si>
    <t>2L203x152x19</t>
  </si>
  <si>
    <t>2L8x6x0.750</t>
  </si>
  <si>
    <t>2L203x152x16</t>
  </si>
  <si>
    <t>2L8x6x0.625</t>
  </si>
  <si>
    <t>2L203x152x14</t>
  </si>
  <si>
    <t>2L8x6x0.563</t>
  </si>
  <si>
    <t>2L203x152x13</t>
  </si>
  <si>
    <t>2L8x6x0.500</t>
  </si>
  <si>
    <t>2L203x102x25</t>
  </si>
  <si>
    <t>2L8x4x1.000</t>
  </si>
  <si>
    <t>2L203x102x19</t>
  </si>
  <si>
    <t>2L8x4x0.750</t>
  </si>
  <si>
    <t>2L203x102x13</t>
  </si>
  <si>
    <t>2L8x4x0.500</t>
  </si>
  <si>
    <t>2L178x102x19</t>
  </si>
  <si>
    <t>2L7x4x0.750</t>
  </si>
  <si>
    <t>2L178x102x16</t>
  </si>
  <si>
    <t>2L7x4x0.625</t>
  </si>
  <si>
    <t>2L178x102x13</t>
  </si>
  <si>
    <t>2L7x4x0.500</t>
  </si>
  <si>
    <t>2L178x102x11</t>
  </si>
  <si>
    <t>2L7x4x0.438</t>
  </si>
  <si>
    <t>2L178x102x9.5</t>
  </si>
  <si>
    <t>2L7x4x0.375</t>
  </si>
  <si>
    <t>2L152x102x22</t>
  </si>
  <si>
    <t>2L6x4x0.875</t>
  </si>
  <si>
    <t>2L152x102x19</t>
  </si>
  <si>
    <t>2L6x4x0.750</t>
  </si>
  <si>
    <t>2L152x102x16</t>
  </si>
  <si>
    <t>2L6x4x0.625</t>
  </si>
  <si>
    <t>2L152x102x14</t>
  </si>
  <si>
    <t>2L6x4x0.563</t>
  </si>
  <si>
    <t>2L152x102x13</t>
  </si>
  <si>
    <t>2L6x4x0.500</t>
  </si>
  <si>
    <t>2L152x102x11</t>
  </si>
  <si>
    <t>2L6x4x0.438</t>
  </si>
  <si>
    <t>2L152x102x9.5</t>
  </si>
  <si>
    <t>2L6x4x0.375</t>
  </si>
  <si>
    <t>2L152x102x7.9</t>
  </si>
  <si>
    <t>2L6x4x0.313</t>
  </si>
  <si>
    <t>2L152x89x16</t>
  </si>
  <si>
    <t>2L6x3.5x0.625</t>
  </si>
  <si>
    <t>2L152x89x13</t>
  </si>
  <si>
    <t>2L6x3.5x0.500</t>
  </si>
  <si>
    <t>2L152x89x9.5</t>
  </si>
  <si>
    <t>2L6x3.5x0.375</t>
  </si>
  <si>
    <t>2L152x89x7.9</t>
  </si>
  <si>
    <t>2L6x3.5x0.313</t>
  </si>
  <si>
    <t>2L127x89x19</t>
  </si>
  <si>
    <t>2L5x3.5x0.750</t>
  </si>
  <si>
    <t>2L127x89x16</t>
  </si>
  <si>
    <t>2L5x3.5x0.625</t>
  </si>
  <si>
    <t>2L127x89x13</t>
  </si>
  <si>
    <t>2L5x3.5x0.500</t>
  </si>
  <si>
    <t>2L127x89x9.5</t>
  </si>
  <si>
    <t>2L5x3.5x0.375</t>
  </si>
  <si>
    <t>2L127x89x7.9</t>
  </si>
  <si>
    <t>2L5x3.5x0.313</t>
  </si>
  <si>
    <t>2L127x89x6.4</t>
  </si>
  <si>
    <t>2L5x3.5x0.250</t>
  </si>
  <si>
    <t>2L127x76x13</t>
  </si>
  <si>
    <t>2L5x3x0.500</t>
  </si>
  <si>
    <t>2L127x76x11</t>
  </si>
  <si>
    <t>2L5x3x0.438</t>
  </si>
  <si>
    <t>2L127x76x9.5</t>
  </si>
  <si>
    <t>2L5x3x0.375</t>
  </si>
  <si>
    <t>2L127x76x7.9</t>
  </si>
  <si>
    <t>2L5x3x0.313</t>
  </si>
  <si>
    <t>2L127x76x6.4</t>
  </si>
  <si>
    <t>2L5x3x0.250</t>
  </si>
  <si>
    <t>2L102x89x13</t>
  </si>
  <si>
    <t>2L4x3.5x0.500</t>
  </si>
  <si>
    <t>2L102x89x11</t>
  </si>
  <si>
    <t>2L4x3.5x0.438</t>
  </si>
  <si>
    <t>2L102x89x9.5</t>
  </si>
  <si>
    <t>2L4x3.5x0.375</t>
  </si>
  <si>
    <t>2L102x89x7.9</t>
  </si>
  <si>
    <t>2L4x3.5x0.313</t>
  </si>
  <si>
    <t>2L102x89x6.4</t>
  </si>
  <si>
    <t>2L4x3.5x0.250</t>
  </si>
  <si>
    <t>2L102x76x16</t>
  </si>
  <si>
    <t>2L4x3x0.625</t>
  </si>
  <si>
    <t>2L102x76x13</t>
  </si>
  <si>
    <t>2L4x3x0.500</t>
  </si>
  <si>
    <t>2L102x76x11</t>
  </si>
  <si>
    <t>2L4x3x0.438</t>
  </si>
  <si>
    <t>2L102x76x9.5</t>
  </si>
  <si>
    <t>2L4x3x0.375</t>
  </si>
  <si>
    <t>2L102x76x7.9</t>
  </si>
  <si>
    <t>2L4x3x0.313</t>
  </si>
  <si>
    <t>2L102x76x6.4</t>
  </si>
  <si>
    <t>2L4x3x0.250</t>
  </si>
  <si>
    <t>2L89x76x13</t>
  </si>
  <si>
    <t>2L3.5x3x0.500</t>
  </si>
  <si>
    <t>2L89x76x9.5</t>
  </si>
  <si>
    <t>2L3.5x3x0.375</t>
  </si>
  <si>
    <t>2L89x76x7.9</t>
  </si>
  <si>
    <t>2L3.5x3x0.313</t>
  </si>
  <si>
    <t>2L89x76x6.4</t>
  </si>
  <si>
    <t>2L3.5x3x0.250</t>
  </si>
  <si>
    <t>2L89x64x13</t>
  </si>
  <si>
    <t>2L3.5x2.5x0.500</t>
  </si>
  <si>
    <t>2L89x64x9.5</t>
  </si>
  <si>
    <t>2L3.5x2.5x0.375</t>
  </si>
  <si>
    <t>2L89x64x7.9</t>
  </si>
  <si>
    <t>2L3.5x2.5x0.313</t>
  </si>
  <si>
    <t>2L89x64x6.4</t>
  </si>
  <si>
    <t>2L3.5x2.5x0.250</t>
  </si>
  <si>
    <t>2L76x64x13</t>
  </si>
  <si>
    <t>2L3x2.5x0.500</t>
  </si>
  <si>
    <t>2L76x64x9.5</t>
  </si>
  <si>
    <t>2L3x2.5x0.375</t>
  </si>
  <si>
    <t>2L76x64x7.9</t>
  </si>
  <si>
    <t>2L3x2.5x0.313</t>
  </si>
  <si>
    <t>2L76x64x6.4</t>
  </si>
  <si>
    <t>2L3x2.5x0.250</t>
  </si>
  <si>
    <t>2L76x64x4.8</t>
  </si>
  <si>
    <t>2L3x2.5x0.188</t>
  </si>
  <si>
    <t>2L76x51x13</t>
  </si>
  <si>
    <t>2L3x2x0.500</t>
  </si>
  <si>
    <t>2L76x51x9.5</t>
  </si>
  <si>
    <t>2L3x2x0.375</t>
  </si>
  <si>
    <t>2L76x51x7.9</t>
  </si>
  <si>
    <t>2L3x2x0.313</t>
  </si>
  <si>
    <t>2L76x51x6.4</t>
  </si>
  <si>
    <t>2L3x2x0.250</t>
  </si>
  <si>
    <t>2L76x51x4.8</t>
  </si>
  <si>
    <t>2L3x2x0.188</t>
  </si>
  <si>
    <t>2L64x51x9.5</t>
  </si>
  <si>
    <t>2L2.5x2x0.375</t>
  </si>
  <si>
    <t>2L64x51x7.9</t>
  </si>
  <si>
    <t>2L2.5x2x0.313</t>
  </si>
  <si>
    <t>2L64x51x6.4</t>
  </si>
  <si>
    <t>2L2.5x2x0.250</t>
  </si>
  <si>
    <t>2L64x51x4.8</t>
  </si>
  <si>
    <t>2L2.5x2x0.188</t>
  </si>
  <si>
    <t>2L51x38x6.4</t>
  </si>
  <si>
    <t>2L2x1.5x0.250</t>
  </si>
  <si>
    <t>2L51x38x4.8</t>
  </si>
  <si>
    <t>2L2x1.5x0.188</t>
  </si>
  <si>
    <t>2L51x38x3.2</t>
  </si>
  <si>
    <t>2L2x1.5x0.125</t>
  </si>
  <si>
    <t>Long Legs Back-to-Back</t>
  </si>
  <si>
    <t>Equal Legs Back-to-Back</t>
  </si>
  <si>
    <t>2L203x203x29</t>
  </si>
  <si>
    <t>2L8x8x1.125</t>
  </si>
  <si>
    <t>2L203x203x25</t>
  </si>
  <si>
    <t>2L8x8x1.000</t>
  </si>
  <si>
    <t>2L203x203x22</t>
  </si>
  <si>
    <t>2L8x8x0.875</t>
  </si>
  <si>
    <t>2L203x203x19</t>
  </si>
  <si>
    <t>2L8x8x0.750</t>
  </si>
  <si>
    <t>2L203x203x16</t>
  </si>
  <si>
    <t>2L8x8x0.625</t>
  </si>
  <si>
    <t>2L203x203x14</t>
  </si>
  <si>
    <t>2L8x8x0.563</t>
  </si>
  <si>
    <t>2L203x203x13</t>
  </si>
  <si>
    <t>2L8x8x0.500</t>
  </si>
  <si>
    <t>2L152x152x25</t>
  </si>
  <si>
    <t>2L6x6x1.000</t>
  </si>
  <si>
    <t>2L152x152x22</t>
  </si>
  <si>
    <t>2L6x6x0.875</t>
  </si>
  <si>
    <t>2L152x152x19</t>
  </si>
  <si>
    <t>2L6x6x0.750</t>
  </si>
  <si>
    <t>2L152x152x16</t>
  </si>
  <si>
    <t>2L6x6x0.625</t>
  </si>
  <si>
    <t>2L152x152x14</t>
  </si>
  <si>
    <t>2L6x6x0.563</t>
  </si>
  <si>
    <t>2L152x152x13</t>
  </si>
  <si>
    <t>2L6x6x0.500</t>
  </si>
  <si>
    <t>2L152x152x11</t>
  </si>
  <si>
    <t>2L6x6x0.438</t>
  </si>
  <si>
    <t>2L152x152x9.5</t>
  </si>
  <si>
    <t>2L6x6x0.375</t>
  </si>
  <si>
    <t>2L152x152x7.9</t>
  </si>
  <si>
    <t>2L6x6x0.313</t>
  </si>
  <si>
    <t>2L152x152x6.4</t>
  </si>
  <si>
    <t>2L6x6x0.250</t>
  </si>
  <si>
    <t>2L127x127x22</t>
  </si>
  <si>
    <t>2L5x5x0.875</t>
  </si>
  <si>
    <t>2L127x127x19</t>
  </si>
  <si>
    <t>2L5x5x0.750</t>
  </si>
  <si>
    <t>2L127x127x16</t>
  </si>
  <si>
    <t>2L5x5x0.625</t>
  </si>
  <si>
    <t>2L127x127x13</t>
  </si>
  <si>
    <t>2L5x5x0.500</t>
  </si>
  <si>
    <t>2L127x127x11</t>
  </si>
  <si>
    <t>2L5x5x0.438</t>
  </si>
  <si>
    <t>2L127x127x9.5</t>
  </si>
  <si>
    <t>2L5x5x0.375</t>
  </si>
  <si>
    <t>2L127x127x7.9</t>
  </si>
  <si>
    <t>2L5x5x0.313</t>
  </si>
  <si>
    <t>2L127x127x6.4</t>
  </si>
  <si>
    <t>2L5x5x0.250</t>
  </si>
  <si>
    <t>2L102x102x19</t>
  </si>
  <si>
    <t>2L4x4x0.750</t>
  </si>
  <si>
    <t>2L102x102x16</t>
  </si>
  <si>
    <t>2L4x4x0.625</t>
  </si>
  <si>
    <t>2L102x102x13</t>
  </si>
  <si>
    <t>2L4x4x0.500</t>
  </si>
  <si>
    <t>2L102x102x11</t>
  </si>
  <si>
    <t>2L4x4x0.438</t>
  </si>
  <si>
    <t>2L102x102x9.5</t>
  </si>
  <si>
    <t>2L4x4x0.375</t>
  </si>
  <si>
    <t>2L102x102x7.9</t>
  </si>
  <si>
    <t>2L4x4x0.313</t>
  </si>
  <si>
    <t>2L102x102x6.4</t>
  </si>
  <si>
    <t>2L4x4x0.250</t>
  </si>
  <si>
    <t>2L89x89x13</t>
  </si>
  <si>
    <t>2L3.5x3.5x0.500</t>
  </si>
  <si>
    <t>2L89x89x11</t>
  </si>
  <si>
    <t>2L3.5x3.5x0.438</t>
  </si>
  <si>
    <t>2L89x89x9.5</t>
  </si>
  <si>
    <t>2L3.5x3.5x0.375</t>
  </si>
  <si>
    <t>2L89x89x7.9</t>
  </si>
  <si>
    <t>2L3.5x3.5x0.313</t>
  </si>
  <si>
    <t>2L89x89x6.4</t>
  </si>
  <si>
    <t>2L3.5x3.5x0.250</t>
  </si>
  <si>
    <t>2L76x76x13</t>
  </si>
  <si>
    <t>2L3x3x0.500</t>
  </si>
  <si>
    <t>2L76x76x11</t>
  </si>
  <si>
    <t>2L3x3x0.438</t>
  </si>
  <si>
    <t>2L76x76x9.5</t>
  </si>
  <si>
    <t>2L3x3x0.375</t>
  </si>
  <si>
    <t>2L76x76x7.9</t>
  </si>
  <si>
    <t>2L3x3x0.313</t>
  </si>
  <si>
    <t>2L76x76x6.4</t>
  </si>
  <si>
    <t>2L3x3x0.250</t>
  </si>
  <si>
    <t>2L76x76x4.8</t>
  </si>
  <si>
    <t>2L3x3x0.188</t>
  </si>
  <si>
    <t>2L64x64x13</t>
  </si>
  <si>
    <t>2L2.5x2.5x0.500</t>
  </si>
  <si>
    <t>2L64x64x9.5</t>
  </si>
  <si>
    <t>2L2.5x2.5x0.375</t>
  </si>
  <si>
    <t>2L64x64x7.9</t>
  </si>
  <si>
    <t>2L2.5x2.5x0.313</t>
  </si>
  <si>
    <t>2L64x64x6.4</t>
  </si>
  <si>
    <t>2L2.5x2.5x0.250</t>
  </si>
  <si>
    <t>2L64x64x4.8</t>
  </si>
  <si>
    <t>2L2.5x2.5x0.188</t>
  </si>
  <si>
    <t>2L51x51x9.5</t>
  </si>
  <si>
    <t>2L2x2x0.375</t>
  </si>
  <si>
    <t>2L51x51x7.9</t>
  </si>
  <si>
    <t>2L2x2x0.313</t>
  </si>
  <si>
    <t>2L51x51x6.4</t>
  </si>
  <si>
    <t>2L2x2x0.250</t>
  </si>
  <si>
    <t>2L51x51x4.8</t>
  </si>
  <si>
    <t>2L2x2x0.188</t>
  </si>
  <si>
    <t>2L51x51x3.2</t>
  </si>
  <si>
    <t>2L2x2x0.125</t>
  </si>
  <si>
    <t>2L44x44x6.4</t>
  </si>
  <si>
    <t>2L1.75x1.75x0.250</t>
  </si>
  <si>
    <t>2L44x44x4.8</t>
  </si>
  <si>
    <t>2L1.75x1.75x0.188</t>
  </si>
  <si>
    <t>2L44x44x3.2</t>
  </si>
  <si>
    <t>2L1.75x1.75x0.125</t>
  </si>
  <si>
    <t>2L38x38x6.4</t>
  </si>
  <si>
    <t>2L1.5x1.5x0.250</t>
  </si>
  <si>
    <t>2L38x38x4.8</t>
  </si>
  <si>
    <t>2L1.5x1.5x0.188</t>
  </si>
  <si>
    <t>2L38x38x3.2</t>
  </si>
  <si>
    <t>2L1.5x1.5x0.125</t>
  </si>
  <si>
    <t>2L32x32x6.4</t>
  </si>
  <si>
    <t>2L1.25x1.25x0.250</t>
  </si>
  <si>
    <t>2L32x32x4.8</t>
  </si>
  <si>
    <t>2L1.25x1.25x0.188</t>
  </si>
  <si>
    <t>2L32x32x3.2</t>
  </si>
  <si>
    <t>2L1.25x1.25x0.125</t>
  </si>
  <si>
    <t>2L25x25x6.4</t>
  </si>
  <si>
    <t>2L1x1x0.250</t>
  </si>
  <si>
    <t>2L25x25x4.8</t>
  </si>
  <si>
    <t>2L1x1x0.188</t>
  </si>
  <si>
    <t>2L25x25x3.2</t>
  </si>
  <si>
    <t>2L1x1x0.125</t>
  </si>
  <si>
    <t>2L19x19x3.2</t>
  </si>
  <si>
    <t>2L0.75x0.75x0.125</t>
  </si>
  <si>
    <t>M @ Top [EL 138'-4"]</t>
  </si>
  <si>
    <r>
      <t>M</t>
    </r>
    <r>
      <rPr>
        <vertAlign val="subscript"/>
        <sz val="11"/>
        <color theme="1"/>
        <rFont val="Calibri"/>
        <family val="2"/>
        <scheme val="minor"/>
      </rPr>
      <t>b,top</t>
    </r>
    <r>
      <rPr>
        <sz val="11"/>
        <color theme="1"/>
        <rFont val="Calibri"/>
        <family val="2"/>
        <scheme val="minor"/>
      </rPr>
      <t xml:space="preserve"> / 2 = </t>
    </r>
  </si>
  <si>
    <t>M @ Bot  [EL 123'-9"]</t>
  </si>
  <si>
    <r>
      <t>M</t>
    </r>
    <r>
      <rPr>
        <vertAlign val="subscript"/>
        <sz val="11"/>
        <color theme="1"/>
        <rFont val="Calibri"/>
        <family val="2"/>
        <scheme val="minor"/>
      </rPr>
      <t>b,bot</t>
    </r>
    <r>
      <rPr>
        <sz val="11"/>
        <color theme="1"/>
        <rFont val="Calibri"/>
        <family val="2"/>
        <scheme val="minor"/>
      </rPr>
      <t xml:space="preserve"> / 2 = </t>
    </r>
  </si>
  <si>
    <r>
      <t>V = [M</t>
    </r>
    <r>
      <rPr>
        <vertAlign val="subscript"/>
        <sz val="11"/>
        <color theme="1"/>
        <rFont val="Calibri"/>
        <family val="2"/>
        <scheme val="minor"/>
      </rPr>
      <t>top</t>
    </r>
    <r>
      <rPr>
        <sz val="11"/>
        <color theme="1"/>
        <rFont val="Calibri"/>
        <family val="2"/>
        <scheme val="minor"/>
      </rPr>
      <t xml:space="preserve"> + M</t>
    </r>
    <r>
      <rPr>
        <vertAlign val="subscript"/>
        <sz val="11"/>
        <color theme="1"/>
        <rFont val="Calibri"/>
        <family val="2"/>
        <scheme val="minor"/>
      </rPr>
      <t>bot]</t>
    </r>
    <r>
      <rPr>
        <sz val="11"/>
        <color theme="1"/>
        <rFont val="Calibri"/>
        <family val="2"/>
        <scheme val="minor"/>
      </rPr>
      <t xml:space="preserve"> / h = </t>
    </r>
  </si>
  <si>
    <t>kN.m</t>
  </si>
  <si>
    <t>kN</t>
  </si>
  <si>
    <t xml:space="preserve">Story Shear = </t>
  </si>
  <si>
    <t>EL 632.100</t>
  </si>
  <si>
    <t>EL 637.050</t>
  </si>
  <si>
    <t>EL 639.350</t>
  </si>
  <si>
    <t>240C1MCS</t>
  </si>
  <si>
    <t>EL 633.065</t>
  </si>
  <si>
    <t>EL 634.750</t>
  </si>
  <si>
    <t>EL 638.500</t>
  </si>
  <si>
    <t>EL 634.400</t>
  </si>
  <si>
    <t>Height to top of structure used</t>
  </si>
  <si>
    <t>Bracing Compression Capacity (kN)*</t>
  </si>
  <si>
    <t>Fe (MPa)</t>
  </si>
  <si>
    <t>*Compression values are based on 345 MPa as per CISC design tables. Actual values will be lower as 300 MPa is spec'd, but only relative strength difference matters in this check</t>
  </si>
  <si>
    <t>*Bracing compression capacity is taken from Double-Angle Struts Compression Capacity Tables in CISC Handbook of Steel Construction. Values are interpolated for brace length.</t>
  </si>
  <si>
    <t>240D1MCS</t>
  </si>
  <si>
    <t>EL 632.760</t>
  </si>
  <si>
    <t>The top elevations are nearly identical in weak story strength. The minor deviation of +/- 1 kN is acceptable by engineering judgement. 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</si>
</sst>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2" x14ac:knownFonts="1">
    <font>
      <sz val="11"/>
      <color theme="1"/>
      <name val="Calibri"/>
      <family val="2"/>
      <scheme val="minor"/>
    </font>
    <font>
      <b/>
      <sz val="11"/>
      <color theme="1"/>
      <name val="Calibri"/>
      <family val="2"/>
      <scheme val="minor"/>
    </font>
    <font>
      <b/>
      <sz val="8"/>
      <name val="Arial"/>
      <family val="2"/>
    </font>
    <font>
      <b/>
      <sz val="8"/>
      <color indexed="12"/>
      <name val="Arial"/>
      <family val="2"/>
    </font>
    <font>
      <sz val="8"/>
      <name val="Arial"/>
      <family val="2"/>
    </font>
    <font>
      <sz val="11"/>
      <color theme="1"/>
      <name val="Calibri"/>
      <family val="2"/>
    </font>
    <font>
      <b/>
      <sz val="12"/>
      <color theme="1"/>
      <name val="Calibri"/>
      <family val="2"/>
      <scheme val="minor"/>
    </font>
    <font>
      <b/>
      <sz val="14"/>
      <color rgb="FFC00000"/>
      <name val="Calibri"/>
      <family val="2"/>
      <scheme val="minor"/>
    </font>
    <font>
      <b/>
      <sz val="11"/>
      <color rgb="FFC00000"/>
      <name val="Calibri"/>
      <family val="2"/>
      <scheme val="minor"/>
    </font>
    <font>
      <b/>
      <u/>
      <sz val="11"/>
      <color theme="1"/>
      <name val="Calibri"/>
      <family val="2"/>
      <scheme val="minor"/>
    </font>
    <font>
      <vertAlign val="subscript"/>
      <sz val="11"/>
      <color theme="1"/>
      <name val="Calibri"/>
      <family val="2"/>
      <scheme val="minor"/>
    </font>
    <font>
      <u/>
      <sz val="11"/>
      <color theme="1"/>
      <name val="Calibri"/>
      <family val="2"/>
      <scheme val="minor"/>
    </font>
  </fonts>
  <fills count="6">
    <fill>
      <patternFill patternType="none"/>
    </fill>
    <fill>
      <patternFill patternType="gray125"/>
    </fill>
    <fill>
      <patternFill patternType="solid">
        <fgColor indexed="44"/>
        <bgColor indexed="64"/>
      </patternFill>
    </fill>
    <fill>
      <patternFill patternType="solid">
        <fgColor indexed="43"/>
        <bgColor indexed="64"/>
      </patternFill>
    </fill>
    <fill>
      <patternFill patternType="solid">
        <fgColor rgb="FFFFFF00"/>
        <bgColor indexed="64"/>
      </patternFill>
    </fill>
    <fill>
      <patternFill patternType="solid">
        <fgColor theme="5" tint="0.7999816888943144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75">
    <xf numFmtId="0" fontId="0" fillId="0" borderId="0" xfId="0"/>
    <xf numFmtId="0" fontId="0" fillId="0" borderId="1" xfId="0" applyBorder="1"/>
    <xf numFmtId="0" fontId="2" fillId="2" borderId="0" xfId="0" applyFont="1" applyFill="1" applyAlignment="1">
      <alignment horizontal="center"/>
    </xf>
    <xf numFmtId="0" fontId="3" fillId="2" borderId="0" xfId="0" applyFont="1" applyFill="1" applyAlignment="1">
      <alignment horizontal="left"/>
    </xf>
    <xf numFmtId="0" fontId="4" fillId="0" borderId="0" xfId="0" applyFont="1"/>
    <xf numFmtId="0" fontId="2" fillId="0" borderId="0" xfId="0" applyFont="1"/>
    <xf numFmtId="0" fontId="2" fillId="3" borderId="0" xfId="0" applyFont="1" applyFill="1"/>
    <xf numFmtId="0" fontId="4" fillId="3" borderId="0" xfId="0" applyFont="1" applyFill="1"/>
    <xf numFmtId="0" fontId="0" fillId="0" borderId="0" xfId="0" applyAlignment="1">
      <alignment wrapText="1"/>
    </xf>
    <xf numFmtId="0" fontId="0" fillId="0" borderId="4" xfId="0" applyBorder="1"/>
    <xf numFmtId="0" fontId="0" fillId="0" borderId="7" xfId="0" applyBorder="1"/>
    <xf numFmtId="0" fontId="0" fillId="0" borderId="9" xfId="0" applyBorder="1"/>
    <xf numFmtId="0" fontId="0" fillId="0" borderId="10" xfId="0" applyBorder="1"/>
    <xf numFmtId="0" fontId="0" fillId="0" borderId="3" xfId="0" applyBorder="1"/>
    <xf numFmtId="0" fontId="0" fillId="0" borderId="5" xfId="0" applyBorder="1"/>
    <xf numFmtId="0" fontId="6" fillId="0" borderId="2" xfId="0" applyFont="1" applyBorder="1"/>
    <xf numFmtId="0" fontId="6" fillId="0" borderId="8" xfId="0" applyFont="1" applyBorder="1"/>
    <xf numFmtId="1" fontId="6" fillId="0" borderId="6" xfId="0" applyNumberFormat="1" applyFont="1" applyBorder="1"/>
    <xf numFmtId="0" fontId="0" fillId="4" borderId="9" xfId="0" applyFill="1" applyBorder="1" applyAlignment="1">
      <alignment horizontal="center"/>
    </xf>
    <xf numFmtId="0" fontId="0" fillId="0" borderId="9" xfId="0" applyBorder="1" applyAlignment="1">
      <alignment horizontal="center"/>
    </xf>
    <xf numFmtId="0" fontId="0" fillId="4" borderId="1" xfId="0" applyFill="1" applyBorder="1" applyAlignment="1">
      <alignment horizontal="center"/>
    </xf>
    <xf numFmtId="0" fontId="0" fillId="0" borderId="1" xfId="0" applyBorder="1" applyAlignment="1">
      <alignment horizontal="center"/>
    </xf>
    <xf numFmtId="0" fontId="0" fillId="4" borderId="6" xfId="0" applyFill="1" applyBorder="1" applyAlignment="1">
      <alignment horizontal="center"/>
    </xf>
    <xf numFmtId="0" fontId="0" fillId="0" borderId="6" xfId="0" applyBorder="1" applyAlignment="1">
      <alignment horizontal="center"/>
    </xf>
    <xf numFmtId="164" fontId="0" fillId="0" borderId="9" xfId="0" applyNumberFormat="1" applyBorder="1" applyAlignment="1">
      <alignment horizontal="center"/>
    </xf>
    <xf numFmtId="164" fontId="0" fillId="0" borderId="1" xfId="0" applyNumberFormat="1" applyBorder="1" applyAlignment="1">
      <alignment horizontal="center"/>
    </xf>
    <xf numFmtId="164" fontId="0" fillId="0" borderId="6" xfId="0" applyNumberFormat="1" applyBorder="1" applyAlignment="1">
      <alignment horizontal="center"/>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5" fillId="0" borderId="12" xfId="0" applyFont="1" applyBorder="1" applyAlignment="1">
      <alignment horizontal="center" vertical="center" wrapText="1"/>
    </xf>
    <xf numFmtId="0" fontId="0" fillId="0" borderId="13" xfId="0" applyBorder="1" applyAlignment="1">
      <alignment horizontal="center" vertical="center" wrapText="1"/>
    </xf>
    <xf numFmtId="1" fontId="0" fillId="0" borderId="9" xfId="0" applyNumberFormat="1" applyBorder="1" applyAlignment="1">
      <alignment horizontal="center"/>
    </xf>
    <xf numFmtId="1" fontId="0" fillId="0" borderId="1" xfId="0" applyNumberFormat="1" applyBorder="1" applyAlignment="1">
      <alignment horizontal="center"/>
    </xf>
    <xf numFmtId="1" fontId="0" fillId="0" borderId="6" xfId="0" applyNumberFormat="1" applyBorder="1" applyAlignment="1">
      <alignment horizontal="center"/>
    </xf>
    <xf numFmtId="1" fontId="0" fillId="0" borderId="10" xfId="0" applyNumberFormat="1" applyBorder="1" applyAlignment="1">
      <alignment horizontal="center"/>
    </xf>
    <xf numFmtId="1" fontId="0" fillId="0" borderId="4" xfId="0" applyNumberFormat="1" applyBorder="1" applyAlignment="1">
      <alignment horizontal="center"/>
    </xf>
    <xf numFmtId="1" fontId="0" fillId="0" borderId="7" xfId="0" applyNumberFormat="1" applyBorder="1" applyAlignment="1">
      <alignment horizontal="center"/>
    </xf>
    <xf numFmtId="0" fontId="7" fillId="0" borderId="15" xfId="0" applyFont="1" applyBorder="1"/>
    <xf numFmtId="0" fontId="9" fillId="0" borderId="0" xfId="0" applyFont="1"/>
    <xf numFmtId="0" fontId="0" fillId="0" borderId="0" xfId="0" applyAlignment="1">
      <alignment horizontal="center"/>
    </xf>
    <xf numFmtId="0" fontId="1" fillId="0" borderId="0" xfId="0" applyFont="1" applyAlignment="1">
      <alignment horizontal="center"/>
    </xf>
    <xf numFmtId="0" fontId="2" fillId="2" borderId="0" xfId="0" applyFont="1" applyFill="1"/>
    <xf numFmtId="0" fontId="4" fillId="2" borderId="0" xfId="0" applyFont="1" applyFill="1"/>
    <xf numFmtId="164" fontId="0" fillId="4" borderId="9" xfId="0" applyNumberFormat="1" applyFill="1" applyBorder="1" applyAlignment="1">
      <alignment horizontal="center"/>
    </xf>
    <xf numFmtId="164" fontId="0" fillId="4" borderId="1" xfId="0" applyNumberFormat="1" applyFill="1" applyBorder="1" applyAlignment="1">
      <alignment horizontal="center"/>
    </xf>
    <xf numFmtId="164" fontId="0" fillId="4" borderId="6" xfId="0" applyNumberFormat="1" applyFill="1" applyBorder="1" applyAlignment="1">
      <alignment horizontal="center"/>
    </xf>
    <xf numFmtId="0" fontId="11" fillId="0" borderId="0" xfId="0" applyFont="1" applyAlignment="1">
      <alignment horizontal="left"/>
    </xf>
    <xf numFmtId="0" fontId="11" fillId="0" borderId="0" xfId="0" applyFont="1" applyAlignment="1">
      <alignment horizontal="center"/>
    </xf>
    <xf numFmtId="0" fontId="0" fillId="0" borderId="0" xfId="0" applyAlignment="1">
      <alignment horizontal="right"/>
    </xf>
    <xf numFmtId="164" fontId="0" fillId="0" borderId="0" xfId="0" applyNumberFormat="1" applyAlignment="1">
      <alignment horizontal="center"/>
    </xf>
    <xf numFmtId="2" fontId="0" fillId="4" borderId="1" xfId="0" applyNumberFormat="1" applyFill="1" applyBorder="1" applyAlignment="1">
      <alignment horizontal="center"/>
    </xf>
    <xf numFmtId="0" fontId="0" fillId="0" borderId="0" xfId="0" applyAlignment="1">
      <alignment horizontal="center" vertical="center" wrapText="1"/>
    </xf>
    <xf numFmtId="0" fontId="0" fillId="0" borderId="0" xfId="0" applyAlignment="1">
      <alignment vertical="center" wrapText="1"/>
    </xf>
    <xf numFmtId="165" fontId="1" fillId="4" borderId="3" xfId="0" applyNumberFormat="1" applyFont="1" applyFill="1" applyBorder="1" applyAlignment="1">
      <alignment horizontal="center"/>
    </xf>
    <xf numFmtId="165" fontId="1" fillId="4" borderId="5" xfId="0" applyNumberFormat="1" applyFont="1" applyFill="1" applyBorder="1" applyAlignment="1">
      <alignment horizontal="center"/>
    </xf>
    <xf numFmtId="1" fontId="0" fillId="5" borderId="4" xfId="0" applyNumberFormat="1" applyFill="1" applyBorder="1" applyAlignment="1">
      <alignment horizontal="center"/>
    </xf>
    <xf numFmtId="1" fontId="0" fillId="5" borderId="7" xfId="0" applyNumberFormat="1" applyFill="1" applyBorder="1" applyAlignment="1">
      <alignment horizont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7" fillId="0" borderId="14" xfId="0" applyFont="1" applyBorder="1" applyAlignment="1">
      <alignment horizontal="center"/>
    </xf>
    <xf numFmtId="0" fontId="7" fillId="0" borderId="16" xfId="0" applyFont="1" applyBorder="1" applyAlignment="1">
      <alignment horizontal="center"/>
    </xf>
    <xf numFmtId="0" fontId="7" fillId="0" borderId="15" xfId="0" applyFont="1" applyBorder="1" applyAlignment="1">
      <alignment horizontal="center"/>
    </xf>
    <xf numFmtId="0" fontId="8" fillId="5" borderId="14" xfId="0" applyFont="1" applyFill="1" applyBorder="1" applyAlignment="1">
      <alignment horizontal="center" vertical="center"/>
    </xf>
    <xf numFmtId="0" fontId="8" fillId="5" borderId="16" xfId="0" applyFont="1" applyFill="1" applyBorder="1" applyAlignment="1">
      <alignment horizontal="center" vertical="center"/>
    </xf>
    <xf numFmtId="0" fontId="8" fillId="5" borderId="15" xfId="0" applyFont="1" applyFill="1" applyBorder="1" applyAlignment="1">
      <alignment horizontal="center" vertical="center"/>
    </xf>
    <xf numFmtId="0" fontId="0" fillId="5" borderId="17" xfId="0" applyFill="1" applyBorder="1" applyAlignment="1">
      <alignment horizontal="left" vertical="top" wrapText="1"/>
    </xf>
    <xf numFmtId="0" fontId="0" fillId="5" borderId="18" xfId="0" applyFill="1" applyBorder="1" applyAlignment="1">
      <alignment horizontal="left" vertical="top" wrapText="1"/>
    </xf>
    <xf numFmtId="0" fontId="0" fillId="5" borderId="19" xfId="0" applyFill="1" applyBorder="1" applyAlignment="1">
      <alignment horizontal="left" vertical="top" wrapText="1"/>
    </xf>
    <xf numFmtId="0" fontId="0" fillId="5" borderId="20" xfId="0" applyFill="1" applyBorder="1" applyAlignment="1">
      <alignment horizontal="left" vertical="top" wrapText="1"/>
    </xf>
    <xf numFmtId="0" fontId="0" fillId="5" borderId="0" xfId="0" applyFill="1" applyAlignment="1">
      <alignment horizontal="left" vertical="top" wrapText="1"/>
    </xf>
    <xf numFmtId="0" fontId="0" fillId="5" borderId="21" xfId="0" applyFill="1" applyBorder="1" applyAlignment="1">
      <alignment horizontal="left" vertical="top" wrapText="1"/>
    </xf>
    <xf numFmtId="0" fontId="0" fillId="5" borderId="22" xfId="0" applyFill="1" applyBorder="1" applyAlignment="1">
      <alignment horizontal="left" vertical="top" wrapText="1"/>
    </xf>
    <xf numFmtId="0" fontId="0" fillId="5" borderId="23" xfId="0" applyFill="1" applyBorder="1" applyAlignment="1">
      <alignment horizontal="left" vertical="top" wrapText="1"/>
    </xf>
    <xf numFmtId="0" fontId="0" fillId="5" borderId="24"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8</xdr:col>
      <xdr:colOff>246531</xdr:colOff>
      <xdr:row>8</xdr:row>
      <xdr:rowOff>78441</xdr:rowOff>
    </xdr:from>
    <xdr:to>
      <xdr:col>14</xdr:col>
      <xdr:colOff>135063</xdr:colOff>
      <xdr:row>32</xdr:row>
      <xdr:rowOff>22410</xdr:rowOff>
    </xdr:to>
    <xdr:pic>
      <xdr:nvPicPr>
        <xdr:cNvPr id="2" name="Picture 1">
          <a:extLst>
            <a:ext uri="{FF2B5EF4-FFF2-40B4-BE49-F238E27FC236}">
              <a16:creationId xmlns:a16="http://schemas.microsoft.com/office/drawing/2014/main" id="{491FFF6F-1E5C-C958-5512-85DEE2686836}"/>
            </a:ext>
          </a:extLst>
        </xdr:cNvPr>
        <xdr:cNvPicPr>
          <a:picLocks noChangeAspect="1"/>
        </xdr:cNvPicPr>
      </xdr:nvPicPr>
      <xdr:blipFill>
        <a:blip xmlns:r="http://schemas.openxmlformats.org/officeDocument/2006/relationships" r:embed="rId1"/>
        <a:stretch>
          <a:fillRect/>
        </a:stretch>
      </xdr:blipFill>
      <xdr:spPr>
        <a:xfrm>
          <a:off x="12965207" y="1669676"/>
          <a:ext cx="3519236" cy="4953000"/>
        </a:xfrm>
        <a:prstGeom prst="rect">
          <a:avLst/>
        </a:prstGeom>
      </xdr:spPr>
    </xdr:pic>
    <xdr:clientData/>
  </xdr:twoCellAnchor>
  <xdr:twoCellAnchor>
    <xdr:from>
      <xdr:col>6</xdr:col>
      <xdr:colOff>152400</xdr:colOff>
      <xdr:row>30</xdr:row>
      <xdr:rowOff>227</xdr:rowOff>
    </xdr:from>
    <xdr:to>
      <xdr:col>9</xdr:col>
      <xdr:colOff>11303</xdr:colOff>
      <xdr:row>31</xdr:row>
      <xdr:rowOff>84682</xdr:rowOff>
    </xdr:to>
    <xdr:sp macro="" textlink="">
      <xdr:nvSpPr>
        <xdr:cNvPr id="3" name="TextBox 2">
          <a:extLst>
            <a:ext uri="{FF2B5EF4-FFF2-40B4-BE49-F238E27FC236}">
              <a16:creationId xmlns:a16="http://schemas.microsoft.com/office/drawing/2014/main" id="{5C590040-6DDE-4062-B576-AF250399A299}"/>
            </a:ext>
          </a:extLst>
        </xdr:cNvPr>
        <xdr:cNvSpPr txBox="1"/>
      </xdr:nvSpPr>
      <xdr:spPr>
        <a:xfrm>
          <a:off x="11664043" y="6477227"/>
          <a:ext cx="1687703" cy="313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none"/>
            <a:t>U/S BP</a:t>
          </a:r>
          <a:r>
            <a:rPr lang="en-US" sz="1200" u="none" baseline="0"/>
            <a:t> EL</a:t>
          </a:r>
          <a:r>
            <a:rPr lang="en-US" sz="1200" u="none"/>
            <a:t> 631.650 m</a:t>
          </a:r>
        </a:p>
      </xdr:txBody>
    </xdr:sp>
    <xdr:clientData/>
  </xdr:twoCellAnchor>
  <xdr:twoCellAnchor>
    <xdr:from>
      <xdr:col>6</xdr:col>
      <xdr:colOff>136071</xdr:colOff>
      <xdr:row>28</xdr:row>
      <xdr:rowOff>217942</xdr:rowOff>
    </xdr:from>
    <xdr:to>
      <xdr:col>8</xdr:col>
      <xdr:colOff>604574</xdr:colOff>
      <xdr:row>30</xdr:row>
      <xdr:rowOff>73797</xdr:rowOff>
    </xdr:to>
    <xdr:sp macro="" textlink="">
      <xdr:nvSpPr>
        <xdr:cNvPr id="6" name="TextBox 5">
          <a:extLst>
            <a:ext uri="{FF2B5EF4-FFF2-40B4-BE49-F238E27FC236}">
              <a16:creationId xmlns:a16="http://schemas.microsoft.com/office/drawing/2014/main" id="{76067DD4-893E-4ED8-9211-CC3B66B374E3}"/>
            </a:ext>
          </a:extLst>
        </xdr:cNvPr>
        <xdr:cNvSpPr txBox="1"/>
      </xdr:nvSpPr>
      <xdr:spPr>
        <a:xfrm>
          <a:off x="11647714" y="6237742"/>
          <a:ext cx="1687703" cy="313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none"/>
            <a:t>TOS </a:t>
          </a:r>
          <a:r>
            <a:rPr lang="en-US" sz="1200" u="none" baseline="0"/>
            <a:t>EL</a:t>
          </a:r>
          <a:r>
            <a:rPr lang="en-US" sz="1200" u="none"/>
            <a:t> 632</a:t>
          </a:r>
          <a:r>
            <a:rPr lang="en-US" sz="1200" u="none" baseline="0"/>
            <a:t>.100 m   </a:t>
          </a:r>
          <a:endParaRPr lang="en-US" sz="1200" u="none"/>
        </a:p>
      </xdr:txBody>
    </xdr:sp>
    <xdr:clientData/>
  </xdr:twoCellAnchor>
  <xdr:twoCellAnchor>
    <xdr:from>
      <xdr:col>6</xdr:col>
      <xdr:colOff>190500</xdr:colOff>
      <xdr:row>23</xdr:row>
      <xdr:rowOff>136299</xdr:rowOff>
    </xdr:from>
    <xdr:to>
      <xdr:col>9</xdr:col>
      <xdr:colOff>49403</xdr:colOff>
      <xdr:row>24</xdr:row>
      <xdr:rowOff>220754</xdr:rowOff>
    </xdr:to>
    <xdr:sp macro="" textlink="">
      <xdr:nvSpPr>
        <xdr:cNvPr id="7" name="TextBox 6">
          <a:extLst>
            <a:ext uri="{FF2B5EF4-FFF2-40B4-BE49-F238E27FC236}">
              <a16:creationId xmlns:a16="http://schemas.microsoft.com/office/drawing/2014/main" id="{3C378DC3-D242-49E0-BC3B-D0FAF347A105}"/>
            </a:ext>
          </a:extLst>
        </xdr:cNvPr>
        <xdr:cNvSpPr txBox="1"/>
      </xdr:nvSpPr>
      <xdr:spPr>
        <a:xfrm>
          <a:off x="11702143" y="5089299"/>
          <a:ext cx="1687703" cy="313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none"/>
            <a:t>TOS </a:t>
          </a:r>
          <a:r>
            <a:rPr lang="en-US" sz="1200" u="none" baseline="0"/>
            <a:t>EL</a:t>
          </a:r>
          <a:r>
            <a:rPr lang="en-US" sz="1200" u="none"/>
            <a:t> 634.400 m</a:t>
          </a:r>
        </a:p>
      </xdr:txBody>
    </xdr:sp>
    <xdr:clientData/>
  </xdr:twoCellAnchor>
  <xdr:twoCellAnchor>
    <xdr:from>
      <xdr:col>6</xdr:col>
      <xdr:colOff>223158</xdr:colOff>
      <xdr:row>16</xdr:row>
      <xdr:rowOff>158071</xdr:rowOff>
    </xdr:from>
    <xdr:to>
      <xdr:col>9</xdr:col>
      <xdr:colOff>82061</xdr:colOff>
      <xdr:row>18</xdr:row>
      <xdr:rowOff>90126</xdr:rowOff>
    </xdr:to>
    <xdr:sp macro="" textlink="">
      <xdr:nvSpPr>
        <xdr:cNvPr id="8" name="TextBox 7">
          <a:extLst>
            <a:ext uri="{FF2B5EF4-FFF2-40B4-BE49-F238E27FC236}">
              <a16:creationId xmlns:a16="http://schemas.microsoft.com/office/drawing/2014/main" id="{3F5DB94E-F24C-47F6-AE1A-F0A43B798339}"/>
            </a:ext>
          </a:extLst>
        </xdr:cNvPr>
        <xdr:cNvSpPr txBox="1"/>
      </xdr:nvSpPr>
      <xdr:spPr>
        <a:xfrm>
          <a:off x="11734801" y="3744914"/>
          <a:ext cx="1687703" cy="313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none"/>
            <a:t>TOS </a:t>
          </a:r>
          <a:r>
            <a:rPr lang="en-US" sz="1200" u="none" baseline="0"/>
            <a:t>EL</a:t>
          </a:r>
          <a:r>
            <a:rPr lang="en-US" sz="1200" u="none"/>
            <a:t> 637.050 m</a:t>
          </a:r>
        </a:p>
      </xdr:txBody>
    </xdr:sp>
    <xdr:clientData/>
  </xdr:twoCellAnchor>
  <xdr:twoCellAnchor>
    <xdr:from>
      <xdr:col>6</xdr:col>
      <xdr:colOff>190501</xdr:colOff>
      <xdr:row>11</xdr:row>
      <xdr:rowOff>76428</xdr:rowOff>
    </xdr:from>
    <xdr:to>
      <xdr:col>9</xdr:col>
      <xdr:colOff>49404</xdr:colOff>
      <xdr:row>13</xdr:row>
      <xdr:rowOff>8483</xdr:rowOff>
    </xdr:to>
    <xdr:sp macro="" textlink="">
      <xdr:nvSpPr>
        <xdr:cNvPr id="9" name="TextBox 8">
          <a:extLst>
            <a:ext uri="{FF2B5EF4-FFF2-40B4-BE49-F238E27FC236}">
              <a16:creationId xmlns:a16="http://schemas.microsoft.com/office/drawing/2014/main" id="{6EEF3563-1298-48C7-B5B0-5C707B598CB8}"/>
            </a:ext>
          </a:extLst>
        </xdr:cNvPr>
        <xdr:cNvSpPr txBox="1"/>
      </xdr:nvSpPr>
      <xdr:spPr>
        <a:xfrm>
          <a:off x="11702144" y="2596471"/>
          <a:ext cx="1687703" cy="313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none"/>
            <a:t>TOS </a:t>
          </a:r>
          <a:r>
            <a:rPr lang="en-US" sz="1200" u="none" baseline="0"/>
            <a:t>EL</a:t>
          </a:r>
          <a:r>
            <a:rPr lang="en-US" sz="1200" u="none"/>
            <a:t> 639.350 m</a:t>
          </a:r>
        </a:p>
      </xdr:txBody>
    </xdr:sp>
    <xdr:clientData/>
  </xdr:twoCellAnchor>
  <xdr:twoCellAnchor>
    <xdr:from>
      <xdr:col>6</xdr:col>
      <xdr:colOff>174172</xdr:colOff>
      <xdr:row>8</xdr:row>
      <xdr:rowOff>38328</xdr:rowOff>
    </xdr:from>
    <xdr:to>
      <xdr:col>9</xdr:col>
      <xdr:colOff>33075</xdr:colOff>
      <xdr:row>9</xdr:row>
      <xdr:rowOff>122783</xdr:rowOff>
    </xdr:to>
    <xdr:sp macro="" textlink="">
      <xdr:nvSpPr>
        <xdr:cNvPr id="10" name="TextBox 9">
          <a:extLst>
            <a:ext uri="{FF2B5EF4-FFF2-40B4-BE49-F238E27FC236}">
              <a16:creationId xmlns:a16="http://schemas.microsoft.com/office/drawing/2014/main" id="{A9D2CC59-C885-4101-9938-261027D3A5AF}"/>
            </a:ext>
          </a:extLst>
        </xdr:cNvPr>
        <xdr:cNvSpPr txBox="1"/>
      </xdr:nvSpPr>
      <xdr:spPr>
        <a:xfrm>
          <a:off x="11685815" y="1872571"/>
          <a:ext cx="1687703" cy="313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none"/>
            <a:t>TOS </a:t>
          </a:r>
          <a:r>
            <a:rPr lang="en-US" sz="1200" u="none" baseline="0"/>
            <a:t>EL</a:t>
          </a:r>
          <a:r>
            <a:rPr lang="en-US" sz="1200" u="none"/>
            <a:t> 640.750 m</a:t>
          </a:r>
        </a:p>
      </xdr:txBody>
    </xdr:sp>
    <xdr:clientData/>
  </xdr:twoCellAnchor>
  <xdr:twoCellAnchor>
    <xdr:from>
      <xdr:col>6</xdr:col>
      <xdr:colOff>288073</xdr:colOff>
      <xdr:row>9</xdr:row>
      <xdr:rowOff>41816</xdr:rowOff>
    </xdr:from>
    <xdr:to>
      <xdr:col>8</xdr:col>
      <xdr:colOff>492512</xdr:colOff>
      <xdr:row>9</xdr:row>
      <xdr:rowOff>41816</xdr:rowOff>
    </xdr:to>
    <xdr:cxnSp macro="">
      <xdr:nvCxnSpPr>
        <xdr:cNvPr id="12" name="Straight Connector 11">
          <a:extLst>
            <a:ext uri="{FF2B5EF4-FFF2-40B4-BE49-F238E27FC236}">
              <a16:creationId xmlns:a16="http://schemas.microsoft.com/office/drawing/2014/main" id="{DD6E47BA-B03A-C613-4C2D-9686A22E23D0}"/>
            </a:ext>
          </a:extLst>
        </xdr:cNvPr>
        <xdr:cNvCxnSpPr/>
      </xdr:nvCxnSpPr>
      <xdr:spPr>
        <a:xfrm>
          <a:off x="11797061" y="2095499"/>
          <a:ext cx="1421780"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282498</xdr:colOff>
      <xdr:row>12</xdr:row>
      <xdr:rowOff>96643</xdr:rowOff>
    </xdr:from>
    <xdr:to>
      <xdr:col>8</xdr:col>
      <xdr:colOff>486937</xdr:colOff>
      <xdr:row>12</xdr:row>
      <xdr:rowOff>96643</xdr:rowOff>
    </xdr:to>
    <xdr:cxnSp macro="">
      <xdr:nvCxnSpPr>
        <xdr:cNvPr id="13" name="Straight Connector 12">
          <a:extLst>
            <a:ext uri="{FF2B5EF4-FFF2-40B4-BE49-F238E27FC236}">
              <a16:creationId xmlns:a16="http://schemas.microsoft.com/office/drawing/2014/main" id="{BA374AB9-29E3-4FDD-88E9-3F36751E8F11}"/>
            </a:ext>
          </a:extLst>
        </xdr:cNvPr>
        <xdr:cNvCxnSpPr/>
      </xdr:nvCxnSpPr>
      <xdr:spPr>
        <a:xfrm>
          <a:off x="11791486" y="2796167"/>
          <a:ext cx="1421780"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297365</xdr:colOff>
      <xdr:row>18</xdr:row>
      <xdr:rowOff>0</xdr:rowOff>
    </xdr:from>
    <xdr:to>
      <xdr:col>8</xdr:col>
      <xdr:colOff>501804</xdr:colOff>
      <xdr:row>18</xdr:row>
      <xdr:rowOff>0</xdr:rowOff>
    </xdr:to>
    <xdr:cxnSp macro="">
      <xdr:nvCxnSpPr>
        <xdr:cNvPr id="14" name="Straight Connector 13">
          <a:extLst>
            <a:ext uri="{FF2B5EF4-FFF2-40B4-BE49-F238E27FC236}">
              <a16:creationId xmlns:a16="http://schemas.microsoft.com/office/drawing/2014/main" id="{877ADF72-2990-4439-80C7-B9FA66501A16}"/>
            </a:ext>
          </a:extLst>
        </xdr:cNvPr>
        <xdr:cNvCxnSpPr/>
      </xdr:nvCxnSpPr>
      <xdr:spPr>
        <a:xfrm>
          <a:off x="11806353" y="3954037"/>
          <a:ext cx="1421780"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287143</xdr:colOff>
      <xdr:row>24</xdr:row>
      <xdr:rowOff>124523</xdr:rowOff>
    </xdr:from>
    <xdr:to>
      <xdr:col>8</xdr:col>
      <xdr:colOff>491582</xdr:colOff>
      <xdr:row>24</xdr:row>
      <xdr:rowOff>124523</xdr:rowOff>
    </xdr:to>
    <xdr:cxnSp macro="">
      <xdr:nvCxnSpPr>
        <xdr:cNvPr id="15" name="Straight Connector 14">
          <a:extLst>
            <a:ext uri="{FF2B5EF4-FFF2-40B4-BE49-F238E27FC236}">
              <a16:creationId xmlns:a16="http://schemas.microsoft.com/office/drawing/2014/main" id="{6FA1BAC9-E0C1-41EF-AE4E-A8B119E722B5}"/>
            </a:ext>
          </a:extLst>
        </xdr:cNvPr>
        <xdr:cNvCxnSpPr/>
      </xdr:nvCxnSpPr>
      <xdr:spPr>
        <a:xfrm>
          <a:off x="11796131" y="5286608"/>
          <a:ext cx="1421780"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244397</xdr:colOff>
      <xdr:row>29</xdr:row>
      <xdr:rowOff>211873</xdr:rowOff>
    </xdr:from>
    <xdr:to>
      <xdr:col>8</xdr:col>
      <xdr:colOff>448836</xdr:colOff>
      <xdr:row>29</xdr:row>
      <xdr:rowOff>211873</xdr:rowOff>
    </xdr:to>
    <xdr:cxnSp macro="">
      <xdr:nvCxnSpPr>
        <xdr:cNvPr id="16" name="Straight Connector 15">
          <a:extLst>
            <a:ext uri="{FF2B5EF4-FFF2-40B4-BE49-F238E27FC236}">
              <a16:creationId xmlns:a16="http://schemas.microsoft.com/office/drawing/2014/main" id="{9BEA3838-6B1C-4450-8B9E-C47778F22791}"/>
            </a:ext>
          </a:extLst>
        </xdr:cNvPr>
        <xdr:cNvCxnSpPr/>
      </xdr:nvCxnSpPr>
      <xdr:spPr>
        <a:xfrm>
          <a:off x="11753385" y="6437971"/>
          <a:ext cx="1421780"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252760</xdr:colOff>
      <xdr:row>30</xdr:row>
      <xdr:rowOff>224883</xdr:rowOff>
    </xdr:from>
    <xdr:to>
      <xdr:col>8</xdr:col>
      <xdr:colOff>457199</xdr:colOff>
      <xdr:row>30</xdr:row>
      <xdr:rowOff>224883</xdr:rowOff>
    </xdr:to>
    <xdr:cxnSp macro="">
      <xdr:nvCxnSpPr>
        <xdr:cNvPr id="17" name="Straight Connector 16">
          <a:extLst>
            <a:ext uri="{FF2B5EF4-FFF2-40B4-BE49-F238E27FC236}">
              <a16:creationId xmlns:a16="http://schemas.microsoft.com/office/drawing/2014/main" id="{DF2EA607-4F79-4F4B-AC9F-E557B8457919}"/>
            </a:ext>
          </a:extLst>
        </xdr:cNvPr>
        <xdr:cNvCxnSpPr/>
      </xdr:nvCxnSpPr>
      <xdr:spPr>
        <a:xfrm>
          <a:off x="11761748" y="6678651"/>
          <a:ext cx="1421780"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xdr:col>
      <xdr:colOff>314325</xdr:colOff>
      <xdr:row>35</xdr:row>
      <xdr:rowOff>192180</xdr:rowOff>
    </xdr:from>
    <xdr:to>
      <xdr:col>14</xdr:col>
      <xdr:colOff>569233</xdr:colOff>
      <xdr:row>49</xdr:row>
      <xdr:rowOff>72671</xdr:rowOff>
    </xdr:to>
    <xdr:pic>
      <xdr:nvPicPr>
        <xdr:cNvPr id="18" name="Picture 17" descr="A comparison of a beam diagram&#10;&#10;Description automatically generated with medium confidence">
          <a:extLst>
            <a:ext uri="{FF2B5EF4-FFF2-40B4-BE49-F238E27FC236}">
              <a16:creationId xmlns:a16="http://schemas.microsoft.com/office/drawing/2014/main" id="{CDD6C62A-488F-43EE-89E8-1CE3C4A6132F}"/>
            </a:ext>
          </a:extLst>
        </xdr:cNvPr>
        <xdr:cNvPicPr>
          <a:picLocks noChangeAspect="1"/>
        </xdr:cNvPicPr>
      </xdr:nvPicPr>
      <xdr:blipFill>
        <a:blip xmlns:r="http://schemas.openxmlformats.org/officeDocument/2006/relationships" r:embed="rId2"/>
        <a:stretch>
          <a:fillRect/>
        </a:stretch>
      </xdr:blipFill>
      <xdr:spPr>
        <a:xfrm>
          <a:off x="11210925" y="7412130"/>
          <a:ext cx="5131708" cy="2690365"/>
        </a:xfrm>
        <a:prstGeom prst="rect">
          <a:avLst/>
        </a:prstGeom>
        <a:ln>
          <a:solidFill>
            <a:schemeClr val="tx1"/>
          </a:solidFill>
        </a:ln>
      </xdr:spPr>
    </xdr:pic>
    <xdr:clientData/>
  </xdr:twoCellAnchor>
  <xdr:twoCellAnchor>
    <xdr:from>
      <xdr:col>13</xdr:col>
      <xdr:colOff>582011</xdr:colOff>
      <xdr:row>14</xdr:row>
      <xdr:rowOff>227285</xdr:rowOff>
    </xdr:from>
    <xdr:to>
      <xdr:col>14</xdr:col>
      <xdr:colOff>262759</xdr:colOff>
      <xdr:row>14</xdr:row>
      <xdr:rowOff>227285</xdr:rowOff>
    </xdr:to>
    <xdr:cxnSp macro="">
      <xdr:nvCxnSpPr>
        <xdr:cNvPr id="23" name="Straight Connector 22">
          <a:extLst>
            <a:ext uri="{FF2B5EF4-FFF2-40B4-BE49-F238E27FC236}">
              <a16:creationId xmlns:a16="http://schemas.microsoft.com/office/drawing/2014/main" id="{67596F26-66E4-40C9-AB3A-06675CF07831}"/>
            </a:ext>
          </a:extLst>
        </xdr:cNvPr>
        <xdr:cNvCxnSpPr/>
      </xdr:nvCxnSpPr>
      <xdr:spPr>
        <a:xfrm>
          <a:off x="16367235" y="3354113"/>
          <a:ext cx="29166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5256</xdr:colOff>
      <xdr:row>9</xdr:row>
      <xdr:rowOff>24962</xdr:rowOff>
    </xdr:from>
    <xdr:to>
      <xdr:col>14</xdr:col>
      <xdr:colOff>256190</xdr:colOff>
      <xdr:row>9</xdr:row>
      <xdr:rowOff>24962</xdr:rowOff>
    </xdr:to>
    <xdr:cxnSp macro="">
      <xdr:nvCxnSpPr>
        <xdr:cNvPr id="24" name="Straight Connector 23">
          <a:extLst>
            <a:ext uri="{FF2B5EF4-FFF2-40B4-BE49-F238E27FC236}">
              <a16:creationId xmlns:a16="http://schemas.microsoft.com/office/drawing/2014/main" id="{6BEB5D22-F754-4AA9-9A1F-5D723665FA96}"/>
            </a:ext>
          </a:extLst>
        </xdr:cNvPr>
        <xdr:cNvCxnSpPr/>
      </xdr:nvCxnSpPr>
      <xdr:spPr>
        <a:xfrm>
          <a:off x="16388256" y="2082362"/>
          <a:ext cx="250934"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131379</xdr:colOff>
      <xdr:row>9</xdr:row>
      <xdr:rowOff>52552</xdr:rowOff>
    </xdr:from>
    <xdr:to>
      <xdr:col>14</xdr:col>
      <xdr:colOff>131379</xdr:colOff>
      <xdr:row>14</xdr:row>
      <xdr:rowOff>223344</xdr:rowOff>
    </xdr:to>
    <xdr:cxnSp macro="">
      <xdr:nvCxnSpPr>
        <xdr:cNvPr id="26" name="Straight Arrow Connector 25">
          <a:extLst>
            <a:ext uri="{FF2B5EF4-FFF2-40B4-BE49-F238E27FC236}">
              <a16:creationId xmlns:a16="http://schemas.microsoft.com/office/drawing/2014/main" id="{36B515F3-FD43-E6A4-D7BD-2585410C1C18}"/>
            </a:ext>
          </a:extLst>
        </xdr:cNvPr>
        <xdr:cNvCxnSpPr/>
      </xdr:nvCxnSpPr>
      <xdr:spPr>
        <a:xfrm>
          <a:off x="16527517" y="2108638"/>
          <a:ext cx="0" cy="1241534"/>
        </a:xfrm>
        <a:prstGeom prst="straightConnector1">
          <a:avLst/>
        </a:prstGeom>
        <a:ln>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589894</xdr:colOff>
      <xdr:row>21</xdr:row>
      <xdr:rowOff>143203</xdr:rowOff>
    </xdr:from>
    <xdr:to>
      <xdr:col>14</xdr:col>
      <xdr:colOff>270642</xdr:colOff>
      <xdr:row>21</xdr:row>
      <xdr:rowOff>143203</xdr:rowOff>
    </xdr:to>
    <xdr:cxnSp macro="">
      <xdr:nvCxnSpPr>
        <xdr:cNvPr id="30" name="Straight Connector 29">
          <a:extLst>
            <a:ext uri="{FF2B5EF4-FFF2-40B4-BE49-F238E27FC236}">
              <a16:creationId xmlns:a16="http://schemas.microsoft.com/office/drawing/2014/main" id="{D389DA6D-1D6F-46B0-B9ED-D53562037C81}"/>
            </a:ext>
          </a:extLst>
        </xdr:cNvPr>
        <xdr:cNvCxnSpPr/>
      </xdr:nvCxnSpPr>
      <xdr:spPr>
        <a:xfrm>
          <a:off x="16375118" y="4702065"/>
          <a:ext cx="29166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139262</xdr:colOff>
      <xdr:row>15</xdr:row>
      <xdr:rowOff>26276</xdr:rowOff>
    </xdr:from>
    <xdr:to>
      <xdr:col>14</xdr:col>
      <xdr:colOff>139262</xdr:colOff>
      <xdr:row>21</xdr:row>
      <xdr:rowOff>139262</xdr:rowOff>
    </xdr:to>
    <xdr:cxnSp macro="">
      <xdr:nvCxnSpPr>
        <xdr:cNvPr id="31" name="Straight Arrow Connector 30">
          <a:extLst>
            <a:ext uri="{FF2B5EF4-FFF2-40B4-BE49-F238E27FC236}">
              <a16:creationId xmlns:a16="http://schemas.microsoft.com/office/drawing/2014/main" id="{65F2DC66-B353-4E2B-9853-655FD386486A}"/>
            </a:ext>
          </a:extLst>
        </xdr:cNvPr>
        <xdr:cNvCxnSpPr/>
      </xdr:nvCxnSpPr>
      <xdr:spPr>
        <a:xfrm>
          <a:off x="16535400" y="3383017"/>
          <a:ext cx="0" cy="1315107"/>
        </a:xfrm>
        <a:prstGeom prst="straightConnector1">
          <a:avLst/>
        </a:prstGeom>
        <a:ln>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604345</xdr:colOff>
      <xdr:row>29</xdr:row>
      <xdr:rowOff>17900</xdr:rowOff>
    </xdr:from>
    <xdr:to>
      <xdr:col>14</xdr:col>
      <xdr:colOff>285093</xdr:colOff>
      <xdr:row>29</xdr:row>
      <xdr:rowOff>17900</xdr:rowOff>
    </xdr:to>
    <xdr:cxnSp macro="">
      <xdr:nvCxnSpPr>
        <xdr:cNvPr id="34" name="Straight Connector 33">
          <a:extLst>
            <a:ext uri="{FF2B5EF4-FFF2-40B4-BE49-F238E27FC236}">
              <a16:creationId xmlns:a16="http://schemas.microsoft.com/office/drawing/2014/main" id="{AFB01DFA-59FA-4171-92F7-EBE960995C47}"/>
            </a:ext>
          </a:extLst>
        </xdr:cNvPr>
        <xdr:cNvCxnSpPr/>
      </xdr:nvCxnSpPr>
      <xdr:spPr>
        <a:xfrm>
          <a:off x="16350361" y="6000791"/>
          <a:ext cx="28796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153713</xdr:colOff>
      <xdr:row>26</xdr:row>
      <xdr:rowOff>0</xdr:rowOff>
    </xdr:from>
    <xdr:to>
      <xdr:col>14</xdr:col>
      <xdr:colOff>153713</xdr:colOff>
      <xdr:row>29</xdr:row>
      <xdr:rowOff>16212</xdr:rowOff>
    </xdr:to>
    <xdr:cxnSp macro="">
      <xdr:nvCxnSpPr>
        <xdr:cNvPr id="35" name="Straight Arrow Connector 34">
          <a:extLst>
            <a:ext uri="{FF2B5EF4-FFF2-40B4-BE49-F238E27FC236}">
              <a16:creationId xmlns:a16="http://schemas.microsoft.com/office/drawing/2014/main" id="{13302FE8-5F76-4E32-9659-BB600BE15955}"/>
            </a:ext>
          </a:extLst>
        </xdr:cNvPr>
        <xdr:cNvCxnSpPr/>
      </xdr:nvCxnSpPr>
      <xdr:spPr>
        <a:xfrm>
          <a:off x="16520500" y="5374532"/>
          <a:ext cx="0" cy="624191"/>
        </a:xfrm>
        <a:prstGeom prst="straightConnector1">
          <a:avLst/>
        </a:prstGeom>
        <a:ln>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6569</xdr:colOff>
      <xdr:row>30</xdr:row>
      <xdr:rowOff>194440</xdr:rowOff>
    </xdr:from>
    <xdr:to>
      <xdr:col>14</xdr:col>
      <xdr:colOff>298231</xdr:colOff>
      <xdr:row>30</xdr:row>
      <xdr:rowOff>194440</xdr:rowOff>
    </xdr:to>
    <xdr:cxnSp macro="">
      <xdr:nvCxnSpPr>
        <xdr:cNvPr id="38" name="Straight Connector 37">
          <a:extLst>
            <a:ext uri="{FF2B5EF4-FFF2-40B4-BE49-F238E27FC236}">
              <a16:creationId xmlns:a16="http://schemas.microsoft.com/office/drawing/2014/main" id="{2D8A172B-3ADB-4502-9E82-B3D4E924840C}"/>
            </a:ext>
          </a:extLst>
        </xdr:cNvPr>
        <xdr:cNvCxnSpPr/>
      </xdr:nvCxnSpPr>
      <xdr:spPr>
        <a:xfrm>
          <a:off x="16402707" y="6671440"/>
          <a:ext cx="29166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166851</xdr:colOff>
      <xdr:row>29</xdr:row>
      <xdr:rowOff>20266</xdr:rowOff>
    </xdr:from>
    <xdr:to>
      <xdr:col>14</xdr:col>
      <xdr:colOff>166851</xdr:colOff>
      <xdr:row>30</xdr:row>
      <xdr:rowOff>190499</xdr:rowOff>
    </xdr:to>
    <xdr:cxnSp macro="">
      <xdr:nvCxnSpPr>
        <xdr:cNvPr id="39" name="Straight Arrow Connector 38">
          <a:extLst>
            <a:ext uri="{FF2B5EF4-FFF2-40B4-BE49-F238E27FC236}">
              <a16:creationId xmlns:a16="http://schemas.microsoft.com/office/drawing/2014/main" id="{5AA2B9AD-AF8A-4BA5-83EA-3DB56238633A}"/>
            </a:ext>
          </a:extLst>
        </xdr:cNvPr>
        <xdr:cNvCxnSpPr/>
      </xdr:nvCxnSpPr>
      <xdr:spPr>
        <a:xfrm>
          <a:off x="16533638" y="6002777"/>
          <a:ext cx="0" cy="397211"/>
        </a:xfrm>
        <a:prstGeom prst="straightConnector1">
          <a:avLst/>
        </a:prstGeom>
        <a:ln>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171450</xdr:colOff>
      <xdr:row>23</xdr:row>
      <xdr:rowOff>209550</xdr:rowOff>
    </xdr:from>
    <xdr:to>
      <xdr:col>14</xdr:col>
      <xdr:colOff>523875</xdr:colOff>
      <xdr:row>25</xdr:row>
      <xdr:rowOff>114300</xdr:rowOff>
    </xdr:to>
    <xdr:sp macro="" textlink="">
      <xdr:nvSpPr>
        <xdr:cNvPr id="43" name="TextBox 42">
          <a:extLst>
            <a:ext uri="{FF2B5EF4-FFF2-40B4-BE49-F238E27FC236}">
              <a16:creationId xmlns:a16="http://schemas.microsoft.com/office/drawing/2014/main" id="{D08CFD62-8425-45B9-89D0-60F3CE39638E}"/>
            </a:ext>
          </a:extLst>
        </xdr:cNvPr>
        <xdr:cNvSpPr txBox="1"/>
      </xdr:nvSpPr>
      <xdr:spPr>
        <a:xfrm>
          <a:off x="16554450" y="5153025"/>
          <a:ext cx="3524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h</a:t>
          </a:r>
        </a:p>
      </xdr:txBody>
    </xdr:sp>
    <xdr:clientData/>
  </xdr:twoCellAnchor>
  <xdr:twoCellAnchor>
    <xdr:from>
      <xdr:col>14</xdr:col>
      <xdr:colOff>133350</xdr:colOff>
      <xdr:row>17</xdr:row>
      <xdr:rowOff>47625</xdr:rowOff>
    </xdr:from>
    <xdr:to>
      <xdr:col>14</xdr:col>
      <xdr:colOff>485775</xdr:colOff>
      <xdr:row>19</xdr:row>
      <xdr:rowOff>28575</xdr:rowOff>
    </xdr:to>
    <xdr:sp macro="" textlink="">
      <xdr:nvSpPr>
        <xdr:cNvPr id="44" name="TextBox 43">
          <a:extLst>
            <a:ext uri="{FF2B5EF4-FFF2-40B4-BE49-F238E27FC236}">
              <a16:creationId xmlns:a16="http://schemas.microsoft.com/office/drawing/2014/main" id="{63C899EE-E17A-4BF2-AD1E-A2270C3F292C}"/>
            </a:ext>
          </a:extLst>
        </xdr:cNvPr>
        <xdr:cNvSpPr txBox="1"/>
      </xdr:nvSpPr>
      <xdr:spPr>
        <a:xfrm>
          <a:off x="16516350" y="3819525"/>
          <a:ext cx="3524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h</a:t>
          </a:r>
        </a:p>
      </xdr:txBody>
    </xdr:sp>
    <xdr:clientData/>
  </xdr:twoCellAnchor>
  <xdr:twoCellAnchor>
    <xdr:from>
      <xdr:col>14</xdr:col>
      <xdr:colOff>152400</xdr:colOff>
      <xdr:row>11</xdr:row>
      <xdr:rowOff>47625</xdr:rowOff>
    </xdr:from>
    <xdr:to>
      <xdr:col>14</xdr:col>
      <xdr:colOff>504825</xdr:colOff>
      <xdr:row>13</xdr:row>
      <xdr:rowOff>28575</xdr:rowOff>
    </xdr:to>
    <xdr:sp macro="" textlink="">
      <xdr:nvSpPr>
        <xdr:cNvPr id="45" name="TextBox 44">
          <a:extLst>
            <a:ext uri="{FF2B5EF4-FFF2-40B4-BE49-F238E27FC236}">
              <a16:creationId xmlns:a16="http://schemas.microsoft.com/office/drawing/2014/main" id="{C5D59F80-82B4-49E7-A1F7-8688A69DA6F2}"/>
            </a:ext>
          </a:extLst>
        </xdr:cNvPr>
        <xdr:cNvSpPr txBox="1"/>
      </xdr:nvSpPr>
      <xdr:spPr>
        <a:xfrm>
          <a:off x="16535400" y="2562225"/>
          <a:ext cx="3524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h</a:t>
          </a:r>
        </a:p>
      </xdr:txBody>
    </xdr:sp>
    <xdr:clientData/>
  </xdr:twoCellAnchor>
  <xdr:twoCellAnchor>
    <xdr:from>
      <xdr:col>6</xdr:col>
      <xdr:colOff>123264</xdr:colOff>
      <xdr:row>27</xdr:row>
      <xdr:rowOff>67236</xdr:rowOff>
    </xdr:from>
    <xdr:to>
      <xdr:col>8</xdr:col>
      <xdr:colOff>591767</xdr:colOff>
      <xdr:row>28</xdr:row>
      <xdr:rowOff>180826</xdr:rowOff>
    </xdr:to>
    <xdr:sp macro="" textlink="">
      <xdr:nvSpPr>
        <xdr:cNvPr id="4" name="TextBox 3">
          <a:extLst>
            <a:ext uri="{FF2B5EF4-FFF2-40B4-BE49-F238E27FC236}">
              <a16:creationId xmlns:a16="http://schemas.microsoft.com/office/drawing/2014/main" id="{12473F54-1400-4968-ADCD-A00131F8CD91}"/>
            </a:ext>
          </a:extLst>
        </xdr:cNvPr>
        <xdr:cNvSpPr txBox="1"/>
      </xdr:nvSpPr>
      <xdr:spPr>
        <a:xfrm>
          <a:off x="11631705" y="5614148"/>
          <a:ext cx="1678738" cy="304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none"/>
            <a:t>TOS </a:t>
          </a:r>
          <a:r>
            <a:rPr lang="en-US" sz="1200" u="none" baseline="0"/>
            <a:t>EL</a:t>
          </a:r>
          <a:r>
            <a:rPr lang="en-US" sz="1200" u="none"/>
            <a:t> 632</a:t>
          </a:r>
          <a:r>
            <a:rPr lang="en-US" sz="1200" u="none" baseline="0"/>
            <a:t>.760 m   </a:t>
          </a:r>
          <a:endParaRPr lang="en-US" sz="1200" u="none"/>
        </a:p>
      </xdr:txBody>
    </xdr:sp>
    <xdr:clientData/>
  </xdr:twoCellAnchor>
  <xdr:twoCellAnchor>
    <xdr:from>
      <xdr:col>6</xdr:col>
      <xdr:colOff>231590</xdr:colOff>
      <xdr:row>28</xdr:row>
      <xdr:rowOff>94784</xdr:rowOff>
    </xdr:from>
    <xdr:to>
      <xdr:col>8</xdr:col>
      <xdr:colOff>436029</xdr:colOff>
      <xdr:row>28</xdr:row>
      <xdr:rowOff>94784</xdr:rowOff>
    </xdr:to>
    <xdr:cxnSp macro="">
      <xdr:nvCxnSpPr>
        <xdr:cNvPr id="11" name="Straight Connector 10">
          <a:extLst>
            <a:ext uri="{FF2B5EF4-FFF2-40B4-BE49-F238E27FC236}">
              <a16:creationId xmlns:a16="http://schemas.microsoft.com/office/drawing/2014/main" id="{1A62E175-3017-448F-A912-29A15C87A16E}"/>
            </a:ext>
          </a:extLst>
        </xdr:cNvPr>
        <xdr:cNvCxnSpPr/>
      </xdr:nvCxnSpPr>
      <xdr:spPr>
        <a:xfrm>
          <a:off x="11740031" y="5832196"/>
          <a:ext cx="1414674"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599658</xdr:colOff>
      <xdr:row>25</xdr:row>
      <xdr:rowOff>220941</xdr:rowOff>
    </xdr:from>
    <xdr:to>
      <xdr:col>14</xdr:col>
      <xdr:colOff>280406</xdr:colOff>
      <xdr:row>25</xdr:row>
      <xdr:rowOff>220941</xdr:rowOff>
    </xdr:to>
    <xdr:cxnSp macro="">
      <xdr:nvCxnSpPr>
        <xdr:cNvPr id="21" name="Straight Connector 20">
          <a:extLst>
            <a:ext uri="{FF2B5EF4-FFF2-40B4-BE49-F238E27FC236}">
              <a16:creationId xmlns:a16="http://schemas.microsoft.com/office/drawing/2014/main" id="{B3790E2B-A823-46C5-9400-F011D7456B74}"/>
            </a:ext>
          </a:extLst>
        </xdr:cNvPr>
        <xdr:cNvCxnSpPr/>
      </xdr:nvCxnSpPr>
      <xdr:spPr>
        <a:xfrm>
          <a:off x="16358467" y="5368494"/>
          <a:ext cx="28872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152092</xdr:colOff>
      <xdr:row>21</xdr:row>
      <xdr:rowOff>145915</xdr:rowOff>
    </xdr:from>
    <xdr:to>
      <xdr:col>14</xdr:col>
      <xdr:colOff>152092</xdr:colOff>
      <xdr:row>25</xdr:row>
      <xdr:rowOff>221304</xdr:rowOff>
    </xdr:to>
    <xdr:cxnSp macro="">
      <xdr:nvCxnSpPr>
        <xdr:cNvPr id="27" name="Straight Arrow Connector 26">
          <a:extLst>
            <a:ext uri="{FF2B5EF4-FFF2-40B4-BE49-F238E27FC236}">
              <a16:creationId xmlns:a16="http://schemas.microsoft.com/office/drawing/2014/main" id="{EED6168E-75E9-4277-A381-C10AD9232A0A}"/>
            </a:ext>
          </a:extLst>
        </xdr:cNvPr>
        <xdr:cNvCxnSpPr/>
      </xdr:nvCxnSpPr>
      <xdr:spPr>
        <a:xfrm>
          <a:off x="16518879" y="4450404"/>
          <a:ext cx="0" cy="918453"/>
        </a:xfrm>
        <a:prstGeom prst="straightConnector1">
          <a:avLst/>
        </a:prstGeom>
        <a:ln>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185737</xdr:colOff>
      <xdr:row>26</xdr:row>
      <xdr:rowOff>175452</xdr:rowOff>
    </xdr:from>
    <xdr:to>
      <xdr:col>14</xdr:col>
      <xdr:colOff>538162</xdr:colOff>
      <xdr:row>28</xdr:row>
      <xdr:rowOff>152399</xdr:rowOff>
    </xdr:to>
    <xdr:sp macro="" textlink="">
      <xdr:nvSpPr>
        <xdr:cNvPr id="29" name="TextBox 28">
          <a:extLst>
            <a:ext uri="{FF2B5EF4-FFF2-40B4-BE49-F238E27FC236}">
              <a16:creationId xmlns:a16="http://schemas.microsoft.com/office/drawing/2014/main" id="{69850EDD-6FC4-F8D3-BCFE-73B1F7836C39}"/>
            </a:ext>
          </a:extLst>
        </xdr:cNvPr>
        <xdr:cNvSpPr txBox="1"/>
      </xdr:nvSpPr>
      <xdr:spPr>
        <a:xfrm>
          <a:off x="16552524" y="5549984"/>
          <a:ext cx="352425" cy="357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h</a:t>
          </a:r>
        </a:p>
      </xdr:txBody>
    </xdr:sp>
    <xdr:clientData/>
  </xdr:twoCellAnchor>
  <xdr:twoCellAnchor>
    <xdr:from>
      <xdr:col>14</xdr:col>
      <xdr:colOff>212488</xdr:colOff>
      <xdr:row>29</xdr:row>
      <xdr:rowOff>64395</xdr:rowOff>
    </xdr:from>
    <xdr:to>
      <xdr:col>14</xdr:col>
      <xdr:colOff>564913</xdr:colOff>
      <xdr:row>30</xdr:row>
      <xdr:rowOff>195364</xdr:rowOff>
    </xdr:to>
    <xdr:sp macro="" textlink="">
      <xdr:nvSpPr>
        <xdr:cNvPr id="32" name="TextBox 31">
          <a:extLst>
            <a:ext uri="{FF2B5EF4-FFF2-40B4-BE49-F238E27FC236}">
              <a16:creationId xmlns:a16="http://schemas.microsoft.com/office/drawing/2014/main" id="{34530EA5-7659-4162-AC85-4A593419CE3F}"/>
            </a:ext>
          </a:extLst>
        </xdr:cNvPr>
        <xdr:cNvSpPr txBox="1"/>
      </xdr:nvSpPr>
      <xdr:spPr>
        <a:xfrm>
          <a:off x="16579275" y="6046906"/>
          <a:ext cx="352425" cy="357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h</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28832</xdr:colOff>
      <xdr:row>14</xdr:row>
      <xdr:rowOff>151710</xdr:rowOff>
    </xdr:from>
    <xdr:to>
      <xdr:col>5</xdr:col>
      <xdr:colOff>969884</xdr:colOff>
      <xdr:row>42</xdr:row>
      <xdr:rowOff>36635</xdr:rowOff>
    </xdr:to>
    <xdr:pic>
      <xdr:nvPicPr>
        <xdr:cNvPr id="2" name="Picture 1">
          <a:extLst>
            <a:ext uri="{FF2B5EF4-FFF2-40B4-BE49-F238E27FC236}">
              <a16:creationId xmlns:a16="http://schemas.microsoft.com/office/drawing/2014/main" id="{B4E72D84-5469-2728-2B15-1CC3A4FFB62F}"/>
            </a:ext>
          </a:extLst>
        </xdr:cNvPr>
        <xdr:cNvPicPr>
          <a:picLocks noChangeAspect="1"/>
        </xdr:cNvPicPr>
      </xdr:nvPicPr>
      <xdr:blipFill>
        <a:blip xmlns:r="http://schemas.openxmlformats.org/officeDocument/2006/relationships" r:embed="rId1"/>
        <a:stretch>
          <a:fillRect/>
        </a:stretch>
      </xdr:blipFill>
      <xdr:spPr>
        <a:xfrm>
          <a:off x="3216044" y="3610018"/>
          <a:ext cx="1856917" cy="5218925"/>
        </a:xfrm>
        <a:prstGeom prst="rect">
          <a:avLst/>
        </a:prstGeom>
      </xdr:spPr>
    </xdr:pic>
    <xdr:clientData/>
  </xdr:twoCellAnchor>
  <xdr:twoCellAnchor>
    <xdr:from>
      <xdr:col>5</xdr:col>
      <xdr:colOff>1025769</xdr:colOff>
      <xdr:row>38</xdr:row>
      <xdr:rowOff>131885</xdr:rowOff>
    </xdr:from>
    <xdr:to>
      <xdr:col>7</xdr:col>
      <xdr:colOff>748219</xdr:colOff>
      <xdr:row>40</xdr:row>
      <xdr:rowOff>54976</xdr:rowOff>
    </xdr:to>
    <xdr:sp macro="" textlink="">
      <xdr:nvSpPr>
        <xdr:cNvPr id="3" name="TextBox 2">
          <a:extLst>
            <a:ext uri="{FF2B5EF4-FFF2-40B4-BE49-F238E27FC236}">
              <a16:creationId xmlns:a16="http://schemas.microsoft.com/office/drawing/2014/main" id="{8212DC72-080B-404E-8E30-B364B6616F4E}"/>
            </a:ext>
          </a:extLst>
        </xdr:cNvPr>
        <xdr:cNvSpPr txBox="1"/>
      </xdr:nvSpPr>
      <xdr:spPr>
        <a:xfrm>
          <a:off x="5128846" y="8162193"/>
          <a:ext cx="1678738" cy="304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none"/>
            <a:t>TOS </a:t>
          </a:r>
          <a:r>
            <a:rPr lang="en-US" sz="1200" u="none" baseline="0"/>
            <a:t>EL</a:t>
          </a:r>
          <a:r>
            <a:rPr lang="en-US" sz="1200" u="none"/>
            <a:t> 632</a:t>
          </a:r>
          <a:r>
            <a:rPr lang="en-US" sz="1200" u="none" baseline="0"/>
            <a:t>.100 m   </a:t>
          </a:r>
          <a:endParaRPr lang="en-US" sz="1200" u="none"/>
        </a:p>
      </xdr:txBody>
    </xdr:sp>
    <xdr:clientData/>
  </xdr:twoCellAnchor>
  <xdr:twoCellAnchor>
    <xdr:from>
      <xdr:col>5</xdr:col>
      <xdr:colOff>804384</xdr:colOff>
      <xdr:row>39</xdr:row>
      <xdr:rowOff>159434</xdr:rowOff>
    </xdr:from>
    <xdr:to>
      <xdr:col>7</xdr:col>
      <xdr:colOff>262770</xdr:colOff>
      <xdr:row>39</xdr:row>
      <xdr:rowOff>159434</xdr:rowOff>
    </xdr:to>
    <xdr:cxnSp macro="">
      <xdr:nvCxnSpPr>
        <xdr:cNvPr id="4" name="Straight Connector 3">
          <a:extLst>
            <a:ext uri="{FF2B5EF4-FFF2-40B4-BE49-F238E27FC236}">
              <a16:creationId xmlns:a16="http://schemas.microsoft.com/office/drawing/2014/main" id="{C2969122-1420-4291-B895-C158BD4DD8DF}"/>
            </a:ext>
          </a:extLst>
        </xdr:cNvPr>
        <xdr:cNvCxnSpPr/>
      </xdr:nvCxnSpPr>
      <xdr:spPr>
        <a:xfrm>
          <a:off x="4907461" y="8380242"/>
          <a:ext cx="1414674"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1024303</xdr:colOff>
      <xdr:row>39</xdr:row>
      <xdr:rowOff>181708</xdr:rowOff>
    </xdr:from>
    <xdr:to>
      <xdr:col>7</xdr:col>
      <xdr:colOff>746753</xdr:colOff>
      <xdr:row>41</xdr:row>
      <xdr:rowOff>104799</xdr:rowOff>
    </xdr:to>
    <xdr:sp macro="" textlink="">
      <xdr:nvSpPr>
        <xdr:cNvPr id="5" name="TextBox 4">
          <a:extLst>
            <a:ext uri="{FF2B5EF4-FFF2-40B4-BE49-F238E27FC236}">
              <a16:creationId xmlns:a16="http://schemas.microsoft.com/office/drawing/2014/main" id="{5718F19D-078F-4ADC-89EC-1D92F2D423FC}"/>
            </a:ext>
          </a:extLst>
        </xdr:cNvPr>
        <xdr:cNvSpPr txBox="1"/>
      </xdr:nvSpPr>
      <xdr:spPr>
        <a:xfrm>
          <a:off x="5127380" y="8402516"/>
          <a:ext cx="1678738" cy="304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U/S BP</a:t>
          </a:r>
          <a:r>
            <a:rPr lang="en-US" sz="1200" baseline="0">
              <a:solidFill>
                <a:schemeClr val="dk1"/>
              </a:solidFill>
              <a:effectLst/>
              <a:latin typeface="+mn-lt"/>
              <a:ea typeface="+mn-ea"/>
              <a:cs typeface="+mn-cs"/>
            </a:rPr>
            <a:t> EL</a:t>
          </a:r>
          <a:r>
            <a:rPr lang="en-US" sz="1200">
              <a:solidFill>
                <a:schemeClr val="dk1"/>
              </a:solidFill>
              <a:effectLst/>
              <a:latin typeface="+mn-lt"/>
              <a:ea typeface="+mn-ea"/>
              <a:cs typeface="+mn-cs"/>
            </a:rPr>
            <a:t> 631.650 m</a:t>
          </a:r>
          <a:endParaRPr lang="en-US" sz="1400">
            <a:effectLst/>
          </a:endParaRPr>
        </a:p>
      </xdr:txBody>
    </xdr:sp>
    <xdr:clientData/>
  </xdr:twoCellAnchor>
  <xdr:twoCellAnchor>
    <xdr:from>
      <xdr:col>5</xdr:col>
      <xdr:colOff>854207</xdr:colOff>
      <xdr:row>41</xdr:row>
      <xdr:rowOff>26084</xdr:rowOff>
    </xdr:from>
    <xdr:to>
      <xdr:col>7</xdr:col>
      <xdr:colOff>312593</xdr:colOff>
      <xdr:row>41</xdr:row>
      <xdr:rowOff>26084</xdr:rowOff>
    </xdr:to>
    <xdr:cxnSp macro="">
      <xdr:nvCxnSpPr>
        <xdr:cNvPr id="6" name="Straight Connector 5">
          <a:extLst>
            <a:ext uri="{FF2B5EF4-FFF2-40B4-BE49-F238E27FC236}">
              <a16:creationId xmlns:a16="http://schemas.microsoft.com/office/drawing/2014/main" id="{9AC033C7-5997-4699-A054-780D7BA88F74}"/>
            </a:ext>
          </a:extLst>
        </xdr:cNvPr>
        <xdr:cNvCxnSpPr/>
      </xdr:nvCxnSpPr>
      <xdr:spPr>
        <a:xfrm>
          <a:off x="4957284" y="8627892"/>
          <a:ext cx="1414674"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1016977</xdr:colOff>
      <xdr:row>32</xdr:row>
      <xdr:rowOff>57151</xdr:rowOff>
    </xdr:from>
    <xdr:to>
      <xdr:col>7</xdr:col>
      <xdr:colOff>739427</xdr:colOff>
      <xdr:row>33</xdr:row>
      <xdr:rowOff>170742</xdr:rowOff>
    </xdr:to>
    <xdr:sp macro="" textlink="">
      <xdr:nvSpPr>
        <xdr:cNvPr id="7" name="TextBox 6">
          <a:extLst>
            <a:ext uri="{FF2B5EF4-FFF2-40B4-BE49-F238E27FC236}">
              <a16:creationId xmlns:a16="http://schemas.microsoft.com/office/drawing/2014/main" id="{0E68FAE3-B4FE-348F-480D-25247191789B}"/>
            </a:ext>
          </a:extLst>
        </xdr:cNvPr>
        <xdr:cNvSpPr txBox="1"/>
      </xdr:nvSpPr>
      <xdr:spPr>
        <a:xfrm>
          <a:off x="5120054" y="6944459"/>
          <a:ext cx="1678738" cy="304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none"/>
            <a:t>TOS </a:t>
          </a:r>
          <a:r>
            <a:rPr lang="en-US" sz="1200" u="none" baseline="0"/>
            <a:t>EL</a:t>
          </a:r>
          <a:r>
            <a:rPr lang="en-US" sz="1200" u="none"/>
            <a:t> 634.400</a:t>
          </a:r>
          <a:r>
            <a:rPr lang="en-US" sz="1200" u="none" baseline="0"/>
            <a:t> m   </a:t>
          </a:r>
          <a:endParaRPr lang="en-US" sz="1200" u="none"/>
        </a:p>
      </xdr:txBody>
    </xdr:sp>
    <xdr:clientData/>
  </xdr:twoCellAnchor>
  <xdr:twoCellAnchor>
    <xdr:from>
      <xdr:col>5</xdr:col>
      <xdr:colOff>795592</xdr:colOff>
      <xdr:row>33</xdr:row>
      <xdr:rowOff>84700</xdr:rowOff>
    </xdr:from>
    <xdr:to>
      <xdr:col>7</xdr:col>
      <xdr:colOff>253978</xdr:colOff>
      <xdr:row>33</xdr:row>
      <xdr:rowOff>84700</xdr:rowOff>
    </xdr:to>
    <xdr:cxnSp macro="">
      <xdr:nvCxnSpPr>
        <xdr:cNvPr id="8" name="Straight Connector 7">
          <a:extLst>
            <a:ext uri="{FF2B5EF4-FFF2-40B4-BE49-F238E27FC236}">
              <a16:creationId xmlns:a16="http://schemas.microsoft.com/office/drawing/2014/main" id="{F7489454-EECA-D322-5CC9-56E62CB27888}"/>
            </a:ext>
          </a:extLst>
        </xdr:cNvPr>
        <xdr:cNvCxnSpPr/>
      </xdr:nvCxnSpPr>
      <xdr:spPr>
        <a:xfrm>
          <a:off x="4898669" y="7162508"/>
          <a:ext cx="1414674"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xdr:colOff>
      <xdr:row>24</xdr:row>
      <xdr:rowOff>187570</xdr:rowOff>
    </xdr:from>
    <xdr:to>
      <xdr:col>7</xdr:col>
      <xdr:colOff>781923</xdr:colOff>
      <xdr:row>26</xdr:row>
      <xdr:rowOff>110661</xdr:rowOff>
    </xdr:to>
    <xdr:sp macro="" textlink="">
      <xdr:nvSpPr>
        <xdr:cNvPr id="9" name="TextBox 8">
          <a:extLst>
            <a:ext uri="{FF2B5EF4-FFF2-40B4-BE49-F238E27FC236}">
              <a16:creationId xmlns:a16="http://schemas.microsoft.com/office/drawing/2014/main" id="{FA456A01-C9B7-475C-8E2E-007CB1335269}"/>
            </a:ext>
          </a:extLst>
        </xdr:cNvPr>
        <xdr:cNvSpPr txBox="1"/>
      </xdr:nvSpPr>
      <xdr:spPr>
        <a:xfrm>
          <a:off x="5162550" y="5550878"/>
          <a:ext cx="1678738" cy="304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none"/>
            <a:t>TOS </a:t>
          </a:r>
          <a:r>
            <a:rPr lang="en-US" sz="1200" u="none" baseline="0"/>
            <a:t>EL</a:t>
          </a:r>
          <a:r>
            <a:rPr lang="en-US" sz="1200" u="none"/>
            <a:t> 637.050</a:t>
          </a:r>
          <a:r>
            <a:rPr lang="en-US" sz="1200" u="none" baseline="0"/>
            <a:t> m   </a:t>
          </a:r>
          <a:endParaRPr lang="en-US" sz="1200" u="none"/>
        </a:p>
      </xdr:txBody>
    </xdr:sp>
    <xdr:clientData/>
  </xdr:twoCellAnchor>
  <xdr:twoCellAnchor>
    <xdr:from>
      <xdr:col>5</xdr:col>
      <xdr:colOff>838088</xdr:colOff>
      <xdr:row>26</xdr:row>
      <xdr:rowOff>24619</xdr:rowOff>
    </xdr:from>
    <xdr:to>
      <xdr:col>7</xdr:col>
      <xdr:colOff>296474</xdr:colOff>
      <xdr:row>26</xdr:row>
      <xdr:rowOff>24619</xdr:rowOff>
    </xdr:to>
    <xdr:cxnSp macro="">
      <xdr:nvCxnSpPr>
        <xdr:cNvPr id="10" name="Straight Connector 9">
          <a:extLst>
            <a:ext uri="{FF2B5EF4-FFF2-40B4-BE49-F238E27FC236}">
              <a16:creationId xmlns:a16="http://schemas.microsoft.com/office/drawing/2014/main" id="{FB8132B2-0227-4B25-BBDB-5A37347F7324}"/>
            </a:ext>
          </a:extLst>
        </xdr:cNvPr>
        <xdr:cNvCxnSpPr/>
      </xdr:nvCxnSpPr>
      <xdr:spPr>
        <a:xfrm>
          <a:off x="4941165" y="5768927"/>
          <a:ext cx="1414674"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39565</xdr:colOff>
      <xdr:row>18</xdr:row>
      <xdr:rowOff>112835</xdr:rowOff>
    </xdr:from>
    <xdr:to>
      <xdr:col>7</xdr:col>
      <xdr:colOff>802438</xdr:colOff>
      <xdr:row>20</xdr:row>
      <xdr:rowOff>35926</xdr:rowOff>
    </xdr:to>
    <xdr:sp macro="" textlink="">
      <xdr:nvSpPr>
        <xdr:cNvPr id="11" name="TextBox 10">
          <a:extLst>
            <a:ext uri="{FF2B5EF4-FFF2-40B4-BE49-F238E27FC236}">
              <a16:creationId xmlns:a16="http://schemas.microsoft.com/office/drawing/2014/main" id="{417C46DD-925B-4BEC-AEE6-A070D6665A3F}"/>
            </a:ext>
          </a:extLst>
        </xdr:cNvPr>
        <xdr:cNvSpPr txBox="1"/>
      </xdr:nvSpPr>
      <xdr:spPr>
        <a:xfrm>
          <a:off x="5183065" y="4333143"/>
          <a:ext cx="1678738" cy="304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none"/>
            <a:t>TOS </a:t>
          </a:r>
          <a:r>
            <a:rPr lang="en-US" sz="1200" u="none" baseline="0"/>
            <a:t>EL</a:t>
          </a:r>
          <a:r>
            <a:rPr lang="en-US" sz="1200" u="none"/>
            <a:t> 639.350</a:t>
          </a:r>
          <a:r>
            <a:rPr lang="en-US" sz="1200" u="none" baseline="0"/>
            <a:t> m   </a:t>
          </a:r>
          <a:endParaRPr lang="en-US" sz="1200" u="none"/>
        </a:p>
      </xdr:txBody>
    </xdr:sp>
    <xdr:clientData/>
  </xdr:twoCellAnchor>
  <xdr:twoCellAnchor>
    <xdr:from>
      <xdr:col>5</xdr:col>
      <xdr:colOff>858603</xdr:colOff>
      <xdr:row>19</xdr:row>
      <xdr:rowOff>140384</xdr:rowOff>
    </xdr:from>
    <xdr:to>
      <xdr:col>7</xdr:col>
      <xdr:colOff>316989</xdr:colOff>
      <xdr:row>19</xdr:row>
      <xdr:rowOff>140384</xdr:rowOff>
    </xdr:to>
    <xdr:cxnSp macro="">
      <xdr:nvCxnSpPr>
        <xdr:cNvPr id="12" name="Straight Connector 11">
          <a:extLst>
            <a:ext uri="{FF2B5EF4-FFF2-40B4-BE49-F238E27FC236}">
              <a16:creationId xmlns:a16="http://schemas.microsoft.com/office/drawing/2014/main" id="{CFBC49D8-0D69-422F-A0E7-A37389A45948}"/>
            </a:ext>
          </a:extLst>
        </xdr:cNvPr>
        <xdr:cNvCxnSpPr/>
      </xdr:nvCxnSpPr>
      <xdr:spPr>
        <a:xfrm>
          <a:off x="4961680" y="4551192"/>
          <a:ext cx="1414674"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74734</xdr:colOff>
      <xdr:row>14</xdr:row>
      <xdr:rowOff>133350</xdr:rowOff>
    </xdr:from>
    <xdr:to>
      <xdr:col>7</xdr:col>
      <xdr:colOff>837607</xdr:colOff>
      <xdr:row>16</xdr:row>
      <xdr:rowOff>56441</xdr:rowOff>
    </xdr:to>
    <xdr:sp macro="" textlink="">
      <xdr:nvSpPr>
        <xdr:cNvPr id="13" name="TextBox 12">
          <a:extLst>
            <a:ext uri="{FF2B5EF4-FFF2-40B4-BE49-F238E27FC236}">
              <a16:creationId xmlns:a16="http://schemas.microsoft.com/office/drawing/2014/main" id="{0B7A7044-2F53-4AF3-8934-3C6CE92D175D}"/>
            </a:ext>
          </a:extLst>
        </xdr:cNvPr>
        <xdr:cNvSpPr txBox="1"/>
      </xdr:nvSpPr>
      <xdr:spPr>
        <a:xfrm>
          <a:off x="5218234" y="3591658"/>
          <a:ext cx="1678738" cy="304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none"/>
            <a:t>TOS </a:t>
          </a:r>
          <a:r>
            <a:rPr lang="en-US" sz="1200" u="none" baseline="0"/>
            <a:t>EL</a:t>
          </a:r>
          <a:r>
            <a:rPr lang="en-US" sz="1200" u="none"/>
            <a:t> 640.750</a:t>
          </a:r>
          <a:r>
            <a:rPr lang="en-US" sz="1200" u="none" baseline="0"/>
            <a:t> m   </a:t>
          </a:r>
          <a:endParaRPr lang="en-US" sz="1200" u="none"/>
        </a:p>
      </xdr:txBody>
    </xdr:sp>
    <xdr:clientData/>
  </xdr:twoCellAnchor>
  <xdr:twoCellAnchor>
    <xdr:from>
      <xdr:col>5</xdr:col>
      <xdr:colOff>893772</xdr:colOff>
      <xdr:row>15</xdr:row>
      <xdr:rowOff>160899</xdr:rowOff>
    </xdr:from>
    <xdr:to>
      <xdr:col>7</xdr:col>
      <xdr:colOff>352158</xdr:colOff>
      <xdr:row>15</xdr:row>
      <xdr:rowOff>160899</xdr:rowOff>
    </xdr:to>
    <xdr:cxnSp macro="">
      <xdr:nvCxnSpPr>
        <xdr:cNvPr id="14" name="Straight Connector 13">
          <a:extLst>
            <a:ext uri="{FF2B5EF4-FFF2-40B4-BE49-F238E27FC236}">
              <a16:creationId xmlns:a16="http://schemas.microsoft.com/office/drawing/2014/main" id="{FAE6A4C5-4109-487A-B050-67BA2ABC5204}"/>
            </a:ext>
          </a:extLst>
        </xdr:cNvPr>
        <xdr:cNvCxnSpPr/>
      </xdr:nvCxnSpPr>
      <xdr:spPr>
        <a:xfrm>
          <a:off x="4996849" y="3809707"/>
          <a:ext cx="1414674"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728382</xdr:colOff>
      <xdr:row>9</xdr:row>
      <xdr:rowOff>11206</xdr:rowOff>
    </xdr:from>
    <xdr:to>
      <xdr:col>16</xdr:col>
      <xdr:colOff>448236</xdr:colOff>
      <xdr:row>16</xdr:row>
      <xdr:rowOff>11205</xdr:rowOff>
    </xdr:to>
    <xdr:cxnSp macro="">
      <xdr:nvCxnSpPr>
        <xdr:cNvPr id="17" name="Straight Arrow Connector 16">
          <a:extLst>
            <a:ext uri="{FF2B5EF4-FFF2-40B4-BE49-F238E27FC236}">
              <a16:creationId xmlns:a16="http://schemas.microsoft.com/office/drawing/2014/main" id="{CFABFF35-6043-4CFD-9F45-84D4A3FB3BE3}"/>
            </a:ext>
          </a:extLst>
        </xdr:cNvPr>
        <xdr:cNvCxnSpPr/>
      </xdr:nvCxnSpPr>
      <xdr:spPr>
        <a:xfrm flipV="1">
          <a:off x="12561794" y="2510118"/>
          <a:ext cx="1378324" cy="1355911"/>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300038</xdr:colOff>
      <xdr:row>9</xdr:row>
      <xdr:rowOff>105179</xdr:rowOff>
    </xdr:from>
    <xdr:to>
      <xdr:col>14</xdr:col>
      <xdr:colOff>167227</xdr:colOff>
      <xdr:row>32</xdr:row>
      <xdr:rowOff>63728</xdr:rowOff>
    </xdr:to>
    <xdr:pic>
      <xdr:nvPicPr>
        <xdr:cNvPr id="29" name="Picture 28">
          <a:extLst>
            <a:ext uri="{FF2B5EF4-FFF2-40B4-BE49-F238E27FC236}">
              <a16:creationId xmlns:a16="http://schemas.microsoft.com/office/drawing/2014/main" id="{CFA4FE26-848C-F2EA-C2FD-9C178F3DF92F}"/>
            </a:ext>
          </a:extLst>
        </xdr:cNvPr>
        <xdr:cNvPicPr>
          <a:picLocks noChangeAspect="1"/>
        </xdr:cNvPicPr>
      </xdr:nvPicPr>
      <xdr:blipFill>
        <a:blip xmlns:r="http://schemas.openxmlformats.org/officeDocument/2006/relationships" r:embed="rId1"/>
        <a:stretch>
          <a:fillRect/>
        </a:stretch>
      </xdr:blipFill>
      <xdr:spPr>
        <a:xfrm>
          <a:off x="12021741" y="2164960"/>
          <a:ext cx="4117719" cy="4762721"/>
        </a:xfrm>
        <a:prstGeom prst="rect">
          <a:avLst/>
        </a:prstGeom>
      </xdr:spPr>
    </xdr:pic>
    <xdr:clientData/>
  </xdr:twoCellAnchor>
  <xdr:twoCellAnchor>
    <xdr:from>
      <xdr:col>6</xdr:col>
      <xdr:colOff>152400</xdr:colOff>
      <xdr:row>30</xdr:row>
      <xdr:rowOff>227</xdr:rowOff>
    </xdr:from>
    <xdr:to>
      <xdr:col>9</xdr:col>
      <xdr:colOff>11303</xdr:colOff>
      <xdr:row>31</xdr:row>
      <xdr:rowOff>84682</xdr:rowOff>
    </xdr:to>
    <xdr:sp macro="" textlink="">
      <xdr:nvSpPr>
        <xdr:cNvPr id="3" name="TextBox 2">
          <a:extLst>
            <a:ext uri="{FF2B5EF4-FFF2-40B4-BE49-F238E27FC236}">
              <a16:creationId xmlns:a16="http://schemas.microsoft.com/office/drawing/2014/main" id="{34776FD6-431F-4B46-8DF2-9FA4093D7C1D}"/>
            </a:ext>
          </a:extLst>
        </xdr:cNvPr>
        <xdr:cNvSpPr txBox="1"/>
      </xdr:nvSpPr>
      <xdr:spPr>
        <a:xfrm>
          <a:off x="11658600" y="6467702"/>
          <a:ext cx="1687703" cy="313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none"/>
            <a:t>U/S BP</a:t>
          </a:r>
          <a:r>
            <a:rPr lang="en-US" sz="1200" u="none" baseline="0"/>
            <a:t> EL</a:t>
          </a:r>
          <a:r>
            <a:rPr lang="en-US" sz="1200" u="none"/>
            <a:t> 631.650 m</a:t>
          </a:r>
        </a:p>
      </xdr:txBody>
    </xdr:sp>
    <xdr:clientData/>
  </xdr:twoCellAnchor>
  <xdr:twoCellAnchor>
    <xdr:from>
      <xdr:col>6</xdr:col>
      <xdr:colOff>0</xdr:colOff>
      <xdr:row>26</xdr:row>
      <xdr:rowOff>136927</xdr:rowOff>
    </xdr:from>
    <xdr:to>
      <xdr:col>8</xdr:col>
      <xdr:colOff>408897</xdr:colOff>
      <xdr:row>28</xdr:row>
      <xdr:rowOff>69913</xdr:rowOff>
    </xdr:to>
    <xdr:sp macro="" textlink="">
      <xdr:nvSpPr>
        <xdr:cNvPr id="4" name="TextBox 3">
          <a:extLst>
            <a:ext uri="{FF2B5EF4-FFF2-40B4-BE49-F238E27FC236}">
              <a16:creationId xmlns:a16="http://schemas.microsoft.com/office/drawing/2014/main" id="{F1475941-869A-4632-8354-9B7757C6995E}"/>
            </a:ext>
          </a:extLst>
        </xdr:cNvPr>
        <xdr:cNvSpPr txBox="1"/>
      </xdr:nvSpPr>
      <xdr:spPr>
        <a:xfrm>
          <a:off x="11058242" y="5793949"/>
          <a:ext cx="1700025" cy="313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none"/>
            <a:t>TOS </a:t>
          </a:r>
          <a:r>
            <a:rPr lang="en-US" sz="1200" u="none" baseline="0"/>
            <a:t>EL</a:t>
          </a:r>
          <a:r>
            <a:rPr lang="en-US" sz="1200" u="none"/>
            <a:t> 633.065</a:t>
          </a:r>
          <a:r>
            <a:rPr lang="en-US" sz="1200" u="none" baseline="0"/>
            <a:t> m   </a:t>
          </a:r>
          <a:endParaRPr lang="en-US" sz="1200" u="none"/>
        </a:p>
      </xdr:txBody>
    </xdr:sp>
    <xdr:clientData/>
  </xdr:twoCellAnchor>
  <xdr:twoCellAnchor>
    <xdr:from>
      <xdr:col>6</xdr:col>
      <xdr:colOff>208360</xdr:colOff>
      <xdr:row>23</xdr:row>
      <xdr:rowOff>112486</xdr:rowOff>
    </xdr:from>
    <xdr:to>
      <xdr:col>9</xdr:col>
      <xdr:colOff>67263</xdr:colOff>
      <xdr:row>24</xdr:row>
      <xdr:rowOff>196941</xdr:rowOff>
    </xdr:to>
    <xdr:sp macro="" textlink="">
      <xdr:nvSpPr>
        <xdr:cNvPr id="5" name="TextBox 4">
          <a:extLst>
            <a:ext uri="{FF2B5EF4-FFF2-40B4-BE49-F238E27FC236}">
              <a16:creationId xmlns:a16="http://schemas.microsoft.com/office/drawing/2014/main" id="{EA8D5778-F0D9-494C-9259-65D7938DE92D}"/>
            </a:ext>
          </a:extLst>
        </xdr:cNvPr>
        <xdr:cNvSpPr txBox="1"/>
      </xdr:nvSpPr>
      <xdr:spPr>
        <a:xfrm>
          <a:off x="11322844" y="5047627"/>
          <a:ext cx="1680560" cy="310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none"/>
            <a:t>TOS </a:t>
          </a:r>
          <a:r>
            <a:rPr lang="en-US" sz="1200" u="none" baseline="0"/>
            <a:t>EL</a:t>
          </a:r>
          <a:r>
            <a:rPr lang="en-US" sz="1200" u="none"/>
            <a:t> 634.550 m</a:t>
          </a:r>
        </a:p>
      </xdr:txBody>
    </xdr:sp>
    <xdr:clientData/>
  </xdr:twoCellAnchor>
  <xdr:twoCellAnchor>
    <xdr:from>
      <xdr:col>6</xdr:col>
      <xdr:colOff>235064</xdr:colOff>
      <xdr:row>14</xdr:row>
      <xdr:rowOff>9242</xdr:rowOff>
    </xdr:from>
    <xdr:to>
      <xdr:col>9</xdr:col>
      <xdr:colOff>93967</xdr:colOff>
      <xdr:row>15</xdr:row>
      <xdr:rowOff>96079</xdr:rowOff>
    </xdr:to>
    <xdr:sp macro="" textlink="">
      <xdr:nvSpPr>
        <xdr:cNvPr id="6" name="TextBox 5">
          <a:extLst>
            <a:ext uri="{FF2B5EF4-FFF2-40B4-BE49-F238E27FC236}">
              <a16:creationId xmlns:a16="http://schemas.microsoft.com/office/drawing/2014/main" id="{8D21F780-90B8-4801-927F-384038524685}"/>
            </a:ext>
          </a:extLst>
        </xdr:cNvPr>
        <xdr:cNvSpPr txBox="1"/>
      </xdr:nvSpPr>
      <xdr:spPr>
        <a:xfrm>
          <a:off x="11349548" y="3128680"/>
          <a:ext cx="1680560" cy="313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none"/>
            <a:t>TOS </a:t>
          </a:r>
          <a:r>
            <a:rPr lang="en-US" sz="1200" u="none" baseline="0"/>
            <a:t>EL</a:t>
          </a:r>
          <a:r>
            <a:rPr lang="en-US" sz="1200" u="none"/>
            <a:t> 638.500 m</a:t>
          </a:r>
        </a:p>
      </xdr:txBody>
    </xdr:sp>
    <xdr:clientData/>
  </xdr:twoCellAnchor>
  <xdr:twoCellAnchor>
    <xdr:from>
      <xdr:col>6</xdr:col>
      <xdr:colOff>190501</xdr:colOff>
      <xdr:row>9</xdr:row>
      <xdr:rowOff>153819</xdr:rowOff>
    </xdr:from>
    <xdr:to>
      <xdr:col>9</xdr:col>
      <xdr:colOff>49404</xdr:colOff>
      <xdr:row>11</xdr:row>
      <xdr:rowOff>14436</xdr:rowOff>
    </xdr:to>
    <xdr:sp macro="" textlink="">
      <xdr:nvSpPr>
        <xdr:cNvPr id="7" name="TextBox 6">
          <a:extLst>
            <a:ext uri="{FF2B5EF4-FFF2-40B4-BE49-F238E27FC236}">
              <a16:creationId xmlns:a16="http://schemas.microsoft.com/office/drawing/2014/main" id="{DEB09384-1118-484D-BB6F-B052494BFCC0}"/>
            </a:ext>
          </a:extLst>
        </xdr:cNvPr>
        <xdr:cNvSpPr txBox="1"/>
      </xdr:nvSpPr>
      <xdr:spPr>
        <a:xfrm>
          <a:off x="11304985" y="2213600"/>
          <a:ext cx="1680560" cy="313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none"/>
            <a:t>TOS </a:t>
          </a:r>
          <a:r>
            <a:rPr lang="en-US" sz="1200" u="none" baseline="0"/>
            <a:t>EL</a:t>
          </a:r>
          <a:r>
            <a:rPr lang="en-US" sz="1200" u="none"/>
            <a:t> 640.400 m</a:t>
          </a:r>
        </a:p>
      </xdr:txBody>
    </xdr:sp>
    <xdr:clientData/>
  </xdr:twoCellAnchor>
  <xdr:twoCellAnchor>
    <xdr:from>
      <xdr:col>6</xdr:col>
      <xdr:colOff>282498</xdr:colOff>
      <xdr:row>10</xdr:row>
      <xdr:rowOff>138315</xdr:rowOff>
    </xdr:from>
    <xdr:to>
      <xdr:col>8</xdr:col>
      <xdr:colOff>486937</xdr:colOff>
      <xdr:row>10</xdr:row>
      <xdr:rowOff>138315</xdr:rowOff>
    </xdr:to>
    <xdr:cxnSp macro="">
      <xdr:nvCxnSpPr>
        <xdr:cNvPr id="10" name="Straight Connector 9">
          <a:extLst>
            <a:ext uri="{FF2B5EF4-FFF2-40B4-BE49-F238E27FC236}">
              <a16:creationId xmlns:a16="http://schemas.microsoft.com/office/drawing/2014/main" id="{6CEE3494-CE28-46CE-AF48-1BF0596B13B9}"/>
            </a:ext>
          </a:extLst>
        </xdr:cNvPr>
        <xdr:cNvCxnSpPr/>
      </xdr:nvCxnSpPr>
      <xdr:spPr>
        <a:xfrm>
          <a:off x="11406041" y="2432598"/>
          <a:ext cx="1430266"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309271</xdr:colOff>
      <xdr:row>15</xdr:row>
      <xdr:rowOff>5953</xdr:rowOff>
    </xdr:from>
    <xdr:to>
      <xdr:col>8</xdr:col>
      <xdr:colOff>513710</xdr:colOff>
      <xdr:row>15</xdr:row>
      <xdr:rowOff>5953</xdr:rowOff>
    </xdr:to>
    <xdr:cxnSp macro="">
      <xdr:nvCxnSpPr>
        <xdr:cNvPr id="11" name="Straight Connector 10">
          <a:extLst>
            <a:ext uri="{FF2B5EF4-FFF2-40B4-BE49-F238E27FC236}">
              <a16:creationId xmlns:a16="http://schemas.microsoft.com/office/drawing/2014/main" id="{1D3B4F6B-C84B-49CB-94F5-07BEDC2EA744}"/>
            </a:ext>
          </a:extLst>
        </xdr:cNvPr>
        <xdr:cNvCxnSpPr/>
      </xdr:nvCxnSpPr>
      <xdr:spPr>
        <a:xfrm>
          <a:off x="11423755" y="3351609"/>
          <a:ext cx="1418877"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305003</xdr:colOff>
      <xdr:row>24</xdr:row>
      <xdr:rowOff>100710</xdr:rowOff>
    </xdr:from>
    <xdr:to>
      <xdr:col>8</xdr:col>
      <xdr:colOff>509442</xdr:colOff>
      <xdr:row>24</xdr:row>
      <xdr:rowOff>100710</xdr:rowOff>
    </xdr:to>
    <xdr:cxnSp macro="">
      <xdr:nvCxnSpPr>
        <xdr:cNvPr id="12" name="Straight Connector 11">
          <a:extLst>
            <a:ext uri="{FF2B5EF4-FFF2-40B4-BE49-F238E27FC236}">
              <a16:creationId xmlns:a16="http://schemas.microsoft.com/office/drawing/2014/main" id="{720D0760-1ACE-40A0-BA60-6C8575A7A449}"/>
            </a:ext>
          </a:extLst>
        </xdr:cNvPr>
        <xdr:cNvCxnSpPr/>
      </xdr:nvCxnSpPr>
      <xdr:spPr>
        <a:xfrm>
          <a:off x="11419487" y="5262069"/>
          <a:ext cx="1418877"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43025</xdr:colOff>
      <xdr:row>27</xdr:row>
      <xdr:rowOff>172271</xdr:rowOff>
    </xdr:from>
    <xdr:to>
      <xdr:col>8</xdr:col>
      <xdr:colOff>253159</xdr:colOff>
      <xdr:row>27</xdr:row>
      <xdr:rowOff>172271</xdr:rowOff>
    </xdr:to>
    <xdr:cxnSp macro="">
      <xdr:nvCxnSpPr>
        <xdr:cNvPr id="13" name="Straight Connector 12">
          <a:extLst>
            <a:ext uri="{FF2B5EF4-FFF2-40B4-BE49-F238E27FC236}">
              <a16:creationId xmlns:a16="http://schemas.microsoft.com/office/drawing/2014/main" id="{0D547098-5902-491B-9F1A-5B655CBD1E6A}"/>
            </a:ext>
          </a:extLst>
        </xdr:cNvPr>
        <xdr:cNvCxnSpPr/>
      </xdr:nvCxnSpPr>
      <xdr:spPr>
        <a:xfrm>
          <a:off x="11166568" y="6019793"/>
          <a:ext cx="1435961"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252760</xdr:colOff>
      <xdr:row>30</xdr:row>
      <xdr:rowOff>224883</xdr:rowOff>
    </xdr:from>
    <xdr:to>
      <xdr:col>8</xdr:col>
      <xdr:colOff>457199</xdr:colOff>
      <xdr:row>30</xdr:row>
      <xdr:rowOff>224883</xdr:rowOff>
    </xdr:to>
    <xdr:cxnSp macro="">
      <xdr:nvCxnSpPr>
        <xdr:cNvPr id="14" name="Straight Connector 13">
          <a:extLst>
            <a:ext uri="{FF2B5EF4-FFF2-40B4-BE49-F238E27FC236}">
              <a16:creationId xmlns:a16="http://schemas.microsoft.com/office/drawing/2014/main" id="{6DDFF382-9AC6-4154-AB50-EF3FCE20B9AD}"/>
            </a:ext>
          </a:extLst>
        </xdr:cNvPr>
        <xdr:cNvCxnSpPr/>
      </xdr:nvCxnSpPr>
      <xdr:spPr>
        <a:xfrm>
          <a:off x="11758960" y="6692358"/>
          <a:ext cx="1423639"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xdr:col>
      <xdr:colOff>428625</xdr:colOff>
      <xdr:row>35</xdr:row>
      <xdr:rowOff>33056</xdr:rowOff>
    </xdr:from>
    <xdr:to>
      <xdr:col>14</xdr:col>
      <xdr:colOff>257175</xdr:colOff>
      <xdr:row>46</xdr:row>
      <xdr:rowOff>171882</xdr:rowOff>
    </xdr:to>
    <xdr:pic>
      <xdr:nvPicPr>
        <xdr:cNvPr id="15" name="Picture 14" descr="A comparison of a beam diagram&#10;&#10;Description automatically generated with medium confidence">
          <a:extLst>
            <a:ext uri="{FF2B5EF4-FFF2-40B4-BE49-F238E27FC236}">
              <a16:creationId xmlns:a16="http://schemas.microsoft.com/office/drawing/2014/main" id="{E74CA5C6-BF4E-4AC7-963F-622E6857875A}"/>
            </a:ext>
          </a:extLst>
        </xdr:cNvPr>
        <xdr:cNvPicPr>
          <a:picLocks noChangeAspect="1"/>
        </xdr:cNvPicPr>
      </xdr:nvPicPr>
      <xdr:blipFill>
        <a:blip xmlns:r="http://schemas.openxmlformats.org/officeDocument/2006/relationships" r:embed="rId2"/>
        <a:stretch>
          <a:fillRect/>
        </a:stretch>
      </xdr:blipFill>
      <xdr:spPr>
        <a:xfrm>
          <a:off x="10944225" y="7253006"/>
          <a:ext cx="4705350" cy="2491501"/>
        </a:xfrm>
        <a:prstGeom prst="rect">
          <a:avLst/>
        </a:prstGeom>
        <a:ln>
          <a:solidFill>
            <a:schemeClr val="tx1"/>
          </a:solidFill>
        </a:ln>
      </xdr:spPr>
    </xdr:pic>
    <xdr:clientData/>
  </xdr:twoCellAnchor>
  <xdr:twoCellAnchor>
    <xdr:from>
      <xdr:col>13</xdr:col>
      <xdr:colOff>582011</xdr:colOff>
      <xdr:row>10</xdr:row>
      <xdr:rowOff>143942</xdr:rowOff>
    </xdr:from>
    <xdr:to>
      <xdr:col>14</xdr:col>
      <xdr:colOff>262759</xdr:colOff>
      <xdr:row>10</xdr:row>
      <xdr:rowOff>143942</xdr:rowOff>
    </xdr:to>
    <xdr:cxnSp macro="">
      <xdr:nvCxnSpPr>
        <xdr:cNvPr id="16" name="Straight Connector 15">
          <a:extLst>
            <a:ext uri="{FF2B5EF4-FFF2-40B4-BE49-F238E27FC236}">
              <a16:creationId xmlns:a16="http://schemas.microsoft.com/office/drawing/2014/main" id="{DEBA2229-0554-426D-80D0-B02B99EBFC2E}"/>
            </a:ext>
          </a:extLst>
        </xdr:cNvPr>
        <xdr:cNvCxnSpPr/>
      </xdr:nvCxnSpPr>
      <xdr:spPr>
        <a:xfrm>
          <a:off x="15995946" y="2438225"/>
          <a:ext cx="29366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589894</xdr:colOff>
      <xdr:row>20</xdr:row>
      <xdr:rowOff>24140</xdr:rowOff>
    </xdr:from>
    <xdr:to>
      <xdr:col>14</xdr:col>
      <xdr:colOff>270642</xdr:colOff>
      <xdr:row>20</xdr:row>
      <xdr:rowOff>24140</xdr:rowOff>
    </xdr:to>
    <xdr:cxnSp macro="">
      <xdr:nvCxnSpPr>
        <xdr:cNvPr id="19" name="Straight Connector 18">
          <a:extLst>
            <a:ext uri="{FF2B5EF4-FFF2-40B4-BE49-F238E27FC236}">
              <a16:creationId xmlns:a16="http://schemas.microsoft.com/office/drawing/2014/main" id="{8A95EB22-937A-4B33-BD32-974A707976B0}"/>
            </a:ext>
          </a:extLst>
        </xdr:cNvPr>
        <xdr:cNvCxnSpPr/>
      </xdr:nvCxnSpPr>
      <xdr:spPr>
        <a:xfrm>
          <a:off x="15954910" y="4358015"/>
          <a:ext cx="28796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139262</xdr:colOff>
      <xdr:row>10</xdr:row>
      <xdr:rowOff>169151</xdr:rowOff>
    </xdr:from>
    <xdr:to>
      <xdr:col>14</xdr:col>
      <xdr:colOff>139262</xdr:colOff>
      <xdr:row>20</xdr:row>
      <xdr:rowOff>11906</xdr:rowOff>
    </xdr:to>
    <xdr:cxnSp macro="">
      <xdr:nvCxnSpPr>
        <xdr:cNvPr id="20" name="Straight Arrow Connector 19">
          <a:extLst>
            <a:ext uri="{FF2B5EF4-FFF2-40B4-BE49-F238E27FC236}">
              <a16:creationId xmlns:a16="http://schemas.microsoft.com/office/drawing/2014/main" id="{DA3B3FB4-BFC1-4C66-8BC2-30DD67120230}"/>
            </a:ext>
          </a:extLst>
        </xdr:cNvPr>
        <xdr:cNvCxnSpPr/>
      </xdr:nvCxnSpPr>
      <xdr:spPr>
        <a:xfrm>
          <a:off x="16111496" y="2455151"/>
          <a:ext cx="0" cy="1890630"/>
        </a:xfrm>
        <a:prstGeom prst="straightConnector1">
          <a:avLst/>
        </a:prstGeom>
        <a:ln>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604345</xdr:colOff>
      <xdr:row>26</xdr:row>
      <xdr:rowOff>5993</xdr:rowOff>
    </xdr:from>
    <xdr:to>
      <xdr:col>14</xdr:col>
      <xdr:colOff>285093</xdr:colOff>
      <xdr:row>26</xdr:row>
      <xdr:rowOff>5993</xdr:rowOff>
    </xdr:to>
    <xdr:cxnSp macro="">
      <xdr:nvCxnSpPr>
        <xdr:cNvPr id="21" name="Straight Connector 20">
          <a:extLst>
            <a:ext uri="{FF2B5EF4-FFF2-40B4-BE49-F238E27FC236}">
              <a16:creationId xmlns:a16="http://schemas.microsoft.com/office/drawing/2014/main" id="{AAD5140A-A0DE-473F-B120-38A996DF6B5B}"/>
            </a:ext>
          </a:extLst>
        </xdr:cNvPr>
        <xdr:cNvCxnSpPr/>
      </xdr:nvCxnSpPr>
      <xdr:spPr>
        <a:xfrm>
          <a:off x="15969361" y="5619790"/>
          <a:ext cx="28796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141807</xdr:colOff>
      <xdr:row>20</xdr:row>
      <xdr:rowOff>47624</xdr:rowOff>
    </xdr:from>
    <xdr:to>
      <xdr:col>14</xdr:col>
      <xdr:colOff>141807</xdr:colOff>
      <xdr:row>26</xdr:row>
      <xdr:rowOff>0</xdr:rowOff>
    </xdr:to>
    <xdr:cxnSp macro="">
      <xdr:nvCxnSpPr>
        <xdr:cNvPr id="22" name="Straight Arrow Connector 21">
          <a:extLst>
            <a:ext uri="{FF2B5EF4-FFF2-40B4-BE49-F238E27FC236}">
              <a16:creationId xmlns:a16="http://schemas.microsoft.com/office/drawing/2014/main" id="{DB639FCB-3E00-496C-B8B8-548CFEB3EDA3}"/>
            </a:ext>
          </a:extLst>
        </xdr:cNvPr>
        <xdr:cNvCxnSpPr/>
      </xdr:nvCxnSpPr>
      <xdr:spPr>
        <a:xfrm>
          <a:off x="16114041" y="4381499"/>
          <a:ext cx="0" cy="1232298"/>
        </a:xfrm>
        <a:prstGeom prst="straightConnector1">
          <a:avLst/>
        </a:prstGeom>
        <a:ln>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6569</xdr:colOff>
      <xdr:row>30</xdr:row>
      <xdr:rowOff>194440</xdr:rowOff>
    </xdr:from>
    <xdr:to>
      <xdr:col>14</xdr:col>
      <xdr:colOff>298231</xdr:colOff>
      <xdr:row>30</xdr:row>
      <xdr:rowOff>194440</xdr:rowOff>
    </xdr:to>
    <xdr:cxnSp macro="">
      <xdr:nvCxnSpPr>
        <xdr:cNvPr id="23" name="Straight Connector 22">
          <a:extLst>
            <a:ext uri="{FF2B5EF4-FFF2-40B4-BE49-F238E27FC236}">
              <a16:creationId xmlns:a16="http://schemas.microsoft.com/office/drawing/2014/main" id="{3CE6B6AA-76FE-4ECF-AA42-F415D15F3076}"/>
            </a:ext>
          </a:extLst>
        </xdr:cNvPr>
        <xdr:cNvCxnSpPr/>
      </xdr:nvCxnSpPr>
      <xdr:spPr>
        <a:xfrm>
          <a:off x="16389569" y="6661915"/>
          <a:ext cx="29166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148991</xdr:colOff>
      <xdr:row>26</xdr:row>
      <xdr:rowOff>41672</xdr:rowOff>
    </xdr:from>
    <xdr:to>
      <xdr:col>14</xdr:col>
      <xdr:colOff>148991</xdr:colOff>
      <xdr:row>30</xdr:row>
      <xdr:rowOff>190499</xdr:rowOff>
    </xdr:to>
    <xdr:cxnSp macro="">
      <xdr:nvCxnSpPr>
        <xdr:cNvPr id="24" name="Straight Arrow Connector 23">
          <a:extLst>
            <a:ext uri="{FF2B5EF4-FFF2-40B4-BE49-F238E27FC236}">
              <a16:creationId xmlns:a16="http://schemas.microsoft.com/office/drawing/2014/main" id="{D164E8EB-CD73-495D-B799-EC95257A476F}"/>
            </a:ext>
          </a:extLst>
        </xdr:cNvPr>
        <xdr:cNvCxnSpPr/>
      </xdr:nvCxnSpPr>
      <xdr:spPr>
        <a:xfrm>
          <a:off x="16121225" y="5655469"/>
          <a:ext cx="0" cy="982264"/>
        </a:xfrm>
        <a:prstGeom prst="straightConnector1">
          <a:avLst/>
        </a:prstGeom>
        <a:ln>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161925</xdr:colOff>
      <xdr:row>28</xdr:row>
      <xdr:rowOff>152400</xdr:rowOff>
    </xdr:from>
    <xdr:to>
      <xdr:col>14</xdr:col>
      <xdr:colOff>514350</xdr:colOff>
      <xdr:row>30</xdr:row>
      <xdr:rowOff>57150</xdr:rowOff>
    </xdr:to>
    <xdr:sp macro="" textlink="">
      <xdr:nvSpPr>
        <xdr:cNvPr id="25" name="TextBox 24">
          <a:extLst>
            <a:ext uri="{FF2B5EF4-FFF2-40B4-BE49-F238E27FC236}">
              <a16:creationId xmlns:a16="http://schemas.microsoft.com/office/drawing/2014/main" id="{02C1275D-CA7B-49B6-9ACA-80DBC1F4B110}"/>
            </a:ext>
          </a:extLst>
        </xdr:cNvPr>
        <xdr:cNvSpPr txBox="1"/>
      </xdr:nvSpPr>
      <xdr:spPr>
        <a:xfrm>
          <a:off x="16544925" y="6162675"/>
          <a:ext cx="3524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h</a:t>
          </a:r>
        </a:p>
      </xdr:txBody>
    </xdr:sp>
    <xdr:clientData/>
  </xdr:twoCellAnchor>
  <xdr:twoCellAnchor>
    <xdr:from>
      <xdr:col>14</xdr:col>
      <xdr:colOff>147637</xdr:colOff>
      <xdr:row>22</xdr:row>
      <xdr:rowOff>167878</xdr:rowOff>
    </xdr:from>
    <xdr:to>
      <xdr:col>14</xdr:col>
      <xdr:colOff>500062</xdr:colOff>
      <xdr:row>24</xdr:row>
      <xdr:rowOff>108347</xdr:rowOff>
    </xdr:to>
    <xdr:sp macro="" textlink="">
      <xdr:nvSpPr>
        <xdr:cNvPr id="26" name="TextBox 25">
          <a:extLst>
            <a:ext uri="{FF2B5EF4-FFF2-40B4-BE49-F238E27FC236}">
              <a16:creationId xmlns:a16="http://schemas.microsoft.com/office/drawing/2014/main" id="{DC95CA19-ADC2-4BA7-A43A-8FCD989C1397}"/>
            </a:ext>
          </a:extLst>
        </xdr:cNvPr>
        <xdr:cNvSpPr txBox="1"/>
      </xdr:nvSpPr>
      <xdr:spPr>
        <a:xfrm>
          <a:off x="16119871" y="4912519"/>
          <a:ext cx="352425"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h</a:t>
          </a:r>
        </a:p>
      </xdr:txBody>
    </xdr:sp>
    <xdr:clientData/>
  </xdr:twoCellAnchor>
  <xdr:twoCellAnchor>
    <xdr:from>
      <xdr:col>14</xdr:col>
      <xdr:colOff>121444</xdr:colOff>
      <xdr:row>14</xdr:row>
      <xdr:rowOff>101202</xdr:rowOff>
    </xdr:from>
    <xdr:to>
      <xdr:col>14</xdr:col>
      <xdr:colOff>473869</xdr:colOff>
      <xdr:row>16</xdr:row>
      <xdr:rowOff>10715</xdr:rowOff>
    </xdr:to>
    <xdr:sp macro="" textlink="">
      <xdr:nvSpPr>
        <xdr:cNvPr id="27" name="TextBox 26">
          <a:extLst>
            <a:ext uri="{FF2B5EF4-FFF2-40B4-BE49-F238E27FC236}">
              <a16:creationId xmlns:a16="http://schemas.microsoft.com/office/drawing/2014/main" id="{217DD300-B4DF-4633-88A3-329B6F02164B}"/>
            </a:ext>
          </a:extLst>
        </xdr:cNvPr>
        <xdr:cNvSpPr txBox="1"/>
      </xdr:nvSpPr>
      <xdr:spPr>
        <a:xfrm>
          <a:off x="16093678" y="3220640"/>
          <a:ext cx="3524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h</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57150</xdr:colOff>
      <xdr:row>14</xdr:row>
      <xdr:rowOff>190499</xdr:rowOff>
    </xdr:from>
    <xdr:to>
      <xdr:col>5</xdr:col>
      <xdr:colOff>980901</xdr:colOff>
      <xdr:row>40</xdr:row>
      <xdr:rowOff>125274</xdr:rowOff>
    </xdr:to>
    <xdr:pic>
      <xdr:nvPicPr>
        <xdr:cNvPr id="2" name="Picture 1">
          <a:extLst>
            <a:ext uri="{FF2B5EF4-FFF2-40B4-BE49-F238E27FC236}">
              <a16:creationId xmlns:a16="http://schemas.microsoft.com/office/drawing/2014/main" id="{34F6B8A6-6417-6DEC-4CF9-29A6120746DE}"/>
            </a:ext>
          </a:extLst>
        </xdr:cNvPr>
        <xdr:cNvPicPr>
          <a:picLocks noChangeAspect="1"/>
        </xdr:cNvPicPr>
      </xdr:nvPicPr>
      <xdr:blipFill>
        <a:blip xmlns:r="http://schemas.openxmlformats.org/officeDocument/2006/relationships" r:embed="rId1"/>
        <a:stretch>
          <a:fillRect/>
        </a:stretch>
      </xdr:blipFill>
      <xdr:spPr>
        <a:xfrm>
          <a:off x="2333625" y="3657599"/>
          <a:ext cx="2752551" cy="4887775"/>
        </a:xfrm>
        <a:prstGeom prst="rect">
          <a:avLst/>
        </a:prstGeom>
      </xdr:spPr>
    </xdr:pic>
    <xdr:clientData/>
  </xdr:twoCellAnchor>
  <xdr:twoCellAnchor>
    <xdr:from>
      <xdr:col>6</xdr:col>
      <xdr:colOff>11102</xdr:colOff>
      <xdr:row>36</xdr:row>
      <xdr:rowOff>153026</xdr:rowOff>
    </xdr:from>
    <xdr:to>
      <xdr:col>7</xdr:col>
      <xdr:colOff>651615</xdr:colOff>
      <xdr:row>38</xdr:row>
      <xdr:rowOff>76117</xdr:rowOff>
    </xdr:to>
    <xdr:sp macro="" textlink="">
      <xdr:nvSpPr>
        <xdr:cNvPr id="3" name="TextBox 2">
          <a:extLst>
            <a:ext uri="{FF2B5EF4-FFF2-40B4-BE49-F238E27FC236}">
              <a16:creationId xmlns:a16="http://schemas.microsoft.com/office/drawing/2014/main" id="{B16F74C5-08A3-4488-A468-0B2D5A530058}"/>
            </a:ext>
          </a:extLst>
        </xdr:cNvPr>
        <xdr:cNvSpPr txBox="1"/>
      </xdr:nvSpPr>
      <xdr:spPr>
        <a:xfrm>
          <a:off x="5149956" y="7619697"/>
          <a:ext cx="1676647" cy="304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none"/>
            <a:t>TOS </a:t>
          </a:r>
          <a:r>
            <a:rPr lang="en-US" sz="1200" u="none" baseline="0"/>
            <a:t>EL</a:t>
          </a:r>
          <a:r>
            <a:rPr lang="en-US" sz="1200" u="none"/>
            <a:t> 632</a:t>
          </a:r>
          <a:r>
            <a:rPr lang="en-US" sz="1200" u="none" baseline="0"/>
            <a:t>.310 m   </a:t>
          </a:r>
          <a:endParaRPr lang="en-US" sz="1200" u="none"/>
        </a:p>
      </xdr:txBody>
    </xdr:sp>
    <xdr:clientData/>
  </xdr:twoCellAnchor>
  <xdr:twoCellAnchor>
    <xdr:from>
      <xdr:col>5</xdr:col>
      <xdr:colOff>827942</xdr:colOff>
      <xdr:row>37</xdr:row>
      <xdr:rowOff>180575</xdr:rowOff>
    </xdr:from>
    <xdr:to>
      <xdr:col>7</xdr:col>
      <xdr:colOff>166166</xdr:colOff>
      <xdr:row>37</xdr:row>
      <xdr:rowOff>180575</xdr:rowOff>
    </xdr:to>
    <xdr:cxnSp macro="">
      <xdr:nvCxnSpPr>
        <xdr:cNvPr id="4" name="Straight Connector 3">
          <a:extLst>
            <a:ext uri="{FF2B5EF4-FFF2-40B4-BE49-F238E27FC236}">
              <a16:creationId xmlns:a16="http://schemas.microsoft.com/office/drawing/2014/main" id="{7C0B1066-AA5A-47AF-887E-0F8904F87420}"/>
            </a:ext>
          </a:extLst>
        </xdr:cNvPr>
        <xdr:cNvCxnSpPr/>
      </xdr:nvCxnSpPr>
      <xdr:spPr>
        <a:xfrm>
          <a:off x="4930662" y="7837746"/>
          <a:ext cx="1410492"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9636</xdr:colOff>
      <xdr:row>38</xdr:row>
      <xdr:rowOff>95983</xdr:rowOff>
    </xdr:from>
    <xdr:to>
      <xdr:col>7</xdr:col>
      <xdr:colOff>650149</xdr:colOff>
      <xdr:row>40</xdr:row>
      <xdr:rowOff>19074</xdr:rowOff>
    </xdr:to>
    <xdr:sp macro="" textlink="">
      <xdr:nvSpPr>
        <xdr:cNvPr id="5" name="TextBox 4">
          <a:extLst>
            <a:ext uri="{FF2B5EF4-FFF2-40B4-BE49-F238E27FC236}">
              <a16:creationId xmlns:a16="http://schemas.microsoft.com/office/drawing/2014/main" id="{4FF2000B-DC58-452B-BB5D-FEB33BFE8357}"/>
            </a:ext>
          </a:extLst>
        </xdr:cNvPr>
        <xdr:cNvSpPr txBox="1"/>
      </xdr:nvSpPr>
      <xdr:spPr>
        <a:xfrm>
          <a:off x="5153136" y="7944583"/>
          <a:ext cx="1678738" cy="304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U/S BP</a:t>
          </a:r>
          <a:r>
            <a:rPr lang="en-US" sz="1200" baseline="0">
              <a:solidFill>
                <a:schemeClr val="dk1"/>
              </a:solidFill>
              <a:effectLst/>
              <a:latin typeface="+mn-lt"/>
              <a:ea typeface="+mn-ea"/>
              <a:cs typeface="+mn-cs"/>
            </a:rPr>
            <a:t> EL</a:t>
          </a:r>
          <a:r>
            <a:rPr lang="en-US" sz="1200">
              <a:solidFill>
                <a:schemeClr val="dk1"/>
              </a:solidFill>
              <a:effectLst/>
              <a:latin typeface="+mn-lt"/>
              <a:ea typeface="+mn-ea"/>
              <a:cs typeface="+mn-cs"/>
            </a:rPr>
            <a:t> 631.650 m</a:t>
          </a:r>
          <a:endParaRPr lang="en-US" sz="1400">
            <a:effectLst/>
          </a:endParaRPr>
        </a:p>
      </xdr:txBody>
    </xdr:sp>
    <xdr:clientData/>
  </xdr:twoCellAnchor>
  <xdr:twoCellAnchor>
    <xdr:from>
      <xdr:col>5</xdr:col>
      <xdr:colOff>877765</xdr:colOff>
      <xdr:row>39</xdr:row>
      <xdr:rowOff>130859</xdr:rowOff>
    </xdr:from>
    <xdr:to>
      <xdr:col>7</xdr:col>
      <xdr:colOff>215989</xdr:colOff>
      <xdr:row>39</xdr:row>
      <xdr:rowOff>130859</xdr:rowOff>
    </xdr:to>
    <xdr:cxnSp macro="">
      <xdr:nvCxnSpPr>
        <xdr:cNvPr id="6" name="Straight Connector 5">
          <a:extLst>
            <a:ext uri="{FF2B5EF4-FFF2-40B4-BE49-F238E27FC236}">
              <a16:creationId xmlns:a16="http://schemas.microsoft.com/office/drawing/2014/main" id="{86BAF084-6C37-450D-9D2D-9D259B080508}"/>
            </a:ext>
          </a:extLst>
        </xdr:cNvPr>
        <xdr:cNvCxnSpPr/>
      </xdr:nvCxnSpPr>
      <xdr:spPr>
        <a:xfrm>
          <a:off x="4983040" y="8169959"/>
          <a:ext cx="1414674"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1029151</xdr:colOff>
      <xdr:row>30</xdr:row>
      <xdr:rowOff>115463</xdr:rowOff>
    </xdr:from>
    <xdr:to>
      <xdr:col>7</xdr:col>
      <xdr:colOff>633530</xdr:colOff>
      <xdr:row>32</xdr:row>
      <xdr:rowOff>38554</xdr:rowOff>
    </xdr:to>
    <xdr:sp macro="" textlink="">
      <xdr:nvSpPr>
        <xdr:cNvPr id="7" name="TextBox 6">
          <a:extLst>
            <a:ext uri="{FF2B5EF4-FFF2-40B4-BE49-F238E27FC236}">
              <a16:creationId xmlns:a16="http://schemas.microsoft.com/office/drawing/2014/main" id="{6A726C6B-E1E8-48C1-A073-25CE1CEF54E4}"/>
            </a:ext>
          </a:extLst>
        </xdr:cNvPr>
        <xdr:cNvSpPr txBox="1"/>
      </xdr:nvSpPr>
      <xdr:spPr>
        <a:xfrm>
          <a:off x="5131871" y="6439134"/>
          <a:ext cx="1676647" cy="304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none"/>
            <a:t>TOS </a:t>
          </a:r>
          <a:r>
            <a:rPr lang="en-US" sz="1200" u="none" baseline="0"/>
            <a:t>EL</a:t>
          </a:r>
          <a:r>
            <a:rPr lang="en-US" sz="1200" u="none"/>
            <a:t> 634.550</a:t>
          </a:r>
          <a:r>
            <a:rPr lang="en-US" sz="1200" u="none" baseline="0"/>
            <a:t> m   </a:t>
          </a:r>
          <a:endParaRPr lang="en-US" sz="1200" u="none"/>
        </a:p>
      </xdr:txBody>
    </xdr:sp>
    <xdr:clientData/>
  </xdr:twoCellAnchor>
  <xdr:twoCellAnchor>
    <xdr:from>
      <xdr:col>5</xdr:col>
      <xdr:colOff>809857</xdr:colOff>
      <xdr:row>31</xdr:row>
      <xdr:rowOff>143012</xdr:rowOff>
    </xdr:from>
    <xdr:to>
      <xdr:col>7</xdr:col>
      <xdr:colOff>148081</xdr:colOff>
      <xdr:row>31</xdr:row>
      <xdr:rowOff>143012</xdr:rowOff>
    </xdr:to>
    <xdr:cxnSp macro="">
      <xdr:nvCxnSpPr>
        <xdr:cNvPr id="8" name="Straight Connector 7">
          <a:extLst>
            <a:ext uri="{FF2B5EF4-FFF2-40B4-BE49-F238E27FC236}">
              <a16:creationId xmlns:a16="http://schemas.microsoft.com/office/drawing/2014/main" id="{33CFD5ED-FFA1-4E54-99F9-5725A09E310A}"/>
            </a:ext>
          </a:extLst>
        </xdr:cNvPr>
        <xdr:cNvCxnSpPr/>
      </xdr:nvCxnSpPr>
      <xdr:spPr>
        <a:xfrm>
          <a:off x="4912577" y="6657183"/>
          <a:ext cx="1410492"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21575</xdr:colOff>
      <xdr:row>25</xdr:row>
      <xdr:rowOff>46089</xdr:rowOff>
    </xdr:from>
    <xdr:to>
      <xdr:col>7</xdr:col>
      <xdr:colOff>662088</xdr:colOff>
      <xdr:row>26</xdr:row>
      <xdr:rowOff>159680</xdr:rowOff>
    </xdr:to>
    <xdr:sp macro="" textlink="">
      <xdr:nvSpPr>
        <xdr:cNvPr id="9" name="TextBox 8">
          <a:extLst>
            <a:ext uri="{FF2B5EF4-FFF2-40B4-BE49-F238E27FC236}">
              <a16:creationId xmlns:a16="http://schemas.microsoft.com/office/drawing/2014/main" id="{EF46078E-EDFB-41B0-B131-8F4117C2133C}"/>
            </a:ext>
          </a:extLst>
        </xdr:cNvPr>
        <xdr:cNvSpPr txBox="1"/>
      </xdr:nvSpPr>
      <xdr:spPr>
        <a:xfrm>
          <a:off x="5160429" y="5417260"/>
          <a:ext cx="1676647" cy="304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none"/>
            <a:t>TOS </a:t>
          </a:r>
          <a:r>
            <a:rPr lang="en-US" sz="1200" u="none" baseline="0"/>
            <a:t>EL</a:t>
          </a:r>
          <a:r>
            <a:rPr lang="en-US" sz="1200" u="none"/>
            <a:t> 636.45</a:t>
          </a:r>
          <a:r>
            <a:rPr lang="en-US" sz="1200" u="none" baseline="0"/>
            <a:t> m   </a:t>
          </a:r>
          <a:endParaRPr lang="en-US" sz="1200" u="none"/>
        </a:p>
      </xdr:txBody>
    </xdr:sp>
    <xdr:clientData/>
  </xdr:twoCellAnchor>
  <xdr:twoCellAnchor>
    <xdr:from>
      <xdr:col>5</xdr:col>
      <xdr:colOff>838415</xdr:colOff>
      <xdr:row>26</xdr:row>
      <xdr:rowOff>73638</xdr:rowOff>
    </xdr:from>
    <xdr:to>
      <xdr:col>7</xdr:col>
      <xdr:colOff>176639</xdr:colOff>
      <xdr:row>26</xdr:row>
      <xdr:rowOff>73638</xdr:rowOff>
    </xdr:to>
    <xdr:cxnSp macro="">
      <xdr:nvCxnSpPr>
        <xdr:cNvPr id="10" name="Straight Connector 9">
          <a:extLst>
            <a:ext uri="{FF2B5EF4-FFF2-40B4-BE49-F238E27FC236}">
              <a16:creationId xmlns:a16="http://schemas.microsoft.com/office/drawing/2014/main" id="{62B54104-5CE5-42DC-8237-BEC93528EFD9}"/>
            </a:ext>
          </a:extLst>
        </xdr:cNvPr>
        <xdr:cNvCxnSpPr/>
      </xdr:nvCxnSpPr>
      <xdr:spPr>
        <a:xfrm>
          <a:off x="4941135" y="5635309"/>
          <a:ext cx="1410492"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28150</xdr:colOff>
      <xdr:row>19</xdr:row>
      <xdr:rowOff>115391</xdr:rowOff>
    </xdr:from>
    <xdr:to>
      <xdr:col>7</xdr:col>
      <xdr:colOff>668663</xdr:colOff>
      <xdr:row>21</xdr:row>
      <xdr:rowOff>38482</xdr:rowOff>
    </xdr:to>
    <xdr:sp macro="" textlink="">
      <xdr:nvSpPr>
        <xdr:cNvPr id="11" name="TextBox 10">
          <a:extLst>
            <a:ext uri="{FF2B5EF4-FFF2-40B4-BE49-F238E27FC236}">
              <a16:creationId xmlns:a16="http://schemas.microsoft.com/office/drawing/2014/main" id="{7FE01D14-1C86-4D13-9BBA-FD729DC6B909}"/>
            </a:ext>
          </a:extLst>
        </xdr:cNvPr>
        <xdr:cNvSpPr txBox="1"/>
      </xdr:nvSpPr>
      <xdr:spPr>
        <a:xfrm>
          <a:off x="5167004" y="4343562"/>
          <a:ext cx="1676647" cy="304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none"/>
            <a:t>TOS </a:t>
          </a:r>
          <a:r>
            <a:rPr lang="en-US" sz="1200" u="none" baseline="0"/>
            <a:t>EL</a:t>
          </a:r>
          <a:r>
            <a:rPr lang="en-US" sz="1200" u="none"/>
            <a:t> 638.500</a:t>
          </a:r>
          <a:r>
            <a:rPr lang="en-US" sz="1200" u="none" baseline="0"/>
            <a:t> m   </a:t>
          </a:r>
          <a:endParaRPr lang="en-US" sz="1200" u="none"/>
        </a:p>
      </xdr:txBody>
    </xdr:sp>
    <xdr:clientData/>
  </xdr:twoCellAnchor>
  <xdr:twoCellAnchor>
    <xdr:from>
      <xdr:col>5</xdr:col>
      <xdr:colOff>844990</xdr:colOff>
      <xdr:row>20</xdr:row>
      <xdr:rowOff>142940</xdr:rowOff>
    </xdr:from>
    <xdr:to>
      <xdr:col>7</xdr:col>
      <xdr:colOff>183214</xdr:colOff>
      <xdr:row>20</xdr:row>
      <xdr:rowOff>142940</xdr:rowOff>
    </xdr:to>
    <xdr:cxnSp macro="">
      <xdr:nvCxnSpPr>
        <xdr:cNvPr id="12" name="Straight Connector 11">
          <a:extLst>
            <a:ext uri="{FF2B5EF4-FFF2-40B4-BE49-F238E27FC236}">
              <a16:creationId xmlns:a16="http://schemas.microsoft.com/office/drawing/2014/main" id="{BD06438F-5BFE-4480-9075-0FB1149FE900}"/>
            </a:ext>
          </a:extLst>
        </xdr:cNvPr>
        <xdr:cNvCxnSpPr/>
      </xdr:nvCxnSpPr>
      <xdr:spPr>
        <a:xfrm>
          <a:off x="4947710" y="4561611"/>
          <a:ext cx="1410492"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67965</xdr:colOff>
      <xdr:row>14</xdr:row>
      <xdr:rowOff>75503</xdr:rowOff>
    </xdr:from>
    <xdr:to>
      <xdr:col>7</xdr:col>
      <xdr:colOff>708478</xdr:colOff>
      <xdr:row>15</xdr:row>
      <xdr:rowOff>189094</xdr:rowOff>
    </xdr:to>
    <xdr:sp macro="" textlink="">
      <xdr:nvSpPr>
        <xdr:cNvPr id="13" name="TextBox 12">
          <a:extLst>
            <a:ext uri="{FF2B5EF4-FFF2-40B4-BE49-F238E27FC236}">
              <a16:creationId xmlns:a16="http://schemas.microsoft.com/office/drawing/2014/main" id="{845C9B8D-94E5-4E78-8A75-682DAB128BF3}"/>
            </a:ext>
          </a:extLst>
        </xdr:cNvPr>
        <xdr:cNvSpPr txBox="1"/>
      </xdr:nvSpPr>
      <xdr:spPr>
        <a:xfrm>
          <a:off x="5206819" y="3351174"/>
          <a:ext cx="1676647" cy="304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u="none"/>
            <a:t>TOS </a:t>
          </a:r>
          <a:r>
            <a:rPr lang="en-US" sz="1200" u="none" baseline="0"/>
            <a:t>EL</a:t>
          </a:r>
          <a:r>
            <a:rPr lang="en-US" sz="1200" u="none"/>
            <a:t> 640.400</a:t>
          </a:r>
          <a:r>
            <a:rPr lang="en-US" sz="1200" u="none" baseline="0"/>
            <a:t> m   </a:t>
          </a:r>
          <a:endParaRPr lang="en-US" sz="1200" u="none"/>
        </a:p>
      </xdr:txBody>
    </xdr:sp>
    <xdr:clientData/>
  </xdr:twoCellAnchor>
  <xdr:twoCellAnchor>
    <xdr:from>
      <xdr:col>5</xdr:col>
      <xdr:colOff>884805</xdr:colOff>
      <xdr:row>15</xdr:row>
      <xdr:rowOff>103052</xdr:rowOff>
    </xdr:from>
    <xdr:to>
      <xdr:col>7</xdr:col>
      <xdr:colOff>223029</xdr:colOff>
      <xdr:row>15</xdr:row>
      <xdr:rowOff>103052</xdr:rowOff>
    </xdr:to>
    <xdr:cxnSp macro="">
      <xdr:nvCxnSpPr>
        <xdr:cNvPr id="14" name="Straight Connector 13">
          <a:extLst>
            <a:ext uri="{FF2B5EF4-FFF2-40B4-BE49-F238E27FC236}">
              <a16:creationId xmlns:a16="http://schemas.microsoft.com/office/drawing/2014/main" id="{15C2B03A-01FF-4077-BEA5-0D7E22CB72FD}"/>
            </a:ext>
          </a:extLst>
        </xdr:cNvPr>
        <xdr:cNvCxnSpPr/>
      </xdr:nvCxnSpPr>
      <xdr:spPr>
        <a:xfrm>
          <a:off x="4987525" y="3569223"/>
          <a:ext cx="1410492"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72BA3-5E5E-4616-BA4B-A177245E9AF3}">
  <sheetPr>
    <pageSetUpPr fitToPage="1"/>
  </sheetPr>
  <dimension ref="B2:X82"/>
  <sheetViews>
    <sheetView showGridLines="0" view="pageBreakPreview" zoomScale="70" zoomScaleNormal="85" zoomScaleSheetLayoutView="70" workbookViewId="0">
      <selection activeCell="K60" sqref="K60"/>
    </sheetView>
  </sheetViews>
  <sheetFormatPr defaultRowHeight="15" x14ac:dyDescent="0.25"/>
  <cols>
    <col min="2" max="2" width="37.42578125" customWidth="1"/>
    <col min="3" max="4" width="27.7109375" style="39" customWidth="1"/>
    <col min="5" max="5" width="18.140625" customWidth="1"/>
    <col min="6" max="6" width="33.5703125" customWidth="1"/>
  </cols>
  <sheetData>
    <row r="2" spans="2:24" x14ac:dyDescent="0.25">
      <c r="B2" s="38" t="s">
        <v>648</v>
      </c>
    </row>
    <row r="3" spans="2:24" x14ac:dyDescent="0.25">
      <c r="B3" s="38" t="s">
        <v>957</v>
      </c>
    </row>
    <row r="4" spans="2:24" x14ac:dyDescent="0.25">
      <c r="B4" s="38"/>
    </row>
    <row r="5" spans="2:24" ht="18.75" thickBot="1" x14ac:dyDescent="0.4">
      <c r="B5" t="s">
        <v>650</v>
      </c>
      <c r="C5" s="39" t="s">
        <v>641</v>
      </c>
      <c r="D5" s="20">
        <v>350</v>
      </c>
      <c r="E5" t="s">
        <v>636</v>
      </c>
    </row>
    <row r="6" spans="2:24" ht="35.25" customHeight="1" thickBot="1" x14ac:dyDescent="0.3">
      <c r="B6" s="40"/>
      <c r="C6" s="57" t="s">
        <v>3</v>
      </c>
      <c r="D6" s="58" t="s">
        <v>6</v>
      </c>
      <c r="E6" s="28" t="s">
        <v>646</v>
      </c>
      <c r="F6" s="59" t="s">
        <v>644</v>
      </c>
    </row>
    <row r="7" spans="2:24" ht="15.75" x14ac:dyDescent="0.25">
      <c r="B7" s="15" t="s">
        <v>954</v>
      </c>
      <c r="C7" s="19"/>
      <c r="D7" s="19"/>
      <c r="E7" s="11"/>
      <c r="F7" s="12"/>
    </row>
    <row r="8" spans="2:24" x14ac:dyDescent="0.25">
      <c r="B8" s="13" t="s">
        <v>0</v>
      </c>
      <c r="C8" s="20" t="s">
        <v>551</v>
      </c>
      <c r="D8" s="20" t="s">
        <v>551</v>
      </c>
      <c r="E8" s="1"/>
      <c r="F8" s="9"/>
    </row>
    <row r="9" spans="2:24" ht="18" x14ac:dyDescent="0.35">
      <c r="B9" s="13" t="s">
        <v>649</v>
      </c>
      <c r="C9" s="21">
        <f>VLOOKUP(C8,'W Sections'!$B$4:$U$284,20,FALSE)*10^3</f>
        <v>633000</v>
      </c>
      <c r="D9" s="21">
        <f>VLOOKUP(D8,'W Sections'!$B$4:$U$284,20,FALSE)*10^3</f>
        <v>633000</v>
      </c>
      <c r="E9" s="1"/>
      <c r="F9" s="9"/>
    </row>
    <row r="10" spans="2:24" ht="18" x14ac:dyDescent="0.35">
      <c r="B10" s="13" t="s">
        <v>651</v>
      </c>
      <c r="C10" s="21">
        <f>C9*$D$5/1000^2</f>
        <v>221.55</v>
      </c>
      <c r="D10" s="21">
        <f>D9*$D$5/1000^2</f>
        <v>221.55</v>
      </c>
      <c r="E10" s="1"/>
      <c r="F10" s="9"/>
      <c r="T10" s="46" t="s">
        <v>946</v>
      </c>
      <c r="U10" s="47"/>
    </row>
    <row r="11" spans="2:24" ht="18" x14ac:dyDescent="0.35">
      <c r="B11" s="13" t="s">
        <v>2</v>
      </c>
      <c r="C11" s="20">
        <v>2</v>
      </c>
      <c r="D11" s="20">
        <v>2</v>
      </c>
      <c r="E11" s="1"/>
      <c r="F11" s="9"/>
      <c r="U11" s="48" t="s">
        <v>947</v>
      </c>
      <c r="V11" s="49">
        <f>C15/2</f>
        <v>89.775000000000006</v>
      </c>
      <c r="W11" s="49">
        <f>D15/2</f>
        <v>89.775000000000006</v>
      </c>
      <c r="X11" t="s">
        <v>951</v>
      </c>
    </row>
    <row r="12" spans="2:24" x14ac:dyDescent="0.25">
      <c r="B12" s="13" t="s">
        <v>1</v>
      </c>
      <c r="C12" s="20" t="s">
        <v>555</v>
      </c>
      <c r="D12" s="20" t="s">
        <v>555</v>
      </c>
      <c r="E12" s="1"/>
      <c r="F12" s="9"/>
      <c r="V12" s="49"/>
      <c r="W12" s="49"/>
    </row>
    <row r="13" spans="2:24" x14ac:dyDescent="0.25">
      <c r="B13" s="13" t="s">
        <v>4</v>
      </c>
      <c r="C13" s="20">
        <v>1</v>
      </c>
      <c r="D13" s="20">
        <v>1</v>
      </c>
      <c r="E13" s="1"/>
      <c r="F13" s="9"/>
      <c r="T13" s="46" t="s">
        <v>948</v>
      </c>
      <c r="U13" s="47"/>
      <c r="V13" s="49"/>
      <c r="W13" s="49"/>
    </row>
    <row r="14" spans="2:24" ht="18" x14ac:dyDescent="0.35">
      <c r="B14" s="13" t="s">
        <v>619</v>
      </c>
      <c r="C14" s="21">
        <f>VLOOKUP(C12,'W Sections'!$B$4:$U$284,20,FALSE)*10^3</f>
        <v>513000</v>
      </c>
      <c r="D14" s="21">
        <f>VLOOKUP(D12,'W Sections'!$B$4:$U$284,20,FALSE)*10^3</f>
        <v>513000</v>
      </c>
      <c r="E14" s="1"/>
      <c r="F14" s="9"/>
      <c r="U14" s="48" t="s">
        <v>949</v>
      </c>
      <c r="V14" s="49">
        <v>0</v>
      </c>
      <c r="W14" s="49">
        <v>0</v>
      </c>
      <c r="X14" t="s">
        <v>951</v>
      </c>
    </row>
    <row r="15" spans="2:24" ht="18" x14ac:dyDescent="0.35">
      <c r="B15" s="13" t="s">
        <v>652</v>
      </c>
      <c r="C15" s="21">
        <f>C14*$D$5/1000^2</f>
        <v>179.55</v>
      </c>
      <c r="D15" s="21">
        <f>D14*$D$5/1000^2</f>
        <v>179.55</v>
      </c>
      <c r="E15" s="1"/>
      <c r="F15" s="9"/>
      <c r="V15" s="49"/>
      <c r="W15" s="49"/>
    </row>
    <row r="16" spans="2:24" ht="18" x14ac:dyDescent="0.35">
      <c r="B16" s="13" t="s">
        <v>5</v>
      </c>
      <c r="C16" s="21" t="str">
        <f>IF(C11*C10&gt;C15*C13,"Strong Column - Weak Beam", "Strong Beam - Weak Column")</f>
        <v>Strong Column - Weak Beam</v>
      </c>
      <c r="D16" s="21" t="str">
        <f>IF(D11*D10&gt;D15*D13,"Strong Column - Weak Beam", "Strong Beam - Weak Column")</f>
        <v>Strong Column - Weak Beam</v>
      </c>
      <c r="E16" s="1"/>
      <c r="F16" s="9"/>
      <c r="U16" s="48" t="s">
        <v>950</v>
      </c>
      <c r="V16" s="49">
        <f>(V11+V14)/C20</f>
        <v>173.31081081081081</v>
      </c>
      <c r="W16" s="49">
        <f>(W11+W14)/D20</f>
        <v>173.31081081081081</v>
      </c>
      <c r="X16" t="s">
        <v>952</v>
      </c>
    </row>
    <row r="17" spans="2:24" x14ac:dyDescent="0.25">
      <c r="B17" s="13" t="s">
        <v>624</v>
      </c>
      <c r="C17" s="21">
        <v>0</v>
      </c>
      <c r="D17" s="21">
        <v>0</v>
      </c>
      <c r="E17" s="1"/>
      <c r="F17" s="9"/>
      <c r="V17" s="39"/>
      <c r="W17" s="39"/>
    </row>
    <row r="18" spans="2:24" x14ac:dyDescent="0.25">
      <c r="B18" s="13" t="s">
        <v>623</v>
      </c>
      <c r="C18" s="21">
        <f>VLOOKUP(C12,'W Sections'!$B$4:$U$284,6,FALSE)/1000</f>
        <v>0.26200000000000001</v>
      </c>
      <c r="D18" s="21">
        <f>VLOOKUP(D12,'W Sections'!$B$4:$U$284,6,FALSE)/1000</f>
        <v>0.26200000000000001</v>
      </c>
      <c r="E18" s="1"/>
      <c r="F18" s="9"/>
      <c r="U18" s="48" t="s">
        <v>953</v>
      </c>
      <c r="V18" s="49">
        <f>V16+W16</f>
        <v>346.62162162162161</v>
      </c>
      <c r="W18" t="s">
        <v>952</v>
      </c>
    </row>
    <row r="19" spans="2:24" x14ac:dyDescent="0.25">
      <c r="B19" s="13" t="s">
        <v>620</v>
      </c>
      <c r="C19" s="20">
        <v>0.78</v>
      </c>
      <c r="D19" s="20">
        <v>0.78</v>
      </c>
      <c r="E19" s="1"/>
      <c r="F19" s="9" t="s">
        <v>645</v>
      </c>
    </row>
    <row r="20" spans="2:24" x14ac:dyDescent="0.25">
      <c r="B20" s="13" t="s">
        <v>621</v>
      </c>
      <c r="C20" s="21">
        <f>C19-C18</f>
        <v>0.51800000000000002</v>
      </c>
      <c r="D20" s="21">
        <f t="shared" ref="D20" si="0">D19-D18</f>
        <v>0.51800000000000002</v>
      </c>
      <c r="E20" s="1"/>
      <c r="F20" s="9"/>
    </row>
    <row r="21" spans="2:24" ht="16.5" thickBot="1" x14ac:dyDescent="0.3">
      <c r="B21" s="14" t="s">
        <v>622</v>
      </c>
      <c r="C21" s="33">
        <f>IF(C16="Strong Column - Weak Beam",(C13*C15+C17)/C20,(C10+C17)/C20)</f>
        <v>346.62162162162161</v>
      </c>
      <c r="D21" s="33">
        <f t="shared" ref="D21" si="1">IF(D16="Strong Column - Weak Beam",(D13*D15+D17)/D20,(D10+D17)/D20)</f>
        <v>346.62162162162161</v>
      </c>
      <c r="E21" s="17">
        <f>SUM(C21:D21)</f>
        <v>693.24324324324323</v>
      </c>
      <c r="F21" s="10"/>
    </row>
    <row r="22" spans="2:24" ht="15.75" x14ac:dyDescent="0.25">
      <c r="B22" s="16" t="s">
        <v>968</v>
      </c>
      <c r="C22" s="19"/>
      <c r="D22" s="19"/>
      <c r="E22" s="11"/>
      <c r="F22" s="12"/>
    </row>
    <row r="23" spans="2:24" x14ac:dyDescent="0.25">
      <c r="B23" s="13" t="s">
        <v>0</v>
      </c>
      <c r="C23" s="20" t="s">
        <v>551</v>
      </c>
      <c r="D23" s="20" t="s">
        <v>551</v>
      </c>
      <c r="E23" s="1"/>
      <c r="F23" s="9"/>
    </row>
    <row r="24" spans="2:24" ht="18" x14ac:dyDescent="0.35">
      <c r="B24" s="13" t="s">
        <v>649</v>
      </c>
      <c r="C24" s="21">
        <f>VLOOKUP(C23,'W Sections'!$B$4:$U$284,20,FALSE)*10^3</f>
        <v>633000</v>
      </c>
      <c r="D24" s="21">
        <f>VLOOKUP(D23,'W Sections'!$B$4:$U$284,20,FALSE)*10^3</f>
        <v>633000</v>
      </c>
      <c r="E24" s="1"/>
      <c r="F24" s="9"/>
    </row>
    <row r="25" spans="2:24" ht="18" x14ac:dyDescent="0.35">
      <c r="B25" s="13" t="s">
        <v>651</v>
      </c>
      <c r="C25" s="21">
        <f>C24*$D$5/1000^2</f>
        <v>221.55</v>
      </c>
      <c r="D25" s="21">
        <f>D24*$D$5/1000^2</f>
        <v>221.55</v>
      </c>
      <c r="E25" s="1"/>
      <c r="F25" s="9"/>
      <c r="T25" s="46" t="s">
        <v>946</v>
      </c>
      <c r="U25" s="47"/>
    </row>
    <row r="26" spans="2:24" ht="18" x14ac:dyDescent="0.35">
      <c r="B26" s="13" t="s">
        <v>2</v>
      </c>
      <c r="C26" s="20">
        <v>2</v>
      </c>
      <c r="D26" s="20">
        <v>2</v>
      </c>
      <c r="E26" s="1"/>
      <c r="F26" s="9"/>
      <c r="U26" s="48" t="s">
        <v>947</v>
      </c>
      <c r="V26" s="49">
        <f>C30/2</f>
        <v>89.775000000000006</v>
      </c>
      <c r="W26" s="49">
        <f>D30/2</f>
        <v>89.775000000000006</v>
      </c>
      <c r="X26" t="s">
        <v>951</v>
      </c>
    </row>
    <row r="27" spans="2:24" x14ac:dyDescent="0.25">
      <c r="B27" s="13" t="s">
        <v>1</v>
      </c>
      <c r="C27" s="20" t="s">
        <v>555</v>
      </c>
      <c r="D27" s="20" t="s">
        <v>555</v>
      </c>
      <c r="E27" s="1"/>
      <c r="F27" s="9"/>
      <c r="V27" s="49"/>
      <c r="W27" s="49"/>
    </row>
    <row r="28" spans="2:24" x14ac:dyDescent="0.25">
      <c r="B28" s="13" t="s">
        <v>4</v>
      </c>
      <c r="C28" s="20">
        <v>1</v>
      </c>
      <c r="D28" s="20">
        <v>1</v>
      </c>
      <c r="E28" s="1"/>
      <c r="F28" s="9"/>
      <c r="T28" s="46" t="s">
        <v>948</v>
      </c>
      <c r="U28" s="47"/>
      <c r="V28" s="49"/>
      <c r="W28" s="49"/>
    </row>
    <row r="29" spans="2:24" ht="18" x14ac:dyDescent="0.35">
      <c r="B29" s="13" t="s">
        <v>619</v>
      </c>
      <c r="C29" s="21">
        <f>VLOOKUP(C27,'W Sections'!$B$4:$U$284,20,FALSE)*10^3</f>
        <v>513000</v>
      </c>
      <c r="D29" s="21">
        <f>VLOOKUP(D27,'W Sections'!$B$4:$U$284,20,FALSE)*10^3</f>
        <v>513000</v>
      </c>
      <c r="E29" s="1"/>
      <c r="F29" s="9"/>
      <c r="U29" s="48" t="s">
        <v>949</v>
      </c>
      <c r="V29" s="49">
        <f>C15/2</f>
        <v>89.775000000000006</v>
      </c>
      <c r="W29" s="49">
        <f>D15/2</f>
        <v>89.775000000000006</v>
      </c>
      <c r="X29" t="s">
        <v>951</v>
      </c>
    </row>
    <row r="30" spans="2:24" ht="18" x14ac:dyDescent="0.35">
      <c r="B30" s="13" t="s">
        <v>652</v>
      </c>
      <c r="C30" s="21">
        <f>C29*$D$5/1000^2</f>
        <v>179.55</v>
      </c>
      <c r="D30" s="21">
        <f>D29*$D$5/1000^2</f>
        <v>179.55</v>
      </c>
      <c r="E30" s="1"/>
      <c r="F30" s="9"/>
      <c r="V30" s="49"/>
      <c r="W30" s="49"/>
    </row>
    <row r="31" spans="2:24" ht="18" x14ac:dyDescent="0.35">
      <c r="B31" s="13" t="s">
        <v>5</v>
      </c>
      <c r="C31" s="21" t="str">
        <f>IF(C26*C25&gt;C30*C28,"Strong Column - Weak Beam", "Strong Beam - Weak Column")</f>
        <v>Strong Column - Weak Beam</v>
      </c>
      <c r="D31" s="21" t="str">
        <f>IF(D26*D25&gt;D30*D28,"Strong Column - Weak Beam", "Strong Beam - Weak Column")</f>
        <v>Strong Column - Weak Beam</v>
      </c>
      <c r="E31" s="1"/>
      <c r="F31" s="9"/>
      <c r="U31" s="48" t="s">
        <v>950</v>
      </c>
      <c r="V31" s="49">
        <f>(V26+V29)/C35</f>
        <v>202.19594594594599</v>
      </c>
      <c r="W31" s="49">
        <f>(W26+W29)/D35</f>
        <v>202.19594594594599</v>
      </c>
      <c r="X31" t="s">
        <v>952</v>
      </c>
    </row>
    <row r="32" spans="2:24" x14ac:dyDescent="0.25">
      <c r="B32" s="13" t="s">
        <v>624</v>
      </c>
      <c r="C32" s="21">
        <v>0</v>
      </c>
      <c r="D32" s="21">
        <v>0</v>
      </c>
      <c r="E32" s="1"/>
      <c r="F32" s="9"/>
      <c r="V32" s="39"/>
      <c r="W32" s="39"/>
    </row>
    <row r="33" spans="2:23" x14ac:dyDescent="0.25">
      <c r="B33" s="13" t="s">
        <v>623</v>
      </c>
      <c r="C33" s="21">
        <f>VLOOKUP(C27,'W Sections'!$B$4:$U$284,6,FALSE)/1000</f>
        <v>0.26200000000000001</v>
      </c>
      <c r="D33" s="21">
        <f>VLOOKUP(D27,'W Sections'!$B$4:$U$284,6,FALSE)/1000</f>
        <v>0.26200000000000001</v>
      </c>
      <c r="E33" s="1"/>
      <c r="F33" s="9"/>
      <c r="U33" s="48" t="s">
        <v>953</v>
      </c>
      <c r="V33" s="49">
        <f>V31+W31</f>
        <v>404.39189189189199</v>
      </c>
      <c r="W33" t="s">
        <v>952</v>
      </c>
    </row>
    <row r="34" spans="2:23" x14ac:dyDescent="0.25">
      <c r="B34" s="13" t="s">
        <v>620</v>
      </c>
      <c r="C34" s="20">
        <v>1.1499999999999999</v>
      </c>
      <c r="D34" s="20">
        <v>1.1499999999999999</v>
      </c>
      <c r="E34" s="1"/>
      <c r="F34" s="9" t="s">
        <v>645</v>
      </c>
    </row>
    <row r="35" spans="2:23" x14ac:dyDescent="0.25">
      <c r="B35" s="13" t="s">
        <v>621</v>
      </c>
      <c r="C35" s="21">
        <f>C34-C33</f>
        <v>0.8879999999999999</v>
      </c>
      <c r="D35" s="21">
        <f t="shared" ref="D35" si="2">D34-D33</f>
        <v>0.8879999999999999</v>
      </c>
      <c r="E35" s="1"/>
      <c r="F35" s="9"/>
    </row>
    <row r="36" spans="2:23" ht="16.5" thickBot="1" x14ac:dyDescent="0.3">
      <c r="B36" s="14" t="s">
        <v>622</v>
      </c>
      <c r="C36" s="33">
        <f>IF(C31="Strong Column - Weak Beam",(C28*C30+C32)/C35,(C25+C32)/C35)</f>
        <v>202.19594594594599</v>
      </c>
      <c r="D36" s="33">
        <f t="shared" ref="D36" si="3">IF(D31="Strong Column - Weak Beam",(D28*D30+D32)/D35,(D25+D32)/D35)</f>
        <v>202.19594594594599</v>
      </c>
      <c r="E36" s="17">
        <f>SUM(C36:D36)</f>
        <v>404.39189189189199</v>
      </c>
      <c r="F36" s="10"/>
    </row>
    <row r="37" spans="2:23" ht="15.75" x14ac:dyDescent="0.25">
      <c r="B37" s="16" t="s">
        <v>961</v>
      </c>
      <c r="C37" s="19"/>
      <c r="D37" s="19"/>
      <c r="E37" s="11"/>
      <c r="F37" s="12"/>
    </row>
    <row r="38" spans="2:23" x14ac:dyDescent="0.25">
      <c r="B38" s="13" t="s">
        <v>0</v>
      </c>
      <c r="C38" s="20" t="s">
        <v>551</v>
      </c>
      <c r="D38" s="20" t="s">
        <v>551</v>
      </c>
      <c r="E38" s="1"/>
      <c r="F38" s="9"/>
    </row>
    <row r="39" spans="2:23" ht="18" x14ac:dyDescent="0.35">
      <c r="B39" s="13" t="s">
        <v>649</v>
      </c>
      <c r="C39" s="21">
        <f>VLOOKUP(C38,'W Sections'!$B$4:$U$284,20,FALSE)*10^3</f>
        <v>633000</v>
      </c>
      <c r="D39" s="21">
        <f>VLOOKUP(D38,'W Sections'!$B$4:$U$284,20,FALSE)*10^3</f>
        <v>633000</v>
      </c>
      <c r="E39" s="1"/>
      <c r="F39" s="9"/>
    </row>
    <row r="40" spans="2:23" ht="18" x14ac:dyDescent="0.35">
      <c r="B40" s="13" t="s">
        <v>651</v>
      </c>
      <c r="C40" s="21">
        <f>C39*$D$5/1000^2</f>
        <v>221.55</v>
      </c>
      <c r="D40" s="21">
        <f>D39*$D$5/1000^2</f>
        <v>221.55</v>
      </c>
      <c r="E40" s="1"/>
      <c r="F40" s="9"/>
    </row>
    <row r="41" spans="2:23" x14ac:dyDescent="0.25">
      <c r="B41" s="13" t="s">
        <v>2</v>
      </c>
      <c r="C41" s="20">
        <v>2</v>
      </c>
      <c r="D41" s="20">
        <v>2</v>
      </c>
      <c r="E41" s="1"/>
      <c r="F41" s="9"/>
    </row>
    <row r="42" spans="2:23" x14ac:dyDescent="0.25">
      <c r="B42" s="13" t="s">
        <v>1</v>
      </c>
      <c r="C42" s="20" t="s">
        <v>555</v>
      </c>
      <c r="D42" s="20" t="s">
        <v>555</v>
      </c>
      <c r="E42" s="1"/>
      <c r="F42" s="9"/>
    </row>
    <row r="43" spans="2:23" x14ac:dyDescent="0.25">
      <c r="B43" s="13" t="s">
        <v>4</v>
      </c>
      <c r="C43" s="20">
        <v>1</v>
      </c>
      <c r="D43" s="20">
        <v>1</v>
      </c>
      <c r="E43" s="1"/>
      <c r="F43" s="9"/>
    </row>
    <row r="44" spans="2:23" x14ac:dyDescent="0.25">
      <c r="B44" s="13" t="s">
        <v>619</v>
      </c>
      <c r="C44" s="21">
        <f>VLOOKUP(C42,'W Sections'!$B$4:$U$284,20,FALSE)*10^3</f>
        <v>513000</v>
      </c>
      <c r="D44" s="21">
        <f>VLOOKUP(D42,'W Sections'!$B$4:$U$284,20,FALSE)*10^3</f>
        <v>513000</v>
      </c>
      <c r="E44" s="1"/>
      <c r="F44" s="9"/>
    </row>
    <row r="45" spans="2:23" ht="18" x14ac:dyDescent="0.35">
      <c r="B45" s="13" t="s">
        <v>652</v>
      </c>
      <c r="C45" s="21">
        <f>C44*$D$5/1000^2</f>
        <v>179.55</v>
      </c>
      <c r="D45" s="21">
        <f>D44*$D$5/1000^2</f>
        <v>179.55</v>
      </c>
      <c r="E45" s="1"/>
      <c r="F45" s="9"/>
    </row>
    <row r="46" spans="2:23" x14ac:dyDescent="0.25">
      <c r="B46" s="13" t="s">
        <v>5</v>
      </c>
      <c r="C46" s="21" t="str">
        <f>IF(C41*C40&gt;C45*C43,"Strong Column - Weak Beam", "Strong Beam - Weak Column")</f>
        <v>Strong Column - Weak Beam</v>
      </c>
      <c r="D46" s="21" t="str">
        <f>IF(D41*D40&gt;D45*D43,"Strong Column - Weak Beam", "Strong Beam - Weak Column")</f>
        <v>Strong Column - Weak Beam</v>
      </c>
      <c r="E46" s="1"/>
      <c r="F46" s="9"/>
    </row>
    <row r="47" spans="2:23" x14ac:dyDescent="0.25">
      <c r="B47" s="13" t="s">
        <v>624</v>
      </c>
      <c r="C47" s="21">
        <v>0</v>
      </c>
      <c r="D47" s="21">
        <v>0</v>
      </c>
      <c r="E47" s="1"/>
      <c r="F47" s="9"/>
    </row>
    <row r="48" spans="2:23" x14ac:dyDescent="0.25">
      <c r="B48" s="13" t="s">
        <v>623</v>
      </c>
      <c r="C48" s="21">
        <f>VLOOKUP(C42,'W Sections'!$B$4:$U$284,6,FALSE)/1000</f>
        <v>0.26200000000000001</v>
      </c>
      <c r="D48" s="21">
        <f>VLOOKUP(D42,'W Sections'!$B$4:$U$284,6,FALSE)/1000</f>
        <v>0.26200000000000001</v>
      </c>
      <c r="E48" s="1"/>
      <c r="F48" s="9"/>
    </row>
    <row r="49" spans="2:24" x14ac:dyDescent="0.25">
      <c r="B49" s="13" t="s">
        <v>620</v>
      </c>
      <c r="C49" s="20">
        <f>4.29/2</f>
        <v>2.145</v>
      </c>
      <c r="D49" s="20">
        <f>4.29/2</f>
        <v>2.145</v>
      </c>
      <c r="E49" s="1"/>
      <c r="F49" s="9" t="s">
        <v>645</v>
      </c>
    </row>
    <row r="50" spans="2:24" x14ac:dyDescent="0.25">
      <c r="B50" s="13" t="s">
        <v>621</v>
      </c>
      <c r="C50" s="21">
        <f>C49-C48</f>
        <v>1.883</v>
      </c>
      <c r="D50" s="21">
        <f t="shared" ref="D50" si="4">D49-D48</f>
        <v>1.883</v>
      </c>
      <c r="E50" s="1"/>
      <c r="F50" s="9"/>
    </row>
    <row r="51" spans="2:24" ht="16.5" thickBot="1" x14ac:dyDescent="0.3">
      <c r="B51" s="14" t="s">
        <v>622</v>
      </c>
      <c r="C51" s="33">
        <f>IF(C46="Strong Column - Weak Beam",(C43*C45+C47)/C50,(C40+C47)/C50)</f>
        <v>95.353159851301115</v>
      </c>
      <c r="D51" s="33">
        <f t="shared" ref="D51" si="5">IF(D46="Strong Column - Weak Beam",(D43*D45+D47)/D50,(D40+D47)/D50)</f>
        <v>95.353159851301115</v>
      </c>
      <c r="E51" s="17">
        <f>SUM(C51:D51)</f>
        <v>190.70631970260223</v>
      </c>
      <c r="F51" s="10"/>
    </row>
    <row r="52" spans="2:24" ht="15.75" x14ac:dyDescent="0.25">
      <c r="B52" s="16" t="s">
        <v>955</v>
      </c>
      <c r="C52" s="19"/>
      <c r="D52" s="19"/>
      <c r="E52" s="11"/>
      <c r="F52" s="12"/>
    </row>
    <row r="53" spans="2:24" x14ac:dyDescent="0.25">
      <c r="B53" s="13" t="s">
        <v>0</v>
      </c>
      <c r="C53" s="20" t="s">
        <v>551</v>
      </c>
      <c r="D53" s="20" t="s">
        <v>551</v>
      </c>
      <c r="E53" s="1"/>
      <c r="F53" s="9"/>
    </row>
    <row r="54" spans="2:24" ht="18" x14ac:dyDescent="0.35">
      <c r="B54" s="13" t="s">
        <v>649</v>
      </c>
      <c r="C54" s="21">
        <f>VLOOKUP(C53,'W Sections'!$B$4:$U$284,20,FALSE)*10^3</f>
        <v>633000</v>
      </c>
      <c r="D54" s="21">
        <f>VLOOKUP(D53,'W Sections'!$B$4:$U$284,20,FALSE)*10^3</f>
        <v>633000</v>
      </c>
      <c r="E54" s="1"/>
      <c r="F54" s="9"/>
    </row>
    <row r="55" spans="2:24" ht="18" x14ac:dyDescent="0.35">
      <c r="B55" s="13" t="s">
        <v>651</v>
      </c>
      <c r="C55" s="21">
        <f>C54*$D$5/1000^2</f>
        <v>221.55</v>
      </c>
      <c r="D55" s="21">
        <f>D54*$D$5/1000^2</f>
        <v>221.55</v>
      </c>
      <c r="E55" s="1"/>
      <c r="F55" s="9"/>
      <c r="T55" s="46" t="s">
        <v>946</v>
      </c>
      <c r="U55" s="47"/>
    </row>
    <row r="56" spans="2:24" ht="18" x14ac:dyDescent="0.35">
      <c r="B56" s="13" t="s">
        <v>2</v>
      </c>
      <c r="C56" s="20">
        <v>2</v>
      </c>
      <c r="D56" s="20">
        <v>2</v>
      </c>
      <c r="E56" s="1"/>
      <c r="F56" s="9"/>
      <c r="U56" s="48" t="s">
        <v>947</v>
      </c>
      <c r="V56" s="49">
        <f>C60/2</f>
        <v>89.775000000000006</v>
      </c>
      <c r="W56" s="49">
        <f>D60/2</f>
        <v>89.775000000000006</v>
      </c>
      <c r="X56" t="s">
        <v>951</v>
      </c>
    </row>
    <row r="57" spans="2:24" x14ac:dyDescent="0.25">
      <c r="B57" s="13" t="s">
        <v>1</v>
      </c>
      <c r="C57" s="20" t="s">
        <v>555</v>
      </c>
      <c r="D57" s="20" t="s">
        <v>555</v>
      </c>
      <c r="E57" s="1"/>
      <c r="F57" s="9"/>
      <c r="V57" s="49"/>
      <c r="W57" s="49"/>
    </row>
    <row r="58" spans="2:24" x14ac:dyDescent="0.25">
      <c r="B58" s="13" t="s">
        <v>4</v>
      </c>
      <c r="C58" s="20">
        <v>1</v>
      </c>
      <c r="D58" s="20">
        <v>1</v>
      </c>
      <c r="E58" s="1"/>
      <c r="F58" s="9"/>
      <c r="T58" s="46" t="s">
        <v>948</v>
      </c>
      <c r="U58" s="47"/>
      <c r="V58" s="49"/>
      <c r="W58" s="49"/>
    </row>
    <row r="59" spans="2:24" ht="18" x14ac:dyDescent="0.35">
      <c r="B59" s="13" t="s">
        <v>619</v>
      </c>
      <c r="C59" s="21">
        <f>VLOOKUP(C57,'W Sections'!$B$4:$U$284,20,FALSE)*10^3</f>
        <v>513000</v>
      </c>
      <c r="D59" s="21">
        <f>VLOOKUP(D57,'W Sections'!$B$4:$U$284,20,FALSE)*10^3</f>
        <v>513000</v>
      </c>
      <c r="E59" s="1"/>
      <c r="F59" s="9"/>
      <c r="U59" s="48" t="s">
        <v>949</v>
      </c>
      <c r="V59" s="49">
        <f>C30/2</f>
        <v>89.775000000000006</v>
      </c>
      <c r="W59" s="49">
        <f>D30/2</f>
        <v>89.775000000000006</v>
      </c>
      <c r="X59" t="s">
        <v>951</v>
      </c>
    </row>
    <row r="60" spans="2:24" ht="18" x14ac:dyDescent="0.35">
      <c r="B60" s="13" t="s">
        <v>652</v>
      </c>
      <c r="C60" s="21">
        <f>C59*$D$5/1000^2</f>
        <v>179.55</v>
      </c>
      <c r="D60" s="21">
        <f>D59*$D$5/1000^2</f>
        <v>179.55</v>
      </c>
      <c r="E60" s="1"/>
      <c r="F60" s="9"/>
      <c r="V60" s="49"/>
      <c r="W60" s="49"/>
    </row>
    <row r="61" spans="2:24" ht="18" x14ac:dyDescent="0.35">
      <c r="B61" s="13" t="s">
        <v>5</v>
      </c>
      <c r="C61" s="21" t="str">
        <f>IF(C56*C55&gt;C60*C58,"Strong Column - Weak Beam", "Strong Beam - Weak Column")</f>
        <v>Strong Column - Weak Beam</v>
      </c>
      <c r="D61" s="21" t="str">
        <f>IF(D56*D55&gt;D60*D58,"Strong Column - Weak Beam", "Strong Beam - Weak Column")</f>
        <v>Strong Column - Weak Beam</v>
      </c>
      <c r="E61" s="1"/>
      <c r="F61" s="9"/>
      <c r="U61" s="48" t="s">
        <v>950</v>
      </c>
      <c r="V61" s="49">
        <f>(V56+V59)/C65</f>
        <v>81.134206958879346</v>
      </c>
      <c r="W61" s="49">
        <f>(W56+W59)/D65</f>
        <v>81.134206958879346</v>
      </c>
      <c r="X61" t="s">
        <v>952</v>
      </c>
    </row>
    <row r="62" spans="2:24" x14ac:dyDescent="0.25">
      <c r="B62" s="13" t="s">
        <v>624</v>
      </c>
      <c r="C62" s="21">
        <v>0</v>
      </c>
      <c r="D62" s="21">
        <v>0</v>
      </c>
      <c r="E62" s="1"/>
      <c r="F62" s="9"/>
      <c r="V62" s="39"/>
      <c r="W62" s="39"/>
    </row>
    <row r="63" spans="2:24" x14ac:dyDescent="0.25">
      <c r="B63" s="13" t="s">
        <v>623</v>
      </c>
      <c r="C63" s="21">
        <f>VLOOKUP(C57,'W Sections'!$B$4:$U$284,6,FALSE)/1000</f>
        <v>0.26200000000000001</v>
      </c>
      <c r="D63" s="21">
        <f>VLOOKUP(D57,'W Sections'!$B$4:$U$284,6,FALSE)/1000</f>
        <v>0.26200000000000001</v>
      </c>
      <c r="E63" s="1"/>
      <c r="F63" s="9"/>
      <c r="U63" s="48" t="s">
        <v>953</v>
      </c>
      <c r="V63" s="49">
        <f>V61+W61</f>
        <v>162.26841391775869</v>
      </c>
      <c r="W63" t="s">
        <v>952</v>
      </c>
    </row>
    <row r="64" spans="2:24" x14ac:dyDescent="0.25">
      <c r="B64" s="13" t="s">
        <v>620</v>
      </c>
      <c r="C64" s="20">
        <f>4.95/2</f>
        <v>2.4750000000000001</v>
      </c>
      <c r="D64" s="20">
        <f>4.95/2</f>
        <v>2.4750000000000001</v>
      </c>
      <c r="E64" s="1"/>
      <c r="F64" s="9" t="s">
        <v>645</v>
      </c>
    </row>
    <row r="65" spans="2:24" x14ac:dyDescent="0.25">
      <c r="B65" s="13" t="s">
        <v>621</v>
      </c>
      <c r="C65" s="21">
        <f>C64-C63</f>
        <v>2.2130000000000001</v>
      </c>
      <c r="D65" s="21">
        <f t="shared" ref="D65" si="6">D64-D63</f>
        <v>2.2130000000000001</v>
      </c>
      <c r="E65" s="1"/>
      <c r="F65" s="9"/>
    </row>
    <row r="66" spans="2:24" ht="16.5" thickBot="1" x14ac:dyDescent="0.3">
      <c r="B66" s="14" t="s">
        <v>622</v>
      </c>
      <c r="C66" s="33">
        <f>IF(C61="Strong Column - Weak Beam",(C58*C60+C62)/C65,(C55+C62)/C65)</f>
        <v>81.134206958879346</v>
      </c>
      <c r="D66" s="33">
        <f t="shared" ref="D66" si="7">IF(D61="Strong Column - Weak Beam",(D58*D60+D62)/D65,(D55+D62)/D65)</f>
        <v>81.134206958879346</v>
      </c>
      <c r="E66" s="17">
        <f>SUM(C66:D66)</f>
        <v>162.26841391775869</v>
      </c>
      <c r="F66" s="10"/>
    </row>
    <row r="67" spans="2:24" ht="15.75" x14ac:dyDescent="0.25">
      <c r="B67" s="16" t="s">
        <v>956</v>
      </c>
      <c r="C67" s="19"/>
      <c r="D67" s="19"/>
      <c r="E67" s="11"/>
      <c r="F67" s="12"/>
      <c r="T67">
        <f>2300/2+1400</f>
        <v>2550</v>
      </c>
    </row>
    <row r="68" spans="2:24" x14ac:dyDescent="0.25">
      <c r="B68" s="13" t="s">
        <v>0</v>
      </c>
      <c r="C68" s="20" t="s">
        <v>551</v>
      </c>
      <c r="D68" s="20" t="s">
        <v>551</v>
      </c>
      <c r="E68" s="1"/>
      <c r="F68" s="9"/>
    </row>
    <row r="69" spans="2:24" ht="18" x14ac:dyDescent="0.35">
      <c r="B69" s="13" t="s">
        <v>649</v>
      </c>
      <c r="C69" s="21">
        <f>VLOOKUP(C68,'W Sections'!$B$4:$U$284,20,FALSE)*10^3</f>
        <v>633000</v>
      </c>
      <c r="D69" s="21">
        <f>VLOOKUP(D68,'W Sections'!$B$4:$U$284,20,FALSE)*10^3</f>
        <v>633000</v>
      </c>
      <c r="E69" s="1"/>
      <c r="F69" s="9"/>
    </row>
    <row r="70" spans="2:24" ht="18" x14ac:dyDescent="0.35">
      <c r="B70" s="13" t="s">
        <v>651</v>
      </c>
      <c r="C70" s="21">
        <f>C69*$D$5/1000^2</f>
        <v>221.55</v>
      </c>
      <c r="D70" s="21">
        <f>D69*$D$5/1000^2</f>
        <v>221.55</v>
      </c>
      <c r="E70" s="1"/>
      <c r="F70" s="9"/>
      <c r="T70" s="46" t="s">
        <v>946</v>
      </c>
      <c r="U70" s="47"/>
    </row>
    <row r="71" spans="2:24" ht="18" x14ac:dyDescent="0.35">
      <c r="B71" s="13" t="s">
        <v>2</v>
      </c>
      <c r="C71" s="20">
        <v>2</v>
      </c>
      <c r="D71" s="20">
        <v>2</v>
      </c>
      <c r="E71" s="1"/>
      <c r="F71" s="9"/>
      <c r="U71" s="48" t="s">
        <v>947</v>
      </c>
      <c r="V71" s="49">
        <f>C75/2</f>
        <v>89.775000000000006</v>
      </c>
      <c r="W71" s="49">
        <f>D75/2</f>
        <v>89.775000000000006</v>
      </c>
      <c r="X71" t="s">
        <v>951</v>
      </c>
    </row>
    <row r="72" spans="2:24" x14ac:dyDescent="0.25">
      <c r="B72" s="13" t="s">
        <v>1</v>
      </c>
      <c r="C72" s="20" t="s">
        <v>555</v>
      </c>
      <c r="D72" s="20" t="s">
        <v>555</v>
      </c>
      <c r="E72" s="1"/>
      <c r="F72" s="9"/>
      <c r="V72" s="49"/>
      <c r="W72" s="49"/>
    </row>
    <row r="73" spans="2:24" x14ac:dyDescent="0.25">
      <c r="B73" s="13" t="s">
        <v>4</v>
      </c>
      <c r="C73" s="20">
        <v>1</v>
      </c>
      <c r="D73" s="20">
        <v>1</v>
      </c>
      <c r="E73" s="1"/>
      <c r="F73" s="9"/>
      <c r="T73" s="46" t="s">
        <v>948</v>
      </c>
      <c r="U73" s="47"/>
      <c r="V73" s="49"/>
      <c r="W73" s="49"/>
    </row>
    <row r="74" spans="2:24" ht="18" x14ac:dyDescent="0.35">
      <c r="B74" s="13" t="s">
        <v>619</v>
      </c>
      <c r="C74" s="21">
        <f>VLOOKUP(C72,'W Sections'!$B$4:$U$284,20,FALSE)*10^3</f>
        <v>513000</v>
      </c>
      <c r="D74" s="21">
        <f>VLOOKUP(D72,'W Sections'!$B$4:$U$284,20,FALSE)*10^3</f>
        <v>513000</v>
      </c>
      <c r="E74" s="1"/>
      <c r="F74" s="9"/>
      <c r="U74" s="48" t="s">
        <v>949</v>
      </c>
      <c r="V74" s="49">
        <f>C60/2</f>
        <v>89.775000000000006</v>
      </c>
      <c r="W74" s="49">
        <f>D60/2</f>
        <v>89.775000000000006</v>
      </c>
      <c r="X74" t="s">
        <v>951</v>
      </c>
    </row>
    <row r="75" spans="2:24" ht="18" x14ac:dyDescent="0.35">
      <c r="B75" s="13" t="s">
        <v>652</v>
      </c>
      <c r="C75" s="21">
        <f>C74*$D$5/1000^2</f>
        <v>179.55</v>
      </c>
      <c r="D75" s="21">
        <f>D74*$D$5/1000^2</f>
        <v>179.55</v>
      </c>
      <c r="E75" s="1"/>
      <c r="F75" s="9"/>
      <c r="V75" s="49"/>
      <c r="W75" s="49"/>
    </row>
    <row r="76" spans="2:24" ht="18" x14ac:dyDescent="0.35">
      <c r="B76" s="13" t="s">
        <v>5</v>
      </c>
      <c r="C76" s="21" t="str">
        <f>IF(C71*C70&gt;C75*C73,"Strong Column - Weak Beam", "Strong Beam - Weak Column")</f>
        <v>Strong Column - Weak Beam</v>
      </c>
      <c r="D76" s="21" t="str">
        <f>IF(D71*D70&gt;D75*D73,"Strong Column - Weak Beam", "Strong Beam - Weak Column")</f>
        <v>Strong Column - Weak Beam</v>
      </c>
      <c r="E76" s="1"/>
      <c r="F76" s="9"/>
      <c r="U76" s="48" t="s">
        <v>950</v>
      </c>
      <c r="V76" s="49">
        <f>(V71+V74)/C80</f>
        <v>78.474650349650361</v>
      </c>
      <c r="W76" s="49">
        <f>(W71+W74)/D80</f>
        <v>78.474650349650361</v>
      </c>
      <c r="X76" t="s">
        <v>952</v>
      </c>
    </row>
    <row r="77" spans="2:24" x14ac:dyDescent="0.25">
      <c r="B77" s="13" t="s">
        <v>624</v>
      </c>
      <c r="C77" s="21">
        <v>0</v>
      </c>
      <c r="D77" s="21">
        <v>0</v>
      </c>
      <c r="E77" s="1"/>
      <c r="F77" s="9"/>
      <c r="V77" s="39"/>
      <c r="W77" s="39"/>
    </row>
    <row r="78" spans="2:24" x14ac:dyDescent="0.25">
      <c r="B78" s="13" t="s">
        <v>623</v>
      </c>
      <c r="C78" s="21">
        <f>VLOOKUP(C72,'W Sections'!$B$4:$U$284,6,FALSE)/1000</f>
        <v>0.26200000000000001</v>
      </c>
      <c r="D78" s="21">
        <f>VLOOKUP(D72,'W Sections'!$B$4:$U$284,6,FALSE)/1000</f>
        <v>0.26200000000000001</v>
      </c>
      <c r="E78" s="1"/>
      <c r="F78" s="9"/>
      <c r="U78" s="48" t="s">
        <v>953</v>
      </c>
      <c r="V78" s="49">
        <f>V76+W76</f>
        <v>156.94930069930072</v>
      </c>
      <c r="W78" t="s">
        <v>952</v>
      </c>
    </row>
    <row r="79" spans="2:24" x14ac:dyDescent="0.25">
      <c r="B79" s="13" t="s">
        <v>620</v>
      </c>
      <c r="C79" s="20">
        <v>2.5499999999999998</v>
      </c>
      <c r="D79" s="20">
        <v>2.5499999999999998</v>
      </c>
      <c r="E79" s="1"/>
      <c r="F79" s="9" t="s">
        <v>962</v>
      </c>
    </row>
    <row r="80" spans="2:24" x14ac:dyDescent="0.25">
      <c r="B80" s="13" t="s">
        <v>621</v>
      </c>
      <c r="C80" s="21">
        <f>C79-C78</f>
        <v>2.2879999999999998</v>
      </c>
      <c r="D80" s="21">
        <f t="shared" ref="D80" si="8">D79-D78</f>
        <v>2.2879999999999998</v>
      </c>
      <c r="E80" s="1"/>
      <c r="F80" s="9"/>
    </row>
    <row r="81" spans="2:6" ht="16.5" thickBot="1" x14ac:dyDescent="0.3">
      <c r="B81" s="14" t="s">
        <v>622</v>
      </c>
      <c r="C81" s="33">
        <f>IF(C76="Strong Column - Weak Beam",(C73*C75+C77)/C80,(C70+C77)/C80)</f>
        <v>78.474650349650361</v>
      </c>
      <c r="D81" s="33">
        <f t="shared" ref="D81" si="9">IF(D76="Strong Column - Weak Beam",(D73*D75+D77)/D80,(D70+D77)/D80)</f>
        <v>78.474650349650361</v>
      </c>
      <c r="E81" s="17">
        <f>SUM(C81:D81)</f>
        <v>156.94930069930072</v>
      </c>
      <c r="F81" s="10"/>
    </row>
    <row r="82" spans="2:6" ht="19.5" thickBot="1" x14ac:dyDescent="0.35">
      <c r="B82" s="60" t="str">
        <f>IF(E21&lt;E36,"Weak Storey",IF(E36&lt;E66, "Weak Storey",IF(E66&lt;E81," Weak Storey","Weak Storey Does Not Exist")))</f>
        <v>Weak Storey Does Not Exist</v>
      </c>
      <c r="C82" s="61"/>
      <c r="D82" s="61"/>
      <c r="E82" s="62"/>
      <c r="F82" s="37"/>
    </row>
  </sheetData>
  <mergeCells count="1">
    <mergeCell ref="B82:E82"/>
  </mergeCells>
  <pageMargins left="0.7" right="0.7" top="0.75" bottom="0.75" header="0.3" footer="0.3"/>
  <pageSetup paperSize="3" scale="52" orientation="portrait" horizontalDpi="1200" verticalDpi="1200"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8AB701D2-14AB-4682-AAF7-8D2E8C4925A4}">
          <x14:formula1>
            <xm:f>'W Sections'!$B$4:$B$284</xm:f>
          </x14:formula1>
          <xm:sqref>C23:D23 C53:D53 C27:D27 C57:D57 C8:D8 C12:D12 C68:D68 C72:D72 C38:D38 C42:D42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2:Q20"/>
  <sheetViews>
    <sheetView showGridLines="0" tabSelected="1" view="pageBreakPreview" zoomScaleNormal="100" zoomScaleSheetLayoutView="100" workbookViewId="0">
      <selection activeCell="L35" sqref="L35"/>
    </sheetView>
  </sheetViews>
  <sheetFormatPr defaultRowHeight="15" x14ac:dyDescent="0.25"/>
  <cols>
    <col min="2" max="2" width="12.42578125" customWidth="1"/>
    <col min="3" max="3" width="12.5703125" customWidth="1"/>
    <col min="4" max="5" width="13.7109375" customWidth="1"/>
    <col min="6" max="6" width="15.5703125" customWidth="1"/>
    <col min="7" max="7" width="13.7109375" customWidth="1"/>
    <col min="8" max="8" width="12.85546875" customWidth="1"/>
    <col min="9" max="9" width="10.85546875" customWidth="1"/>
    <col min="10" max="10" width="17.7109375" customWidth="1"/>
    <col min="12" max="14" width="12" customWidth="1"/>
    <col min="15" max="16" width="12.42578125" customWidth="1"/>
    <col min="17" max="17" width="16.85546875" customWidth="1"/>
  </cols>
  <sheetData>
    <row r="2" spans="2:17" x14ac:dyDescent="0.25">
      <c r="B2" s="38" t="s">
        <v>647</v>
      </c>
    </row>
    <row r="3" spans="2:17" x14ac:dyDescent="0.25">
      <c r="B3" s="38" t="s">
        <v>957</v>
      </c>
    </row>
    <row r="5" spans="2:17" s="8" customFormat="1" ht="30.75" thickBot="1" x14ac:dyDescent="0.3">
      <c r="B5" s="8" t="s">
        <v>640</v>
      </c>
      <c r="C5" s="51" t="s">
        <v>641</v>
      </c>
      <c r="D5" s="52">
        <v>345</v>
      </c>
      <c r="E5" s="52" t="s">
        <v>618</v>
      </c>
      <c r="F5" s="52" t="s">
        <v>642</v>
      </c>
      <c r="G5" s="51" t="s">
        <v>641</v>
      </c>
      <c r="H5" s="52">
        <v>200000</v>
      </c>
      <c r="I5" s="52" t="s">
        <v>636</v>
      </c>
      <c r="J5" s="52"/>
      <c r="K5" s="52" t="s">
        <v>643</v>
      </c>
      <c r="L5" s="52">
        <v>1.34</v>
      </c>
      <c r="M5" s="52"/>
    </row>
    <row r="6" spans="2:17" s="8" customFormat="1" ht="60.75" thickBot="1" x14ac:dyDescent="0.3">
      <c r="B6" s="27" t="s">
        <v>625</v>
      </c>
      <c r="C6" s="28" t="s">
        <v>626</v>
      </c>
      <c r="D6" s="28" t="s">
        <v>628</v>
      </c>
      <c r="E6" s="28" t="s">
        <v>635</v>
      </c>
      <c r="F6" s="28" t="s">
        <v>634</v>
      </c>
      <c r="G6" s="28" t="s">
        <v>627</v>
      </c>
      <c r="H6" s="28" t="s">
        <v>964</v>
      </c>
      <c r="I6" s="29" t="s">
        <v>638</v>
      </c>
      <c r="J6" s="28" t="s">
        <v>963</v>
      </c>
      <c r="K6" s="28" t="s">
        <v>629</v>
      </c>
      <c r="L6" s="28" t="s">
        <v>630</v>
      </c>
      <c r="M6" s="28" t="s">
        <v>639</v>
      </c>
      <c r="N6" s="28" t="s">
        <v>630</v>
      </c>
      <c r="O6" s="28" t="s">
        <v>631</v>
      </c>
      <c r="P6" s="28" t="s">
        <v>632</v>
      </c>
      <c r="Q6" s="30" t="s">
        <v>633</v>
      </c>
    </row>
    <row r="7" spans="2:17" x14ac:dyDescent="0.25">
      <c r="B7" s="53">
        <v>634.4</v>
      </c>
      <c r="C7" s="18" t="s">
        <v>752</v>
      </c>
      <c r="D7" s="18">
        <v>3.3969999999999998</v>
      </c>
      <c r="E7" s="19">
        <f>VLOOKUP(C7,'2L'!$B$4:$Y$284,14,FALSE)</f>
        <v>4200</v>
      </c>
      <c r="F7" s="19">
        <f>MIN(VLOOKUP(C7,'2L'!$B$4:$T$284,17,FALSE),VLOOKUP(C7,'2L'!$B$4:$X$284,21,FALSE))</f>
        <v>21.9</v>
      </c>
      <c r="G7" s="24">
        <f>1*D7*1000/F7</f>
        <v>155.11415525114157</v>
      </c>
      <c r="H7" s="24">
        <f>3.14^2*$H$5/G7^2</f>
        <v>81.957070746504471</v>
      </c>
      <c r="I7" s="24">
        <f>SQRT($D$5/H7)</f>
        <v>2.0517116934482669</v>
      </c>
      <c r="J7" s="31">
        <v>514</v>
      </c>
      <c r="K7" s="43">
        <v>42.613999999999997</v>
      </c>
      <c r="L7" s="31">
        <f>J7*COS(K7*3.14/180)</f>
        <v>378.40006968443532</v>
      </c>
      <c r="M7" s="31">
        <f>0.9*$D$5*E7/1000</f>
        <v>1304.0999999999999</v>
      </c>
      <c r="N7" s="31">
        <f>M7*COS(K7*3.14/180)</f>
        <v>960.0613441157044</v>
      </c>
      <c r="O7" s="18">
        <v>1</v>
      </c>
      <c r="P7" s="18">
        <v>0</v>
      </c>
      <c r="Q7" s="34">
        <f>L7*O7+N7*P7</f>
        <v>378.40006968443532</v>
      </c>
    </row>
    <row r="8" spans="2:17" x14ac:dyDescent="0.25">
      <c r="B8" s="53">
        <v>637.04999999999995</v>
      </c>
      <c r="C8" s="18" t="s">
        <v>756</v>
      </c>
      <c r="D8" s="20">
        <v>3.6429999999999998</v>
      </c>
      <c r="E8" s="19">
        <f>VLOOKUP(C8,'2L'!$B$4:$Y$284,14,FALSE)</f>
        <v>3210</v>
      </c>
      <c r="F8" s="19">
        <f>MIN(VLOOKUP(C8,'2L'!$B$4:$T$284,17,FALSE),VLOOKUP(C8,'2L'!$B$4:$X$284,21,FALSE))</f>
        <v>22.3</v>
      </c>
      <c r="G8" s="25">
        <f>1*D8*1000/F8</f>
        <v>163.36322869955157</v>
      </c>
      <c r="H8" s="25">
        <f t="shared" ref="H8:H10" si="0">3.14^2*$H$5/G8^2</f>
        <v>73.889150822943293</v>
      </c>
      <c r="I8" s="25">
        <f>SQRT($D$5/H8)</f>
        <v>2.1608230793615255</v>
      </c>
      <c r="J8" s="32">
        <v>360.98</v>
      </c>
      <c r="K8" s="44">
        <v>46.667999999999999</v>
      </c>
      <c r="L8" s="32">
        <f>J8*COS(K8*3.14/180)</f>
        <v>247.82179723718974</v>
      </c>
      <c r="M8" s="32">
        <f t="shared" ref="M8:M10" si="1">0.9*$D$5*E8/1000</f>
        <v>996.70500000000004</v>
      </c>
      <c r="N8" s="32">
        <f t="shared" ref="N8:N10" si="2">M8*COS(K8*3.14/180)</f>
        <v>684.26290768267825</v>
      </c>
      <c r="O8" s="20">
        <v>1</v>
      </c>
      <c r="P8" s="20">
        <v>0</v>
      </c>
      <c r="Q8" s="35">
        <f t="shared" ref="Q8:Q10" si="3">L8*O8+N8*P8</f>
        <v>247.82179723718974</v>
      </c>
    </row>
    <row r="9" spans="2:17" x14ac:dyDescent="0.25">
      <c r="B9" s="53">
        <v>639.35</v>
      </c>
      <c r="C9" s="18" t="s">
        <v>892</v>
      </c>
      <c r="D9" s="20">
        <v>3.3969999999999998</v>
      </c>
      <c r="E9" s="19">
        <f>VLOOKUP(C9,'2L'!$B$4:$Y$284,14,FALSE)</f>
        <v>2720</v>
      </c>
      <c r="F9" s="19">
        <f>MIN(VLOOKUP(C9,'2L'!$B$4:$T$284,17,FALSE),VLOOKUP(C9,'2L'!$B$4:$X$284,21,FALSE))</f>
        <v>23.2</v>
      </c>
      <c r="G9" s="25">
        <f>1*D9*1000/F9</f>
        <v>146.42241379310346</v>
      </c>
      <c r="H9" s="25">
        <f t="shared" si="0"/>
        <v>91.97592577010191</v>
      </c>
      <c r="I9" s="25">
        <f>SQRT($D$5/H9)</f>
        <v>1.9367450899360794</v>
      </c>
      <c r="J9" s="32">
        <v>202.536</v>
      </c>
      <c r="K9" s="44">
        <v>42.613999999999997</v>
      </c>
      <c r="L9" s="32">
        <f>J9*COS(K9*3.14/180)</f>
        <v>149.10435119378752</v>
      </c>
      <c r="M9" s="32">
        <f t="shared" si="1"/>
        <v>844.56</v>
      </c>
      <c r="N9" s="32">
        <f t="shared" si="2"/>
        <v>621.75401333207526</v>
      </c>
      <c r="O9" s="20">
        <v>1</v>
      </c>
      <c r="P9" s="20">
        <v>0</v>
      </c>
      <c r="Q9" s="55">
        <f t="shared" si="3"/>
        <v>149.10435119378752</v>
      </c>
    </row>
    <row r="10" spans="2:17" ht="15.75" thickBot="1" x14ac:dyDescent="0.3">
      <c r="B10" s="54">
        <v>640.75</v>
      </c>
      <c r="C10" s="22" t="s">
        <v>794</v>
      </c>
      <c r="D10" s="22">
        <v>2.806</v>
      </c>
      <c r="E10" s="23">
        <f>VLOOKUP(C10,'2L'!$B$4:$Y$284,14,FALSE)</f>
        <v>1530</v>
      </c>
      <c r="F10" s="23">
        <f>MIN(VLOOKUP(C10,'2L'!$B$4:$T$284,17,FALSE),VLOOKUP(C10,'2L'!$B$4:$X$284,21,FALSE))</f>
        <v>14.6</v>
      </c>
      <c r="G10" s="26">
        <f>1*D10*1000/F10</f>
        <v>192.1917808219178</v>
      </c>
      <c r="H10" s="26">
        <f t="shared" si="0"/>
        <v>53.385051988687316</v>
      </c>
      <c r="I10" s="26">
        <f>SQRT($D$5/H10)</f>
        <v>2.5421414535542399</v>
      </c>
      <c r="J10" s="33">
        <v>168</v>
      </c>
      <c r="K10" s="45">
        <v>27.02</v>
      </c>
      <c r="L10" s="33">
        <f>J10*COS(K10*3.14/180)</f>
        <v>149.68070611160132</v>
      </c>
      <c r="M10" s="33">
        <f t="shared" si="1"/>
        <v>475.065</v>
      </c>
      <c r="N10" s="33">
        <f t="shared" si="2"/>
        <v>423.26228957683264</v>
      </c>
      <c r="O10" s="22">
        <v>1</v>
      </c>
      <c r="P10" s="22">
        <v>0</v>
      </c>
      <c r="Q10" s="56">
        <f t="shared" si="3"/>
        <v>149.68070611160132</v>
      </c>
    </row>
    <row r="11" spans="2:17" ht="15.75" thickBot="1" x14ac:dyDescent="0.3">
      <c r="O11" s="63" t="str">
        <f>IF(Q7&lt;Q8,"Weak Storey",IF(Q8&lt;Q9, "Weak Storey",IF(Q9&lt;Q10," Weak Storey","Weak Storey Not Exist")))</f>
        <v xml:space="preserve"> Weak Storey</v>
      </c>
      <c r="P11" s="64"/>
      <c r="Q11" s="65"/>
    </row>
    <row r="12" spans="2:17" x14ac:dyDescent="0.25">
      <c r="B12" t="s">
        <v>966</v>
      </c>
    </row>
    <row r="13" spans="2:17" x14ac:dyDescent="0.25">
      <c r="B13" t="s">
        <v>965</v>
      </c>
    </row>
    <row r="17" spans="13:17" x14ac:dyDescent="0.25">
      <c r="M17" s="66" t="s">
        <v>969</v>
      </c>
      <c r="N17" s="67"/>
      <c r="O17" s="67"/>
      <c r="P17" s="67"/>
      <c r="Q17" s="68"/>
    </row>
    <row r="18" spans="13:17" x14ac:dyDescent="0.25">
      <c r="M18" s="69"/>
      <c r="N18" s="70"/>
      <c r="O18" s="70"/>
      <c r="P18" s="70"/>
      <c r="Q18" s="71"/>
    </row>
    <row r="19" spans="13:17" x14ac:dyDescent="0.25">
      <c r="M19" s="69"/>
      <c r="N19" s="70"/>
      <c r="O19" s="70"/>
      <c r="P19" s="70"/>
      <c r="Q19" s="71"/>
    </row>
    <row r="20" spans="13:17" x14ac:dyDescent="0.25">
      <c r="M20" s="72"/>
      <c r="N20" s="73"/>
      <c r="O20" s="73"/>
      <c r="P20" s="73"/>
      <c r="Q20" s="74"/>
    </row>
  </sheetData>
  <mergeCells count="2">
    <mergeCell ref="O11:Q11"/>
    <mergeCell ref="M17:Q20"/>
  </mergeCells>
  <pageMargins left="0.7" right="0.7" top="0.75" bottom="0.75" header="0.3" footer="0.3"/>
  <pageSetup paperSize="3" scale="87" fitToHeight="0" orientation="landscape" horizontalDpi="1200" verticalDpi="1200" r:id="rId1"/>
  <colBreaks count="1" manualBreakCount="1">
    <brk id="18" min="1" max="41"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9CD4369-2B1A-4089-85C7-B32CE2513F6E}">
          <x14:formula1>
            <xm:f>'2L'!$B$4:$B$284</xm:f>
          </x14:formula1>
          <xm:sqref>C7:C10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AFB49-BB98-4CA3-9A6B-E34BAA970EC7}">
  <sheetPr>
    <pageSetUpPr fitToPage="1"/>
  </sheetPr>
  <dimension ref="B2:X52"/>
  <sheetViews>
    <sheetView showGridLines="0" view="pageBreakPreview" zoomScale="70" zoomScaleNormal="85" zoomScaleSheetLayoutView="70" workbookViewId="0">
      <selection activeCell="K60" sqref="K60"/>
    </sheetView>
  </sheetViews>
  <sheetFormatPr defaultRowHeight="15" x14ac:dyDescent="0.25"/>
  <cols>
    <col min="2" max="2" width="37.42578125" customWidth="1"/>
    <col min="3" max="4" width="27.7109375" style="39" customWidth="1"/>
    <col min="5" max="5" width="14.85546875" customWidth="1"/>
    <col min="6" max="6" width="30.85546875" customWidth="1"/>
  </cols>
  <sheetData>
    <row r="2" spans="2:24" x14ac:dyDescent="0.25">
      <c r="B2" s="38" t="s">
        <v>648</v>
      </c>
    </row>
    <row r="3" spans="2:24" x14ac:dyDescent="0.25">
      <c r="B3" s="38" t="s">
        <v>967</v>
      </c>
    </row>
    <row r="4" spans="2:24" x14ac:dyDescent="0.25">
      <c r="B4" s="38"/>
    </row>
    <row r="5" spans="2:24" ht="18.75" thickBot="1" x14ac:dyDescent="0.4">
      <c r="B5" t="s">
        <v>650</v>
      </c>
      <c r="C5" s="39" t="s">
        <v>641</v>
      </c>
      <c r="D5" s="20">
        <v>350</v>
      </c>
      <c r="E5" t="s">
        <v>636</v>
      </c>
    </row>
    <row r="6" spans="2:24" ht="34.5" customHeight="1" thickBot="1" x14ac:dyDescent="0.3">
      <c r="B6" s="40"/>
      <c r="C6" s="57" t="s">
        <v>3</v>
      </c>
      <c r="D6" s="58" t="s">
        <v>6</v>
      </c>
      <c r="E6" s="28" t="s">
        <v>646</v>
      </c>
      <c r="F6" s="59" t="s">
        <v>644</v>
      </c>
    </row>
    <row r="7" spans="2:24" ht="15.75" x14ac:dyDescent="0.25">
      <c r="B7" s="15" t="s">
        <v>958</v>
      </c>
      <c r="C7" s="19"/>
      <c r="D7" s="19"/>
      <c r="E7" s="11"/>
      <c r="F7" s="12"/>
    </row>
    <row r="8" spans="2:24" x14ac:dyDescent="0.25">
      <c r="B8" s="13" t="s">
        <v>0</v>
      </c>
      <c r="C8" s="20" t="s">
        <v>549</v>
      </c>
      <c r="D8" s="20" t="s">
        <v>549</v>
      </c>
      <c r="E8" s="1"/>
      <c r="F8" s="9"/>
    </row>
    <row r="9" spans="2:24" ht="18" x14ac:dyDescent="0.35">
      <c r="B9" s="13" t="s">
        <v>649</v>
      </c>
      <c r="C9" s="21">
        <f>VLOOKUP(C8,'W Sections'!$B$4:$U$284,20,FALSE)*10^3</f>
        <v>770000</v>
      </c>
      <c r="D9" s="21">
        <f>VLOOKUP(D8,'W Sections'!$B$4:$U$284,20,FALSE)*10^3</f>
        <v>770000</v>
      </c>
      <c r="E9" s="1"/>
      <c r="F9" s="9"/>
    </row>
    <row r="10" spans="2:24" ht="18" x14ac:dyDescent="0.35">
      <c r="B10" s="13" t="s">
        <v>651</v>
      </c>
      <c r="C10" s="21">
        <f>C9*$D$5/1000^2</f>
        <v>269.5</v>
      </c>
      <c r="D10" s="21">
        <f>D9*$D$5/1000^2</f>
        <v>269.5</v>
      </c>
      <c r="E10" s="1"/>
      <c r="F10" s="9"/>
      <c r="T10" s="46" t="s">
        <v>946</v>
      </c>
      <c r="U10" s="47"/>
    </row>
    <row r="11" spans="2:24" ht="18" x14ac:dyDescent="0.35">
      <c r="B11" s="13" t="s">
        <v>2</v>
      </c>
      <c r="C11" s="20">
        <v>2</v>
      </c>
      <c r="D11" s="20">
        <v>2</v>
      </c>
      <c r="E11" s="1"/>
      <c r="F11" s="9"/>
      <c r="U11" s="48" t="s">
        <v>947</v>
      </c>
      <c r="V11" s="49">
        <f>C15/2</f>
        <v>89.775000000000006</v>
      </c>
      <c r="W11" s="49">
        <f>D15/2</f>
        <v>89.775000000000006</v>
      </c>
      <c r="X11" t="s">
        <v>951</v>
      </c>
    </row>
    <row r="12" spans="2:24" x14ac:dyDescent="0.25">
      <c r="B12" s="13" t="s">
        <v>1</v>
      </c>
      <c r="C12" s="20" t="s">
        <v>555</v>
      </c>
      <c r="D12" s="20" t="s">
        <v>555</v>
      </c>
      <c r="E12" s="1"/>
      <c r="F12" s="9"/>
      <c r="V12" s="49"/>
      <c r="W12" s="49"/>
    </row>
    <row r="13" spans="2:24" x14ac:dyDescent="0.25">
      <c r="B13" s="13" t="s">
        <v>4</v>
      </c>
      <c r="C13" s="20">
        <v>1</v>
      </c>
      <c r="D13" s="20">
        <v>1</v>
      </c>
      <c r="E13" s="1"/>
      <c r="F13" s="9"/>
      <c r="T13" s="46" t="s">
        <v>948</v>
      </c>
      <c r="U13" s="47"/>
      <c r="V13" s="49"/>
      <c r="W13" s="49"/>
    </row>
    <row r="14" spans="2:24" ht="18" x14ac:dyDescent="0.35">
      <c r="B14" s="13" t="s">
        <v>619</v>
      </c>
      <c r="C14" s="21">
        <f>VLOOKUP(C12,'W Sections'!$B$4:$U$284,20,FALSE)*10^3</f>
        <v>513000</v>
      </c>
      <c r="D14" s="21">
        <f>VLOOKUP(D12,'W Sections'!$B$4:$U$284,20,FALSE)*10^3</f>
        <v>513000</v>
      </c>
      <c r="E14" s="1"/>
      <c r="F14" s="9"/>
      <c r="U14" s="48" t="s">
        <v>949</v>
      </c>
      <c r="V14" s="49">
        <v>0</v>
      </c>
      <c r="W14" s="49">
        <v>0</v>
      </c>
      <c r="X14" t="s">
        <v>951</v>
      </c>
    </row>
    <row r="15" spans="2:24" ht="18" x14ac:dyDescent="0.35">
      <c r="B15" s="13" t="s">
        <v>652</v>
      </c>
      <c r="C15" s="21">
        <f>C14*$D$5/1000^2</f>
        <v>179.55</v>
      </c>
      <c r="D15" s="21">
        <f>D14*$D$5/1000^2</f>
        <v>179.55</v>
      </c>
      <c r="E15" s="1"/>
      <c r="F15" s="9"/>
      <c r="V15" s="49"/>
      <c r="W15" s="49"/>
    </row>
    <row r="16" spans="2:24" ht="18" x14ac:dyDescent="0.35">
      <c r="B16" s="13" t="s">
        <v>5</v>
      </c>
      <c r="C16" s="21" t="str">
        <f>IF(C11*C10&gt;C15*C13,"Strong Column - Weak Beam", "Strong Beam - Weak Column")</f>
        <v>Strong Column - Weak Beam</v>
      </c>
      <c r="D16" s="21" t="str">
        <f>IF(D11*D10&gt;D15*D13,"Strong Column - Weak Beam", "Strong Beam - Weak Column")</f>
        <v>Strong Column - Weak Beam</v>
      </c>
      <c r="E16" s="1"/>
      <c r="F16" s="9"/>
      <c r="U16" s="48" t="s">
        <v>950</v>
      </c>
      <c r="V16" s="49">
        <f>(V11+V14)/C20</f>
        <v>47.362173568979159</v>
      </c>
      <c r="W16" s="49">
        <f>(W11+W14)/D20</f>
        <v>47.362173568979159</v>
      </c>
      <c r="X16" t="s">
        <v>952</v>
      </c>
    </row>
    <row r="17" spans="2:24" x14ac:dyDescent="0.25">
      <c r="B17" s="13" t="s">
        <v>624</v>
      </c>
      <c r="C17" s="21">
        <v>0</v>
      </c>
      <c r="D17" s="21">
        <v>0</v>
      </c>
      <c r="E17" s="1"/>
      <c r="F17" s="9"/>
      <c r="V17" s="39"/>
      <c r="W17" s="39"/>
    </row>
    <row r="18" spans="2:24" x14ac:dyDescent="0.25">
      <c r="B18" s="13" t="s">
        <v>623</v>
      </c>
      <c r="C18" s="21">
        <f>VLOOKUP(C12,'W Sections'!$B$4:$U$284,6,FALSE)/1000</f>
        <v>0.26200000000000001</v>
      </c>
      <c r="D18" s="21">
        <f>VLOOKUP(D12,'W Sections'!$B$4:$U$284,6,FALSE)/1000</f>
        <v>0.26200000000000001</v>
      </c>
      <c r="E18" s="1"/>
      <c r="F18" s="9"/>
      <c r="U18" s="48" t="s">
        <v>953</v>
      </c>
      <c r="V18" s="49">
        <f>V16+W16</f>
        <v>94.724347137958318</v>
      </c>
      <c r="W18" t="s">
        <v>952</v>
      </c>
    </row>
    <row r="19" spans="2:24" x14ac:dyDescent="0.25">
      <c r="B19" s="13" t="s">
        <v>620</v>
      </c>
      <c r="C19" s="50">
        <v>2.1575000000000002</v>
      </c>
      <c r="D19" s="50">
        <v>2.1575000000000002</v>
      </c>
      <c r="E19" s="1"/>
      <c r="F19" s="9" t="s">
        <v>645</v>
      </c>
    </row>
    <row r="20" spans="2:24" x14ac:dyDescent="0.25">
      <c r="B20" s="13" t="s">
        <v>621</v>
      </c>
      <c r="C20" s="21">
        <f>C19-C18</f>
        <v>1.8955000000000002</v>
      </c>
      <c r="D20" s="21">
        <f t="shared" ref="D20" si="0">D19-D18</f>
        <v>1.8955000000000002</v>
      </c>
      <c r="E20" s="1"/>
      <c r="F20" s="9"/>
    </row>
    <row r="21" spans="2:24" ht="16.5" thickBot="1" x14ac:dyDescent="0.3">
      <c r="B21" s="14" t="s">
        <v>622</v>
      </c>
      <c r="C21" s="33">
        <f>IF(C16="Strong Column - Weak Beam",(C13*C15+C17)/C20,(C10+C17)/C20)</f>
        <v>94.724347137958318</v>
      </c>
      <c r="D21" s="33">
        <f t="shared" ref="D21" si="1">IF(D16="Strong Column - Weak Beam",(D13*D15+D17)/D20,(D10+D17)/D20)</f>
        <v>94.724347137958318</v>
      </c>
      <c r="E21" s="17">
        <f>SUM(C21:D21)</f>
        <v>189.44869427591664</v>
      </c>
      <c r="F21" s="10"/>
    </row>
    <row r="22" spans="2:24" ht="15.75" x14ac:dyDescent="0.25">
      <c r="B22" s="16" t="s">
        <v>959</v>
      </c>
      <c r="C22" s="19"/>
      <c r="D22" s="19"/>
      <c r="E22" s="11"/>
      <c r="F22" s="12"/>
    </row>
    <row r="23" spans="2:24" x14ac:dyDescent="0.25">
      <c r="B23" s="13" t="s">
        <v>0</v>
      </c>
      <c r="C23" s="20" t="s">
        <v>549</v>
      </c>
      <c r="D23" s="20" t="s">
        <v>549</v>
      </c>
      <c r="E23" s="1"/>
      <c r="F23" s="9"/>
    </row>
    <row r="24" spans="2:24" ht="18" x14ac:dyDescent="0.35">
      <c r="B24" s="13" t="s">
        <v>649</v>
      </c>
      <c r="C24" s="21">
        <f>VLOOKUP(C23,'W Sections'!$B$4:$U$284,20,FALSE)*10^3</f>
        <v>770000</v>
      </c>
      <c r="D24" s="21">
        <f>VLOOKUP(D23,'W Sections'!$B$4:$U$284,20,FALSE)*10^3</f>
        <v>770000</v>
      </c>
      <c r="E24" s="1"/>
      <c r="F24" s="9"/>
    </row>
    <row r="25" spans="2:24" ht="18" x14ac:dyDescent="0.35">
      <c r="B25" s="13" t="s">
        <v>651</v>
      </c>
      <c r="C25" s="21">
        <f>C24*$D$5/1000^2</f>
        <v>269.5</v>
      </c>
      <c r="D25" s="21">
        <f>D24*$D$5/1000^2</f>
        <v>269.5</v>
      </c>
      <c r="E25" s="1"/>
      <c r="F25" s="9"/>
      <c r="T25" s="46" t="s">
        <v>946</v>
      </c>
      <c r="U25" s="47"/>
    </row>
    <row r="26" spans="2:24" ht="18" x14ac:dyDescent="0.35">
      <c r="B26" s="13" t="s">
        <v>2</v>
      </c>
      <c r="C26" s="20">
        <v>2</v>
      </c>
      <c r="D26" s="20">
        <v>2</v>
      </c>
      <c r="E26" s="1"/>
      <c r="F26" s="9"/>
      <c r="U26" s="48" t="s">
        <v>947</v>
      </c>
      <c r="V26" s="49">
        <f>C30/2</f>
        <v>89.775000000000006</v>
      </c>
      <c r="W26" s="49">
        <f>D30/2</f>
        <v>89.775000000000006</v>
      </c>
      <c r="X26" t="s">
        <v>951</v>
      </c>
    </row>
    <row r="27" spans="2:24" x14ac:dyDescent="0.25">
      <c r="B27" s="13" t="s">
        <v>1</v>
      </c>
      <c r="C27" s="20" t="s">
        <v>555</v>
      </c>
      <c r="D27" s="20" t="s">
        <v>555</v>
      </c>
      <c r="E27" s="1"/>
      <c r="F27" s="9"/>
      <c r="V27" s="49"/>
      <c r="W27" s="49"/>
    </row>
    <row r="28" spans="2:24" x14ac:dyDescent="0.25">
      <c r="B28" s="13" t="s">
        <v>4</v>
      </c>
      <c r="C28" s="20">
        <v>1</v>
      </c>
      <c r="D28" s="20">
        <v>1</v>
      </c>
      <c r="E28" s="1"/>
      <c r="F28" s="9"/>
      <c r="T28" s="46" t="s">
        <v>948</v>
      </c>
      <c r="U28" s="47"/>
      <c r="V28" s="49"/>
      <c r="W28" s="49"/>
    </row>
    <row r="29" spans="2:24" ht="18" x14ac:dyDescent="0.35">
      <c r="B29" s="13" t="s">
        <v>619</v>
      </c>
      <c r="C29" s="21">
        <f>VLOOKUP(C27,'W Sections'!$B$4:$U$284,20,FALSE)*10^3</f>
        <v>513000</v>
      </c>
      <c r="D29" s="21">
        <f>VLOOKUP(D27,'W Sections'!$B$4:$U$284,20,FALSE)*10^3</f>
        <v>513000</v>
      </c>
      <c r="E29" s="1"/>
      <c r="F29" s="9"/>
      <c r="U29" s="48" t="s">
        <v>949</v>
      </c>
      <c r="V29" s="49">
        <f>C15/2</f>
        <v>89.775000000000006</v>
      </c>
      <c r="W29" s="49">
        <f>D15/2</f>
        <v>89.775000000000006</v>
      </c>
      <c r="X29" t="s">
        <v>951</v>
      </c>
    </row>
    <row r="30" spans="2:24" ht="18" x14ac:dyDescent="0.35">
      <c r="B30" s="13" t="s">
        <v>652</v>
      </c>
      <c r="C30" s="21">
        <f>C29*$D$5/1000^2</f>
        <v>179.55</v>
      </c>
      <c r="D30" s="21">
        <f>D29*$D$5/1000^2</f>
        <v>179.55</v>
      </c>
      <c r="E30" s="1"/>
      <c r="F30" s="9"/>
      <c r="V30" s="49"/>
      <c r="W30" s="49"/>
    </row>
    <row r="31" spans="2:24" ht="18" x14ac:dyDescent="0.35">
      <c r="B31" s="13" t="s">
        <v>5</v>
      </c>
      <c r="C31" s="21" t="str">
        <f>IF(C26*C25&gt;C30*C28,"Strong Column - Weak Beam", "Strong Beam - Weak Column")</f>
        <v>Strong Column - Weak Beam</v>
      </c>
      <c r="D31" s="21" t="str">
        <f>IF(D26*D25&gt;D30*D28,"Strong Column - Weak Beam", "Strong Beam - Weak Column")</f>
        <v>Strong Column - Weak Beam</v>
      </c>
      <c r="E31" s="1"/>
      <c r="F31" s="9"/>
      <c r="U31" s="48" t="s">
        <v>950</v>
      </c>
      <c r="V31" s="49">
        <f>(V26+V29)/C35</f>
        <v>73.121563836285901</v>
      </c>
      <c r="W31" s="49">
        <f>(W26+W29)/D35</f>
        <v>73.121563836285901</v>
      </c>
      <c r="X31" t="s">
        <v>952</v>
      </c>
    </row>
    <row r="32" spans="2:24" x14ac:dyDescent="0.25">
      <c r="B32" s="13" t="s">
        <v>624</v>
      </c>
      <c r="C32" s="21">
        <v>0</v>
      </c>
      <c r="D32" s="21">
        <v>0</v>
      </c>
      <c r="E32" s="1"/>
      <c r="F32" s="9"/>
      <c r="V32" s="39"/>
      <c r="W32" s="39"/>
    </row>
    <row r="33" spans="2:24" x14ac:dyDescent="0.25">
      <c r="B33" s="13" t="s">
        <v>623</v>
      </c>
      <c r="C33" s="21">
        <f>VLOOKUP(C27,'W Sections'!$B$4:$U$284,6,FALSE)/1000</f>
        <v>0.26200000000000001</v>
      </c>
      <c r="D33" s="21">
        <f>VLOOKUP(D27,'W Sections'!$B$4:$U$284,6,FALSE)/1000</f>
        <v>0.26200000000000001</v>
      </c>
      <c r="E33" s="1"/>
      <c r="F33" s="9"/>
      <c r="U33" s="48" t="s">
        <v>953</v>
      </c>
      <c r="V33" s="49">
        <f>V31+W31</f>
        <v>146.2431276725718</v>
      </c>
      <c r="W33" t="s">
        <v>952</v>
      </c>
    </row>
    <row r="34" spans="2:24" x14ac:dyDescent="0.25">
      <c r="B34" s="13" t="s">
        <v>620</v>
      </c>
      <c r="C34" s="50">
        <f>5.435/2</f>
        <v>2.7174999999999998</v>
      </c>
      <c r="D34" s="50">
        <f>5.435/2</f>
        <v>2.7174999999999998</v>
      </c>
      <c r="E34" s="1"/>
      <c r="F34" s="9" t="s">
        <v>645</v>
      </c>
    </row>
    <row r="35" spans="2:24" x14ac:dyDescent="0.25">
      <c r="B35" s="13" t="s">
        <v>621</v>
      </c>
      <c r="C35" s="21">
        <f>C34-C33</f>
        <v>2.4554999999999998</v>
      </c>
      <c r="D35" s="21">
        <f t="shared" ref="D35" si="2">D34-D33</f>
        <v>2.4554999999999998</v>
      </c>
      <c r="E35" s="1"/>
      <c r="F35" s="9"/>
    </row>
    <row r="36" spans="2:24" ht="16.5" thickBot="1" x14ac:dyDescent="0.3">
      <c r="B36" s="14" t="s">
        <v>622</v>
      </c>
      <c r="C36" s="33">
        <f>IF(C31="Strong Column - Weak Beam",(C28*C30+C32)/C35,(C25+C32)/C35)</f>
        <v>73.121563836285901</v>
      </c>
      <c r="D36" s="33">
        <f t="shared" ref="D36" si="3">IF(D31="Strong Column - Weak Beam",(D28*D30+D32)/D35,(D25+D32)/D35)</f>
        <v>73.121563836285901</v>
      </c>
      <c r="E36" s="17">
        <f>SUM(C36:D36)</f>
        <v>146.2431276725718</v>
      </c>
      <c r="F36" s="10"/>
    </row>
    <row r="37" spans="2:24" ht="15.75" x14ac:dyDescent="0.25">
      <c r="B37" s="16" t="s">
        <v>960</v>
      </c>
      <c r="C37" s="19"/>
      <c r="D37" s="19"/>
      <c r="E37" s="11"/>
      <c r="F37" s="12"/>
    </row>
    <row r="38" spans="2:24" x14ac:dyDescent="0.25">
      <c r="B38" s="13" t="s">
        <v>0</v>
      </c>
      <c r="C38" s="20" t="s">
        <v>549</v>
      </c>
      <c r="D38" s="20" t="s">
        <v>549</v>
      </c>
      <c r="E38" s="1"/>
      <c r="F38" s="9"/>
    </row>
    <row r="39" spans="2:24" ht="18" x14ac:dyDescent="0.35">
      <c r="B39" s="13" t="s">
        <v>649</v>
      </c>
      <c r="C39" s="21">
        <f>VLOOKUP(C38,'W Sections'!$B$4:$U$284,20,FALSE)*10^3</f>
        <v>770000</v>
      </c>
      <c r="D39" s="21">
        <f>VLOOKUP(D38,'W Sections'!$B$4:$U$284,20,FALSE)*10^3</f>
        <v>770000</v>
      </c>
      <c r="E39" s="1"/>
      <c r="F39" s="9"/>
    </row>
    <row r="40" spans="2:24" ht="18" x14ac:dyDescent="0.35">
      <c r="B40" s="13" t="s">
        <v>651</v>
      </c>
      <c r="C40" s="21">
        <f>C39*$D$5/1000^2</f>
        <v>269.5</v>
      </c>
      <c r="D40" s="21">
        <f>D39*$D$5/1000^2</f>
        <v>269.5</v>
      </c>
      <c r="E40" s="1"/>
      <c r="F40" s="9"/>
      <c r="T40" s="46" t="s">
        <v>946</v>
      </c>
      <c r="U40" s="47"/>
    </row>
    <row r="41" spans="2:24" ht="18" x14ac:dyDescent="0.35">
      <c r="B41" s="13" t="s">
        <v>2</v>
      </c>
      <c r="C41" s="20">
        <v>2</v>
      </c>
      <c r="D41" s="20">
        <v>2</v>
      </c>
      <c r="E41" s="1"/>
      <c r="F41" s="9"/>
      <c r="U41" s="48" t="s">
        <v>947</v>
      </c>
      <c r="V41" s="49">
        <f>C45/2</f>
        <v>89.775000000000006</v>
      </c>
      <c r="W41" s="49">
        <f>D45/2</f>
        <v>89.775000000000006</v>
      </c>
      <c r="X41" t="s">
        <v>951</v>
      </c>
    </row>
    <row r="42" spans="2:24" x14ac:dyDescent="0.25">
      <c r="B42" s="13" t="s">
        <v>1</v>
      </c>
      <c r="C42" s="20" t="s">
        <v>555</v>
      </c>
      <c r="D42" s="20" t="s">
        <v>555</v>
      </c>
      <c r="E42" s="1"/>
      <c r="F42" s="9"/>
      <c r="V42" s="49"/>
      <c r="W42" s="49"/>
    </row>
    <row r="43" spans="2:24" x14ac:dyDescent="0.25">
      <c r="B43" s="13" t="s">
        <v>4</v>
      </c>
      <c r="C43" s="20">
        <v>1</v>
      </c>
      <c r="D43" s="20">
        <v>1</v>
      </c>
      <c r="E43" s="1"/>
      <c r="F43" s="9"/>
      <c r="T43" s="46" t="s">
        <v>948</v>
      </c>
      <c r="U43" s="47"/>
      <c r="V43" s="49"/>
      <c r="W43" s="49"/>
    </row>
    <row r="44" spans="2:24" ht="18" x14ac:dyDescent="0.35">
      <c r="B44" s="13" t="s">
        <v>619</v>
      </c>
      <c r="C44" s="21">
        <f>VLOOKUP(C42,'W Sections'!$B$4:$U$284,20,FALSE)*10^3</f>
        <v>513000</v>
      </c>
      <c r="D44" s="21">
        <f>VLOOKUP(D42,'W Sections'!$B$4:$U$284,20,FALSE)*10^3</f>
        <v>513000</v>
      </c>
      <c r="E44" s="1"/>
      <c r="F44" s="9"/>
      <c r="U44" s="48" t="s">
        <v>949</v>
      </c>
      <c r="V44" s="49">
        <f>C30/2</f>
        <v>89.775000000000006</v>
      </c>
      <c r="W44" s="49">
        <f>D30/2</f>
        <v>89.775000000000006</v>
      </c>
      <c r="X44" t="s">
        <v>951</v>
      </c>
    </row>
    <row r="45" spans="2:24" ht="18" x14ac:dyDescent="0.35">
      <c r="B45" s="13" t="s">
        <v>652</v>
      </c>
      <c r="C45" s="21">
        <f>C44*$D$5/1000^2</f>
        <v>179.55</v>
      </c>
      <c r="D45" s="21">
        <f>D44*$D$5/1000^2</f>
        <v>179.55</v>
      </c>
      <c r="E45" s="1"/>
      <c r="F45" s="9"/>
      <c r="V45" s="49"/>
      <c r="W45" s="49"/>
    </row>
    <row r="46" spans="2:24" ht="18" x14ac:dyDescent="0.35">
      <c r="B46" s="13" t="s">
        <v>5</v>
      </c>
      <c r="C46" s="21" t="str">
        <f>IF(C41*C40&gt;C45*C43,"Strong Column - Weak Beam", "Strong Beam - Weak Column")</f>
        <v>Strong Column - Weak Beam</v>
      </c>
      <c r="D46" s="21" t="str">
        <f>IF(D41*D40&gt;D45*D43,"Strong Column - Weak Beam", "Strong Beam - Weak Column")</f>
        <v>Strong Column - Weak Beam</v>
      </c>
      <c r="E46" s="1"/>
      <c r="F46" s="9"/>
      <c r="U46" s="48" t="s">
        <v>950</v>
      </c>
      <c r="V46" s="49">
        <f>(V41+V44)/C50</f>
        <v>49.695543869360648</v>
      </c>
      <c r="W46" s="49">
        <f>(W41+W44)/D50</f>
        <v>49.695543869360648</v>
      </c>
      <c r="X46" t="s">
        <v>952</v>
      </c>
    </row>
    <row r="47" spans="2:24" x14ac:dyDescent="0.25">
      <c r="B47" s="13" t="s">
        <v>624</v>
      </c>
      <c r="C47" s="21">
        <v>0</v>
      </c>
      <c r="D47" s="21">
        <v>0</v>
      </c>
      <c r="E47" s="1"/>
      <c r="F47" s="9"/>
      <c r="V47" s="39"/>
      <c r="W47" s="39"/>
    </row>
    <row r="48" spans="2:24" x14ac:dyDescent="0.25">
      <c r="B48" s="13" t="s">
        <v>623</v>
      </c>
      <c r="C48" s="21">
        <f>VLOOKUP(C42,'W Sections'!$B$4:$U$284,6,FALSE)/1000</f>
        <v>0.26200000000000001</v>
      </c>
      <c r="D48" s="21">
        <f>VLOOKUP(D42,'W Sections'!$B$4:$U$284,6,FALSE)/1000</f>
        <v>0.26200000000000001</v>
      </c>
      <c r="E48" s="1"/>
      <c r="F48" s="9"/>
      <c r="U48" s="48" t="s">
        <v>953</v>
      </c>
      <c r="V48" s="49">
        <f>V46+W46</f>
        <v>99.391087738721296</v>
      </c>
      <c r="W48" t="s">
        <v>952</v>
      </c>
    </row>
    <row r="49" spans="2:6" x14ac:dyDescent="0.25">
      <c r="B49" s="13" t="s">
        <v>620</v>
      </c>
      <c r="C49" s="50">
        <v>3.875</v>
      </c>
      <c r="D49" s="50">
        <v>3.875</v>
      </c>
      <c r="E49" s="1"/>
      <c r="F49" s="9" t="s">
        <v>645</v>
      </c>
    </row>
    <row r="50" spans="2:6" x14ac:dyDescent="0.25">
      <c r="B50" s="13" t="s">
        <v>621</v>
      </c>
      <c r="C50" s="21">
        <f>C49-C48</f>
        <v>3.613</v>
      </c>
      <c r="D50" s="21">
        <f t="shared" ref="D50" si="4">D49-D48</f>
        <v>3.613</v>
      </c>
      <c r="E50" s="1"/>
      <c r="F50" s="9"/>
    </row>
    <row r="51" spans="2:6" ht="16.5" thickBot="1" x14ac:dyDescent="0.3">
      <c r="B51" s="14" t="s">
        <v>622</v>
      </c>
      <c r="C51" s="33">
        <f>IF(C46="Strong Column - Weak Beam",(C43*C45+C47)/C50,(C40+C47)/C50)</f>
        <v>49.695543869360648</v>
      </c>
      <c r="D51" s="33">
        <f t="shared" ref="D51" si="5">IF(D46="Strong Column - Weak Beam",(D43*D45+D47)/D50,(D40+D47)/D50)</f>
        <v>49.695543869360648</v>
      </c>
      <c r="E51" s="17">
        <f>SUM(C51:D51)</f>
        <v>99.391087738721296</v>
      </c>
      <c r="F51" s="10"/>
    </row>
    <row r="52" spans="2:6" ht="19.5" thickBot="1" x14ac:dyDescent="0.35">
      <c r="B52" s="60" t="str">
        <f>IF(E21&lt;E36,"Weak Storey",IF(E36&lt;E51,"Weak Storey","Weak Storey Does Not Exist"))</f>
        <v>Weak Storey Does Not Exist</v>
      </c>
      <c r="C52" s="61"/>
      <c r="D52" s="61"/>
      <c r="E52" s="62"/>
      <c r="F52" s="37"/>
    </row>
  </sheetData>
  <mergeCells count="1">
    <mergeCell ref="B52:E52"/>
  </mergeCells>
  <pageMargins left="0.7" right="0.7" top="0.75" bottom="0.75" header="0.3" footer="0.3"/>
  <pageSetup paperSize="3" scale="54" orientation="portrait" horizontalDpi="1200" verticalDpi="1200"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D24B1F62-E383-46BD-AA5C-81DE54B9FF81}">
          <x14:formula1>
            <xm:f>'W Sections'!$B$4:$B$284</xm:f>
          </x14:formula1>
          <xm:sqref>C8:D8 C23:D23 C27:D27 C42:D42 C12:D12 C38:D38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0955A-9F5D-4C50-BBE5-499640D7F1CD}">
  <sheetPr>
    <pageSetUpPr fitToPage="1"/>
  </sheetPr>
  <dimension ref="B2:Q13"/>
  <sheetViews>
    <sheetView showGridLines="0" view="pageBreakPreview" zoomScaleNormal="100" zoomScaleSheetLayoutView="100" workbookViewId="0">
      <selection activeCell="K60" sqref="K60"/>
    </sheetView>
  </sheetViews>
  <sheetFormatPr defaultRowHeight="15" x14ac:dyDescent="0.25"/>
  <cols>
    <col min="2" max="2" width="12.42578125" customWidth="1"/>
    <col min="3" max="3" width="12.5703125" customWidth="1"/>
    <col min="4" max="5" width="13.7109375" customWidth="1"/>
    <col min="6" max="6" width="15.5703125" customWidth="1"/>
    <col min="7" max="7" width="15" customWidth="1"/>
    <col min="8" max="8" width="13.140625" customWidth="1"/>
    <col min="9" max="9" width="9.5703125" customWidth="1"/>
    <col min="10" max="10" width="19.42578125" customWidth="1"/>
    <col min="12" max="14" width="12" customWidth="1"/>
    <col min="15" max="15" width="14.7109375" customWidth="1"/>
    <col min="16" max="16" width="12.42578125" customWidth="1"/>
    <col min="17" max="17" width="16" customWidth="1"/>
  </cols>
  <sheetData>
    <row r="2" spans="2:17" x14ac:dyDescent="0.25">
      <c r="B2" s="38" t="s">
        <v>647</v>
      </c>
    </row>
    <row r="3" spans="2:17" x14ac:dyDescent="0.25">
      <c r="B3" s="38" t="s">
        <v>957</v>
      </c>
    </row>
    <row r="4" spans="2:17" x14ac:dyDescent="0.25">
      <c r="B4" s="38"/>
    </row>
    <row r="5" spans="2:17" s="8" customFormat="1" ht="30.75" thickBot="1" x14ac:dyDescent="0.3">
      <c r="B5" s="8" t="s">
        <v>640</v>
      </c>
      <c r="C5" s="8" t="s">
        <v>641</v>
      </c>
      <c r="D5" s="8">
        <v>345</v>
      </c>
      <c r="E5" s="8" t="s">
        <v>618</v>
      </c>
      <c r="F5" s="8" t="s">
        <v>642</v>
      </c>
      <c r="G5" s="8" t="s">
        <v>641</v>
      </c>
      <c r="H5" s="8">
        <v>200000</v>
      </c>
      <c r="I5" s="8" t="s">
        <v>636</v>
      </c>
      <c r="K5" s="8" t="s">
        <v>643</v>
      </c>
      <c r="L5" s="8">
        <v>1.34</v>
      </c>
    </row>
    <row r="6" spans="2:17" s="8" customFormat="1" ht="60.75" thickBot="1" x14ac:dyDescent="0.3">
      <c r="B6" s="27" t="s">
        <v>625</v>
      </c>
      <c r="C6" s="28" t="s">
        <v>626</v>
      </c>
      <c r="D6" s="28" t="s">
        <v>628</v>
      </c>
      <c r="E6" s="28" t="s">
        <v>635</v>
      </c>
      <c r="F6" s="28" t="s">
        <v>634</v>
      </c>
      <c r="G6" s="28" t="s">
        <v>627</v>
      </c>
      <c r="H6" s="28" t="s">
        <v>637</v>
      </c>
      <c r="I6" s="29" t="s">
        <v>638</v>
      </c>
      <c r="J6" s="28" t="s">
        <v>963</v>
      </c>
      <c r="K6" s="28" t="s">
        <v>629</v>
      </c>
      <c r="L6" s="28" t="s">
        <v>630</v>
      </c>
      <c r="M6" s="28" t="s">
        <v>639</v>
      </c>
      <c r="N6" s="28" t="s">
        <v>630</v>
      </c>
      <c r="O6" s="28" t="s">
        <v>631</v>
      </c>
      <c r="P6" s="28" t="s">
        <v>632</v>
      </c>
      <c r="Q6" s="30" t="s">
        <v>633</v>
      </c>
    </row>
    <row r="7" spans="2:17" x14ac:dyDescent="0.25">
      <c r="B7" s="53">
        <v>634.54999999999995</v>
      </c>
      <c r="C7" s="18" t="s">
        <v>752</v>
      </c>
      <c r="D7" s="18">
        <v>2.6960000000000002</v>
      </c>
      <c r="E7" s="19">
        <f>VLOOKUP(C7,'2L'!$B$4:$Y$284,14,FALSE)</f>
        <v>4200</v>
      </c>
      <c r="F7" s="19">
        <f>MIN(VLOOKUP(C7,'2L'!$B$4:$T$284,17,FALSE),VLOOKUP(C7,'2L'!$B$4:$X$284,21,FALSE))</f>
        <v>21.9</v>
      </c>
      <c r="G7" s="24">
        <f>1*D7*1000/F7</f>
        <v>123.10502283105023</v>
      </c>
      <c r="H7" s="24">
        <f>3.14^2*$H$5/G7^2</f>
        <v>130.11810980549268</v>
      </c>
      <c r="I7" s="24">
        <f>SQRT($D$5/H7)</f>
        <v>1.6283234399577649</v>
      </c>
      <c r="J7" s="31">
        <v>695</v>
      </c>
      <c r="K7" s="43">
        <v>56.192</v>
      </c>
      <c r="L7" s="31">
        <f>J7*COS(K7*3.14/180)</f>
        <v>386.99315818326426</v>
      </c>
      <c r="M7" s="31">
        <f>0.9*$D$5*E7/1000</f>
        <v>1304.0999999999999</v>
      </c>
      <c r="N7" s="31">
        <f>M7*COS(K7*3.14/180)</f>
        <v>726.15507566445308</v>
      </c>
      <c r="O7" s="18">
        <v>1</v>
      </c>
      <c r="P7" s="18">
        <v>1</v>
      </c>
      <c r="Q7" s="34">
        <f>L7*O7+N7*P7</f>
        <v>1113.1482338477174</v>
      </c>
    </row>
    <row r="8" spans="2:17" x14ac:dyDescent="0.25">
      <c r="B8" s="53">
        <v>636.45000000000005</v>
      </c>
      <c r="C8" s="18" t="s">
        <v>892</v>
      </c>
      <c r="D8" s="20">
        <v>2.4209999999999998</v>
      </c>
      <c r="E8" s="19">
        <f>VLOOKUP(C8,'2L'!$B$4:$Y$284,14,FALSE)</f>
        <v>2720</v>
      </c>
      <c r="F8" s="19">
        <f>MIN(VLOOKUP(C8,'2L'!$B$4:$T$284,17,FALSE),VLOOKUP(C8,'2L'!$B$4:$X$284,21,FALSE))</f>
        <v>23.2</v>
      </c>
      <c r="G8" s="25">
        <f>1*D8*1000/F8</f>
        <v>104.35344827586208</v>
      </c>
      <c r="H8" s="25">
        <f t="shared" ref="H8:H10" si="0">3.14^2*$H$5/G8^2</f>
        <v>181.0821668653447</v>
      </c>
      <c r="I8" s="25">
        <f>SQRT($D$5/H8)</f>
        <v>1.3802943369841767</v>
      </c>
      <c r="J8" s="32">
        <v>344.69600000000003</v>
      </c>
      <c r="K8" s="44">
        <v>51.71</v>
      </c>
      <c r="L8" s="32">
        <f>J8*COS(K8*3.14/180)</f>
        <v>213.71189899913492</v>
      </c>
      <c r="M8" s="32">
        <f t="shared" ref="M8:M10" si="1">0.9*$D$5*E8/1000</f>
        <v>844.56</v>
      </c>
      <c r="N8" s="32">
        <f t="shared" ref="N8:N10" si="2">M8*COS(K8*3.14/180)</f>
        <v>523.62812860813403</v>
      </c>
      <c r="O8" s="20">
        <v>1</v>
      </c>
      <c r="P8" s="20">
        <v>1</v>
      </c>
      <c r="Q8" s="35">
        <f t="shared" ref="Q8:Q10" si="3">L8*O8+N8*P8</f>
        <v>737.34002760726889</v>
      </c>
    </row>
    <row r="9" spans="2:17" x14ac:dyDescent="0.25">
      <c r="B9" s="53">
        <v>638.5</v>
      </c>
      <c r="C9" s="18" t="s">
        <v>892</v>
      </c>
      <c r="D9" s="20">
        <v>2.54</v>
      </c>
      <c r="E9" s="19">
        <f>VLOOKUP(C9,'2L'!$B$4:$Y$284,14,FALSE)</f>
        <v>2720</v>
      </c>
      <c r="F9" s="19">
        <f>MIN(VLOOKUP(C9,'2L'!$B$4:$T$284,17,FALSE),VLOOKUP(C9,'2L'!$B$4:$X$284,21,FALSE))</f>
        <v>23.2</v>
      </c>
      <c r="G9" s="25">
        <f>1*D9*1000/F9</f>
        <v>109.48275862068967</v>
      </c>
      <c r="H9" s="25">
        <f t="shared" si="0"/>
        <v>164.51209324818646</v>
      </c>
      <c r="I9" s="25">
        <f>SQRT($D$5/H9)</f>
        <v>1.4481402791985993</v>
      </c>
      <c r="J9" s="32">
        <v>320.60000000000002</v>
      </c>
      <c r="K9" s="44">
        <v>53.807000000000002</v>
      </c>
      <c r="L9" s="32">
        <f>J9*COS(K9*3.14/180)</f>
        <v>189.43972714132357</v>
      </c>
      <c r="M9" s="32">
        <f t="shared" si="1"/>
        <v>844.56</v>
      </c>
      <c r="N9" s="32">
        <f t="shared" si="2"/>
        <v>499.04309405638247</v>
      </c>
      <c r="O9" s="20">
        <v>1</v>
      </c>
      <c r="P9" s="20">
        <v>1</v>
      </c>
      <c r="Q9" s="35">
        <f t="shared" si="3"/>
        <v>688.48282119770602</v>
      </c>
    </row>
    <row r="10" spans="2:17" ht="15.75" thickBot="1" x14ac:dyDescent="0.3">
      <c r="B10" s="54">
        <v>640.4</v>
      </c>
      <c r="C10" s="22" t="s">
        <v>794</v>
      </c>
      <c r="D10" s="22">
        <v>2.3239999999999998</v>
      </c>
      <c r="E10" s="23">
        <f>VLOOKUP(C10,'2L'!$B$4:$Y$284,14,FALSE)</f>
        <v>1530</v>
      </c>
      <c r="F10" s="23">
        <f>MIN(VLOOKUP(C10,'2L'!$B$4:$T$284,17,FALSE),VLOOKUP(C10,'2L'!$B$4:$X$284,21,FALSE))</f>
        <v>14.6</v>
      </c>
      <c r="G10" s="26">
        <f>1*D10*1000/F10</f>
        <v>159.17808219178082</v>
      </c>
      <c r="H10" s="26">
        <f t="shared" si="0"/>
        <v>77.825649882539764</v>
      </c>
      <c r="I10" s="26">
        <f>SQRT($D$5/H10)</f>
        <v>2.1054656942480592</v>
      </c>
      <c r="J10" s="33">
        <v>219.5</v>
      </c>
      <c r="K10" s="45">
        <v>49.8</v>
      </c>
      <c r="L10" s="33">
        <f>J10*COS(K10*3.14/180)</f>
        <v>141.75182243841957</v>
      </c>
      <c r="M10" s="33">
        <f t="shared" si="1"/>
        <v>475.065</v>
      </c>
      <c r="N10" s="33">
        <f t="shared" si="2"/>
        <v>306.79421196677811</v>
      </c>
      <c r="O10" s="22">
        <v>1</v>
      </c>
      <c r="P10" s="22">
        <v>1</v>
      </c>
      <c r="Q10" s="36">
        <f t="shared" si="3"/>
        <v>448.5460344051977</v>
      </c>
    </row>
    <row r="11" spans="2:17" ht="15.75" thickBot="1" x14ac:dyDescent="0.3">
      <c r="O11" s="63" t="str">
        <f>IF(Q7&lt;Q8,"Weak Storey",IF(Q8&lt;Q9, "Weak Storey",IF(Q9&lt;Q10," Weak Storey","Weak Storey Not Exist")))</f>
        <v>Weak Storey Not Exist</v>
      </c>
      <c r="P11" s="64"/>
      <c r="Q11" s="65"/>
    </row>
    <row r="12" spans="2:17" x14ac:dyDescent="0.25">
      <c r="B12" t="s">
        <v>966</v>
      </c>
    </row>
    <row r="13" spans="2:17" x14ac:dyDescent="0.25">
      <c r="B13" t="s">
        <v>965</v>
      </c>
    </row>
  </sheetData>
  <mergeCells count="1">
    <mergeCell ref="O11:Q11"/>
  </mergeCells>
  <pageMargins left="0.7" right="0.7" top="0.75" bottom="0.75" header="0.3" footer="0.3"/>
  <pageSetup paperSize="3" scale="86" fitToHeight="0" orientation="landscape" horizontalDpi="1200" verticalDpi="1200" r:id="rId1"/>
  <colBreaks count="1" manualBreakCount="1">
    <brk id="18" min="1" max="41"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5E75247-5AD9-4562-9844-7998B3770946}">
          <x14:formula1>
            <xm:f>'2L'!$B$4:$B$284</xm:f>
          </x14:formula1>
          <xm:sqref>C7:C10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286"/>
  <sheetViews>
    <sheetView topLeftCell="A199" workbookViewId="0">
      <selection activeCell="K224" sqref="K224"/>
    </sheetView>
  </sheetViews>
  <sheetFormatPr defaultRowHeight="15" x14ac:dyDescent="0.25"/>
  <sheetData>
    <row r="1" spans="1:35" x14ac:dyDescent="0.25">
      <c r="A1" s="2" t="s">
        <v>13</v>
      </c>
      <c r="B1" s="2" t="s">
        <v>14</v>
      </c>
      <c r="C1" s="2" t="s">
        <v>15</v>
      </c>
      <c r="D1" s="2" t="s">
        <v>16</v>
      </c>
      <c r="E1" s="2" t="s">
        <v>17</v>
      </c>
      <c r="F1" s="2" t="s">
        <v>18</v>
      </c>
      <c r="G1" s="2" t="s">
        <v>19</v>
      </c>
      <c r="H1" s="2" t="s">
        <v>6</v>
      </c>
      <c r="I1" s="2" t="s">
        <v>20</v>
      </c>
      <c r="J1" s="2" t="s">
        <v>21</v>
      </c>
      <c r="K1" s="2" t="s">
        <v>22</v>
      </c>
      <c r="L1" s="2" t="s">
        <v>23</v>
      </c>
      <c r="M1" s="2" t="s">
        <v>24</v>
      </c>
      <c r="N1" s="2" t="s">
        <v>25</v>
      </c>
      <c r="O1" s="2" t="s">
        <v>26</v>
      </c>
      <c r="P1" s="2" t="s">
        <v>27</v>
      </c>
      <c r="Q1" s="2" t="s">
        <v>3</v>
      </c>
      <c r="R1" s="2" t="s">
        <v>28</v>
      </c>
      <c r="S1" s="2" t="s">
        <v>29</v>
      </c>
      <c r="T1" s="2" t="s">
        <v>30</v>
      </c>
      <c r="U1" s="2" t="s">
        <v>31</v>
      </c>
      <c r="V1" s="2" t="s">
        <v>32</v>
      </c>
      <c r="W1" s="2" t="s">
        <v>33</v>
      </c>
      <c r="X1" s="2" t="s">
        <v>34</v>
      </c>
      <c r="Y1" s="2" t="s">
        <v>35</v>
      </c>
      <c r="Z1" s="2" t="s">
        <v>36</v>
      </c>
      <c r="AA1" s="2" t="s">
        <v>37</v>
      </c>
      <c r="AB1" s="2" t="s">
        <v>38</v>
      </c>
      <c r="AC1" s="2" t="s">
        <v>39</v>
      </c>
      <c r="AD1" s="2" t="s">
        <v>40</v>
      </c>
      <c r="AE1" s="2" t="s">
        <v>41</v>
      </c>
      <c r="AF1" s="2" t="s">
        <v>42</v>
      </c>
      <c r="AG1" s="2" t="s">
        <v>43</v>
      </c>
      <c r="AH1" s="2" t="s">
        <v>44</v>
      </c>
      <c r="AI1" s="2" t="s">
        <v>45</v>
      </c>
    </row>
    <row r="2" spans="1:35" x14ac:dyDescent="0.25">
      <c r="A2" s="2"/>
      <c r="B2" s="2"/>
      <c r="C2" s="2"/>
      <c r="D2" s="2"/>
      <c r="E2" s="2"/>
      <c r="F2" s="2"/>
      <c r="G2" s="2"/>
      <c r="H2" s="2"/>
      <c r="I2" s="2"/>
      <c r="J2" s="2"/>
      <c r="K2" s="2"/>
      <c r="L2" s="2"/>
      <c r="M2" s="2"/>
      <c r="N2" s="2"/>
      <c r="O2" s="2"/>
      <c r="P2" s="2"/>
      <c r="Q2" s="2"/>
      <c r="R2" s="2" t="s">
        <v>46</v>
      </c>
      <c r="S2" s="2" t="s">
        <v>47</v>
      </c>
      <c r="T2" s="2"/>
      <c r="U2" s="2" t="s">
        <v>47</v>
      </c>
      <c r="V2" s="2" t="s">
        <v>46</v>
      </c>
      <c r="W2" s="2" t="s">
        <v>47</v>
      </c>
      <c r="X2" s="2"/>
      <c r="Y2" s="2" t="s">
        <v>47</v>
      </c>
      <c r="Z2" s="2" t="s">
        <v>47</v>
      </c>
      <c r="AA2" s="2" t="s">
        <v>48</v>
      </c>
      <c r="AB2" s="2"/>
      <c r="AC2" s="2" t="s">
        <v>46</v>
      </c>
      <c r="AD2" s="2" t="s">
        <v>47</v>
      </c>
      <c r="AE2" s="2" t="s">
        <v>47</v>
      </c>
      <c r="AF2" s="2"/>
      <c r="AG2" s="2"/>
      <c r="AH2" s="2"/>
      <c r="AI2" s="2"/>
    </row>
    <row r="3" spans="1:35" x14ac:dyDescent="0.25">
      <c r="A3" s="3" t="s">
        <v>49</v>
      </c>
      <c r="B3" s="2"/>
      <c r="C3" s="2"/>
      <c r="D3" s="2"/>
      <c r="E3" s="2"/>
      <c r="F3" s="2"/>
      <c r="G3" s="2" t="s">
        <v>50</v>
      </c>
      <c r="H3" s="2" t="s">
        <v>50</v>
      </c>
      <c r="I3" s="2" t="s">
        <v>50</v>
      </c>
      <c r="J3" s="2" t="s">
        <v>50</v>
      </c>
      <c r="K3" s="2"/>
      <c r="L3" s="2"/>
      <c r="M3" s="2" t="s">
        <v>50</v>
      </c>
      <c r="N3" s="2" t="s">
        <v>50</v>
      </c>
      <c r="O3" s="2" t="s">
        <v>50</v>
      </c>
      <c r="P3" s="2" t="s">
        <v>51</v>
      </c>
      <c r="Q3" s="2" t="s">
        <v>52</v>
      </c>
      <c r="R3" s="2" t="s">
        <v>53</v>
      </c>
      <c r="S3" s="2" t="s">
        <v>54</v>
      </c>
      <c r="T3" s="2" t="s">
        <v>50</v>
      </c>
      <c r="U3" s="2" t="s">
        <v>54</v>
      </c>
      <c r="V3" s="2" t="s">
        <v>53</v>
      </c>
      <c r="W3" s="2" t="s">
        <v>54</v>
      </c>
      <c r="X3" s="2" t="s">
        <v>50</v>
      </c>
      <c r="Y3" s="2" t="s">
        <v>54</v>
      </c>
      <c r="Z3" s="2" t="s">
        <v>53</v>
      </c>
      <c r="AA3" s="2" t="s">
        <v>55</v>
      </c>
      <c r="AB3" s="2" t="s">
        <v>52</v>
      </c>
      <c r="AC3" s="2" t="s">
        <v>53</v>
      </c>
      <c r="AD3" s="2" t="s">
        <v>54</v>
      </c>
      <c r="AE3" s="2" t="s">
        <v>54</v>
      </c>
      <c r="AF3" s="2" t="s">
        <v>56</v>
      </c>
      <c r="AG3" s="2"/>
      <c r="AH3" s="2" t="s">
        <v>57</v>
      </c>
      <c r="AI3" s="2" t="s">
        <v>58</v>
      </c>
    </row>
    <row r="4" spans="1:35" x14ac:dyDescent="0.25">
      <c r="A4" s="4" t="s">
        <v>59</v>
      </c>
      <c r="B4" s="5" t="s">
        <v>60</v>
      </c>
      <c r="C4" s="4" t="s">
        <v>59</v>
      </c>
      <c r="D4" s="4">
        <v>1</v>
      </c>
      <c r="E4" s="4"/>
      <c r="F4" s="4">
        <v>3</v>
      </c>
      <c r="G4" s="4">
        <v>1118</v>
      </c>
      <c r="H4" s="4">
        <v>405</v>
      </c>
      <c r="I4" s="4">
        <v>45</v>
      </c>
      <c r="J4" s="4">
        <v>25.9</v>
      </c>
      <c r="K4" s="4">
        <v>4.5</v>
      </c>
      <c r="L4" s="4">
        <v>39.700000000000003</v>
      </c>
      <c r="M4" s="4">
        <v>67</v>
      </c>
      <c r="N4" s="4">
        <v>33</v>
      </c>
      <c r="O4" s="4">
        <v>1100</v>
      </c>
      <c r="P4" s="4">
        <v>499</v>
      </c>
      <c r="Q4" s="4">
        <v>63400</v>
      </c>
      <c r="R4" s="4">
        <v>12900</v>
      </c>
      <c r="S4" s="4">
        <v>23100</v>
      </c>
      <c r="T4" s="4">
        <v>452</v>
      </c>
      <c r="U4" s="4">
        <v>26600</v>
      </c>
      <c r="V4" s="4">
        <v>500</v>
      </c>
      <c r="W4" s="4">
        <v>2470</v>
      </c>
      <c r="X4" s="4">
        <v>88.8</v>
      </c>
      <c r="Y4" s="4">
        <v>3870</v>
      </c>
      <c r="Z4" s="4">
        <v>31000</v>
      </c>
      <c r="AA4" s="4">
        <v>144000</v>
      </c>
      <c r="AB4" s="4">
        <v>109000</v>
      </c>
      <c r="AC4" s="4">
        <v>495</v>
      </c>
      <c r="AD4" s="4">
        <v>4580</v>
      </c>
      <c r="AE4" s="4">
        <v>13200</v>
      </c>
      <c r="AF4" s="4">
        <v>3.8</v>
      </c>
      <c r="AG4" s="4" t="s">
        <v>61</v>
      </c>
      <c r="AH4" s="4">
        <v>44</v>
      </c>
      <c r="AI4" s="4">
        <v>335</v>
      </c>
    </row>
    <row r="5" spans="1:35" x14ac:dyDescent="0.25">
      <c r="A5" s="4"/>
      <c r="B5" s="5" t="s">
        <v>62</v>
      </c>
      <c r="C5" s="4" t="s">
        <v>59</v>
      </c>
      <c r="D5" s="4">
        <v>1</v>
      </c>
      <c r="E5" s="4"/>
      <c r="F5" s="4">
        <v>3</v>
      </c>
      <c r="G5" s="4">
        <v>1108</v>
      </c>
      <c r="H5" s="4">
        <v>402</v>
      </c>
      <c r="I5" s="4">
        <v>40.1</v>
      </c>
      <c r="J5" s="4">
        <v>22.1</v>
      </c>
      <c r="K5" s="4">
        <v>5.01</v>
      </c>
      <c r="L5" s="4">
        <v>46.5</v>
      </c>
      <c r="M5" s="4">
        <v>62</v>
      </c>
      <c r="N5" s="4">
        <v>31</v>
      </c>
      <c r="O5" s="4">
        <v>1100</v>
      </c>
      <c r="P5" s="4">
        <v>433</v>
      </c>
      <c r="Q5" s="4">
        <v>55300</v>
      </c>
      <c r="R5" s="4">
        <v>11300</v>
      </c>
      <c r="S5" s="4">
        <v>20400</v>
      </c>
      <c r="T5" s="4">
        <v>452</v>
      </c>
      <c r="U5" s="4">
        <v>23200</v>
      </c>
      <c r="V5" s="4">
        <v>435</v>
      </c>
      <c r="W5" s="4">
        <v>2170</v>
      </c>
      <c r="X5" s="4">
        <v>88.7</v>
      </c>
      <c r="Y5" s="4">
        <v>3370</v>
      </c>
      <c r="Z5" s="4">
        <v>21400</v>
      </c>
      <c r="AA5" s="4">
        <v>124000</v>
      </c>
      <c r="AB5" s="4">
        <v>107000</v>
      </c>
      <c r="AC5" s="4">
        <v>433</v>
      </c>
      <c r="AD5" s="4">
        <v>4070</v>
      </c>
      <c r="AE5" s="4">
        <v>11500</v>
      </c>
      <c r="AF5" s="4">
        <v>3.78</v>
      </c>
      <c r="AG5" s="4" t="s">
        <v>63</v>
      </c>
      <c r="AH5" s="4">
        <v>44</v>
      </c>
      <c r="AI5" s="4">
        <v>290</v>
      </c>
    </row>
    <row r="6" spans="1:35" x14ac:dyDescent="0.25">
      <c r="A6" s="4"/>
      <c r="B6" s="5" t="s">
        <v>64</v>
      </c>
      <c r="C6" s="4" t="s">
        <v>59</v>
      </c>
      <c r="D6" s="4">
        <v>1</v>
      </c>
      <c r="E6" s="4"/>
      <c r="F6" s="4">
        <v>3</v>
      </c>
      <c r="G6" s="4">
        <v>1100</v>
      </c>
      <c r="H6" s="4">
        <v>400</v>
      </c>
      <c r="I6" s="4">
        <v>36.1</v>
      </c>
      <c r="J6" s="4">
        <v>20.100000000000001</v>
      </c>
      <c r="K6" s="4">
        <v>5.54</v>
      </c>
      <c r="L6" s="4">
        <v>51.1</v>
      </c>
      <c r="M6" s="4">
        <v>58</v>
      </c>
      <c r="N6" s="4">
        <v>30</v>
      </c>
      <c r="O6" s="4">
        <v>1100</v>
      </c>
      <c r="P6" s="4">
        <v>390</v>
      </c>
      <c r="Q6" s="4">
        <v>49900</v>
      </c>
      <c r="R6" s="4">
        <v>10100</v>
      </c>
      <c r="S6" s="4">
        <v>18300</v>
      </c>
      <c r="T6" s="4">
        <v>450</v>
      </c>
      <c r="U6" s="4">
        <v>20800</v>
      </c>
      <c r="V6" s="4">
        <v>386</v>
      </c>
      <c r="W6" s="4">
        <v>1930</v>
      </c>
      <c r="X6" s="4">
        <v>87.9</v>
      </c>
      <c r="Y6" s="4">
        <v>3000</v>
      </c>
      <c r="Z6" s="4">
        <v>15700</v>
      </c>
      <c r="AA6" s="4">
        <v>109000</v>
      </c>
      <c r="AB6" s="4">
        <v>106000</v>
      </c>
      <c r="AC6" s="4">
        <v>384</v>
      </c>
      <c r="AD6" s="4">
        <v>3650</v>
      </c>
      <c r="AE6" s="4">
        <v>10300</v>
      </c>
      <c r="AF6" s="4">
        <v>3.76</v>
      </c>
      <c r="AG6" s="4" t="s">
        <v>65</v>
      </c>
      <c r="AH6" s="4">
        <v>44</v>
      </c>
      <c r="AI6" s="4">
        <v>262</v>
      </c>
    </row>
    <row r="7" spans="1:35" x14ac:dyDescent="0.25">
      <c r="A7" s="4"/>
      <c r="B7" s="5" t="s">
        <v>66</v>
      </c>
      <c r="C7" s="4" t="s">
        <v>59</v>
      </c>
      <c r="D7" s="4">
        <v>1</v>
      </c>
      <c r="E7" s="4"/>
      <c r="F7" s="4">
        <v>3</v>
      </c>
      <c r="G7" s="4">
        <v>1090</v>
      </c>
      <c r="H7" s="4">
        <v>400</v>
      </c>
      <c r="I7" s="4">
        <v>31</v>
      </c>
      <c r="J7" s="4">
        <v>18</v>
      </c>
      <c r="K7" s="4">
        <v>6.45</v>
      </c>
      <c r="L7" s="4">
        <v>57.1</v>
      </c>
      <c r="M7" s="4">
        <v>53</v>
      </c>
      <c r="N7" s="4">
        <v>29</v>
      </c>
      <c r="O7" s="4">
        <v>1100</v>
      </c>
      <c r="P7" s="4">
        <v>343</v>
      </c>
      <c r="Q7" s="4">
        <v>43600</v>
      </c>
      <c r="R7" s="4">
        <v>8670</v>
      </c>
      <c r="S7" s="4">
        <v>15900</v>
      </c>
      <c r="T7" s="4">
        <v>446</v>
      </c>
      <c r="U7" s="4">
        <v>18100</v>
      </c>
      <c r="V7" s="4">
        <v>331</v>
      </c>
      <c r="W7" s="4">
        <v>1660</v>
      </c>
      <c r="X7" s="4">
        <v>87.1</v>
      </c>
      <c r="Y7" s="4">
        <v>2570</v>
      </c>
      <c r="Z7" s="4">
        <v>10300</v>
      </c>
      <c r="AA7" s="4">
        <v>92900</v>
      </c>
      <c r="AB7" s="4">
        <v>106000</v>
      </c>
      <c r="AC7" s="4">
        <v>328</v>
      </c>
      <c r="AD7" s="4">
        <v>3140</v>
      </c>
      <c r="AE7" s="4">
        <v>8940</v>
      </c>
      <c r="AF7" s="4">
        <v>3.74</v>
      </c>
      <c r="AG7" s="4" t="s">
        <v>67</v>
      </c>
      <c r="AH7" s="4">
        <v>44</v>
      </c>
      <c r="AI7" s="4">
        <v>230</v>
      </c>
    </row>
    <row r="8" spans="1:35" x14ac:dyDescent="0.25">
      <c r="A8" s="4" t="s">
        <v>59</v>
      </c>
      <c r="B8" s="5" t="s">
        <v>68</v>
      </c>
      <c r="C8" s="4" t="s">
        <v>59</v>
      </c>
      <c r="D8" s="4">
        <v>1</v>
      </c>
      <c r="E8" s="4"/>
      <c r="F8" s="4">
        <v>3</v>
      </c>
      <c r="G8" s="4">
        <v>1092</v>
      </c>
      <c r="H8" s="4">
        <v>424</v>
      </c>
      <c r="I8" s="4">
        <v>82</v>
      </c>
      <c r="J8" s="4">
        <v>45.5</v>
      </c>
      <c r="K8" s="4">
        <v>2.59</v>
      </c>
      <c r="L8" s="4">
        <v>20.399999999999999</v>
      </c>
      <c r="M8" s="4">
        <v>114</v>
      </c>
      <c r="N8" s="4">
        <v>53</v>
      </c>
      <c r="O8" s="4">
        <v>1000</v>
      </c>
      <c r="P8" s="4">
        <v>883</v>
      </c>
      <c r="Q8" s="4">
        <v>113000</v>
      </c>
      <c r="R8" s="4">
        <v>21000</v>
      </c>
      <c r="S8" s="4">
        <v>38400</v>
      </c>
      <c r="T8" s="4">
        <v>432</v>
      </c>
      <c r="U8" s="4">
        <v>45300</v>
      </c>
      <c r="V8" s="4">
        <v>1050</v>
      </c>
      <c r="W8" s="4">
        <v>4950</v>
      </c>
      <c r="X8" s="4">
        <v>96.6</v>
      </c>
      <c r="Y8" s="4">
        <v>7870</v>
      </c>
      <c r="Z8" s="4">
        <v>185000</v>
      </c>
      <c r="AA8" s="4">
        <v>268000</v>
      </c>
      <c r="AB8" s="4">
        <v>107000</v>
      </c>
      <c r="AC8" s="4">
        <v>931</v>
      </c>
      <c r="AD8" s="4">
        <v>7840</v>
      </c>
      <c r="AE8" s="4">
        <v>22500</v>
      </c>
      <c r="AF8" s="4">
        <v>3.79</v>
      </c>
      <c r="AG8" s="4" t="s">
        <v>69</v>
      </c>
      <c r="AH8" s="4">
        <v>40</v>
      </c>
      <c r="AI8" s="4">
        <v>593</v>
      </c>
    </row>
    <row r="9" spans="1:35" x14ac:dyDescent="0.25">
      <c r="A9" s="4"/>
      <c r="B9" s="5" t="s">
        <v>70</v>
      </c>
      <c r="C9" s="4" t="s">
        <v>59</v>
      </c>
      <c r="D9" s="4">
        <v>1</v>
      </c>
      <c r="E9" s="4"/>
      <c r="F9" s="4">
        <v>3</v>
      </c>
      <c r="G9" s="4">
        <v>1068</v>
      </c>
      <c r="H9" s="4">
        <v>417</v>
      </c>
      <c r="I9" s="4">
        <v>70.099999999999994</v>
      </c>
      <c r="J9" s="4">
        <v>39.1</v>
      </c>
      <c r="K9" s="4">
        <v>2.97</v>
      </c>
      <c r="L9" s="4">
        <v>23.7</v>
      </c>
      <c r="M9" s="4">
        <v>102</v>
      </c>
      <c r="N9" s="4">
        <v>50</v>
      </c>
      <c r="O9" s="4">
        <v>1000</v>
      </c>
      <c r="P9" s="4">
        <v>748</v>
      </c>
      <c r="Q9" s="4">
        <v>95500</v>
      </c>
      <c r="R9" s="4">
        <v>17300</v>
      </c>
      <c r="S9" s="4">
        <v>32500</v>
      </c>
      <c r="T9" s="4">
        <v>426</v>
      </c>
      <c r="U9" s="4">
        <v>37900</v>
      </c>
      <c r="V9" s="4">
        <v>852</v>
      </c>
      <c r="W9" s="4">
        <v>4090</v>
      </c>
      <c r="X9" s="4">
        <v>94.5</v>
      </c>
      <c r="Y9" s="4">
        <v>6470</v>
      </c>
      <c r="Z9" s="4">
        <v>116000</v>
      </c>
      <c r="AA9" s="4">
        <v>212000</v>
      </c>
      <c r="AB9" s="4">
        <v>104000</v>
      </c>
      <c r="AC9" s="4">
        <v>760</v>
      </c>
      <c r="AD9" s="4">
        <v>6610</v>
      </c>
      <c r="AE9" s="4">
        <v>18800</v>
      </c>
      <c r="AF9" s="4">
        <v>3.73</v>
      </c>
      <c r="AG9" s="4" t="s">
        <v>71</v>
      </c>
      <c r="AH9" s="4">
        <v>40</v>
      </c>
      <c r="AI9" s="4">
        <v>503</v>
      </c>
    </row>
    <row r="10" spans="1:35" x14ac:dyDescent="0.25">
      <c r="A10" s="4"/>
      <c r="B10" s="5" t="s">
        <v>72</v>
      </c>
      <c r="C10" s="4" t="s">
        <v>59</v>
      </c>
      <c r="D10" s="4">
        <v>1</v>
      </c>
      <c r="E10" s="4"/>
      <c r="F10" s="4">
        <v>3</v>
      </c>
      <c r="G10" s="4">
        <v>1048</v>
      </c>
      <c r="H10" s="4">
        <v>412</v>
      </c>
      <c r="I10" s="4">
        <v>59.9</v>
      </c>
      <c r="J10" s="4">
        <v>34</v>
      </c>
      <c r="K10" s="4">
        <v>3.44</v>
      </c>
      <c r="L10" s="4">
        <v>27.3</v>
      </c>
      <c r="M10" s="4">
        <v>91</v>
      </c>
      <c r="N10" s="4">
        <v>47</v>
      </c>
      <c r="O10" s="4">
        <v>1000</v>
      </c>
      <c r="P10" s="4">
        <v>642</v>
      </c>
      <c r="Q10" s="4">
        <v>81700</v>
      </c>
      <c r="R10" s="4">
        <v>14500</v>
      </c>
      <c r="S10" s="4">
        <v>27700</v>
      </c>
      <c r="T10" s="4">
        <v>421</v>
      </c>
      <c r="U10" s="4">
        <v>32100</v>
      </c>
      <c r="V10" s="4">
        <v>702</v>
      </c>
      <c r="W10" s="4">
        <v>3410</v>
      </c>
      <c r="X10" s="4">
        <v>92.7</v>
      </c>
      <c r="Y10" s="4">
        <v>5370</v>
      </c>
      <c r="Z10" s="4">
        <v>73500</v>
      </c>
      <c r="AA10" s="4">
        <v>171000</v>
      </c>
      <c r="AB10" s="4">
        <v>102000</v>
      </c>
      <c r="AC10" s="4">
        <v>628</v>
      </c>
      <c r="AD10" s="4">
        <v>5590</v>
      </c>
      <c r="AE10" s="4">
        <v>15900</v>
      </c>
      <c r="AF10" s="4">
        <v>3.68</v>
      </c>
      <c r="AG10" s="4" t="s">
        <v>73</v>
      </c>
      <c r="AH10" s="4">
        <v>40</v>
      </c>
      <c r="AI10" s="4">
        <v>431</v>
      </c>
    </row>
    <row r="11" spans="1:35" x14ac:dyDescent="0.25">
      <c r="A11" s="4"/>
      <c r="B11" s="5" t="s">
        <v>74</v>
      </c>
      <c r="C11" s="4" t="s">
        <v>59</v>
      </c>
      <c r="D11" s="4">
        <v>1</v>
      </c>
      <c r="E11" s="4"/>
      <c r="F11" s="4">
        <v>3</v>
      </c>
      <c r="G11" s="4">
        <v>1040</v>
      </c>
      <c r="H11" s="4">
        <v>409</v>
      </c>
      <c r="I11" s="4">
        <v>55.9</v>
      </c>
      <c r="J11" s="4">
        <v>31</v>
      </c>
      <c r="K11" s="4">
        <v>3.66</v>
      </c>
      <c r="L11" s="4">
        <v>29.9</v>
      </c>
      <c r="M11" s="4">
        <v>87</v>
      </c>
      <c r="N11" s="4">
        <v>46</v>
      </c>
      <c r="O11" s="4">
        <v>1000</v>
      </c>
      <c r="P11" s="4">
        <v>591</v>
      </c>
      <c r="Q11" s="4">
        <v>75300</v>
      </c>
      <c r="R11" s="4">
        <v>13300</v>
      </c>
      <c r="S11" s="4">
        <v>25600</v>
      </c>
      <c r="T11" s="4">
        <v>421</v>
      </c>
      <c r="U11" s="4">
        <v>29500</v>
      </c>
      <c r="V11" s="4">
        <v>640</v>
      </c>
      <c r="W11" s="4">
        <v>3130</v>
      </c>
      <c r="X11" s="4">
        <v>92.2</v>
      </c>
      <c r="Y11" s="4">
        <v>4920</v>
      </c>
      <c r="Z11" s="4">
        <v>59000</v>
      </c>
      <c r="AA11" s="4">
        <v>155000</v>
      </c>
      <c r="AB11" s="4">
        <v>101000</v>
      </c>
      <c r="AC11" s="4">
        <v>575</v>
      </c>
      <c r="AD11" s="4">
        <v>5200</v>
      </c>
      <c r="AE11" s="4">
        <v>14600</v>
      </c>
      <c r="AF11" s="4">
        <v>3.65</v>
      </c>
      <c r="AG11" s="4" t="s">
        <v>75</v>
      </c>
      <c r="AH11" s="4">
        <v>40</v>
      </c>
      <c r="AI11" s="4">
        <v>397</v>
      </c>
    </row>
    <row r="12" spans="1:35" x14ac:dyDescent="0.25">
      <c r="A12" s="4"/>
      <c r="B12" s="5" t="s">
        <v>76</v>
      </c>
      <c r="C12" s="4" t="s">
        <v>59</v>
      </c>
      <c r="D12" s="4">
        <v>1</v>
      </c>
      <c r="E12" s="4"/>
      <c r="F12" s="4">
        <v>3</v>
      </c>
      <c r="G12" s="4">
        <v>1032</v>
      </c>
      <c r="H12" s="4">
        <v>408</v>
      </c>
      <c r="I12" s="4">
        <v>52.1</v>
      </c>
      <c r="J12" s="4">
        <v>29.5</v>
      </c>
      <c r="K12" s="4">
        <v>3.92</v>
      </c>
      <c r="L12" s="4">
        <v>31.5</v>
      </c>
      <c r="M12" s="4">
        <v>84</v>
      </c>
      <c r="N12" s="4">
        <v>45</v>
      </c>
      <c r="O12" s="4">
        <v>1000</v>
      </c>
      <c r="P12" s="4">
        <v>554</v>
      </c>
      <c r="Q12" s="4">
        <v>70700</v>
      </c>
      <c r="R12" s="4">
        <v>12300</v>
      </c>
      <c r="S12" s="4">
        <v>23900</v>
      </c>
      <c r="T12" s="4">
        <v>418</v>
      </c>
      <c r="U12" s="4">
        <v>27500</v>
      </c>
      <c r="V12" s="4">
        <v>592</v>
      </c>
      <c r="W12" s="4">
        <v>2900</v>
      </c>
      <c r="X12" s="4">
        <v>91.5</v>
      </c>
      <c r="Y12" s="4">
        <v>4550</v>
      </c>
      <c r="Z12" s="4">
        <v>48600</v>
      </c>
      <c r="AA12" s="4">
        <v>142000</v>
      </c>
      <c r="AB12" s="4">
        <v>99900</v>
      </c>
      <c r="AC12" s="4">
        <v>531</v>
      </c>
      <c r="AD12" s="4">
        <v>4830</v>
      </c>
      <c r="AE12" s="4">
        <v>13600</v>
      </c>
      <c r="AF12" s="4">
        <v>3.64</v>
      </c>
      <c r="AG12" s="4" t="s">
        <v>77</v>
      </c>
      <c r="AH12" s="4">
        <v>40</v>
      </c>
      <c r="AI12" s="4">
        <v>372</v>
      </c>
    </row>
    <row r="13" spans="1:35" x14ac:dyDescent="0.25">
      <c r="A13" s="4"/>
      <c r="B13" s="5" t="s">
        <v>78</v>
      </c>
      <c r="C13" s="4" t="s">
        <v>59</v>
      </c>
      <c r="D13" s="4">
        <v>1</v>
      </c>
      <c r="E13" s="4"/>
      <c r="F13" s="4">
        <v>3</v>
      </c>
      <c r="G13" s="4">
        <v>1030</v>
      </c>
      <c r="H13" s="4">
        <v>407</v>
      </c>
      <c r="I13" s="4">
        <v>51.1</v>
      </c>
      <c r="J13" s="4">
        <v>28.4</v>
      </c>
      <c r="K13" s="4">
        <v>3.98</v>
      </c>
      <c r="L13" s="4">
        <v>32.700000000000003</v>
      </c>
      <c r="M13" s="4">
        <v>83</v>
      </c>
      <c r="N13" s="4">
        <v>44</v>
      </c>
      <c r="O13" s="4">
        <v>1000</v>
      </c>
      <c r="P13" s="4">
        <v>539</v>
      </c>
      <c r="Q13" s="4">
        <v>68700</v>
      </c>
      <c r="R13" s="4">
        <v>12000</v>
      </c>
      <c r="S13" s="4">
        <v>23400</v>
      </c>
      <c r="T13" s="4">
        <v>418</v>
      </c>
      <c r="U13" s="4">
        <v>26800</v>
      </c>
      <c r="V13" s="4">
        <v>576</v>
      </c>
      <c r="W13" s="4">
        <v>2830</v>
      </c>
      <c r="X13" s="4">
        <v>91.6</v>
      </c>
      <c r="Y13" s="4">
        <v>4440</v>
      </c>
      <c r="Z13" s="4">
        <v>45300</v>
      </c>
      <c r="AA13" s="4">
        <v>138000</v>
      </c>
      <c r="AB13" s="4">
        <v>99600</v>
      </c>
      <c r="AC13" s="4">
        <v>518</v>
      </c>
      <c r="AD13" s="4">
        <v>4730</v>
      </c>
      <c r="AE13" s="4">
        <v>13200</v>
      </c>
      <c r="AF13" s="4">
        <v>3.63</v>
      </c>
      <c r="AG13" s="4" t="s">
        <v>79</v>
      </c>
      <c r="AH13" s="4">
        <v>40</v>
      </c>
      <c r="AI13" s="4">
        <v>362</v>
      </c>
    </row>
    <row r="14" spans="1:35" x14ac:dyDescent="0.25">
      <c r="A14" s="4"/>
      <c r="B14" s="5" t="s">
        <v>80</v>
      </c>
      <c r="C14" s="4" t="s">
        <v>59</v>
      </c>
      <c r="D14" s="4">
        <v>1</v>
      </c>
      <c r="E14" s="4"/>
      <c r="F14" s="4">
        <v>3</v>
      </c>
      <c r="G14" s="4">
        <v>1020</v>
      </c>
      <c r="H14" s="4">
        <v>404</v>
      </c>
      <c r="I14" s="4">
        <v>46</v>
      </c>
      <c r="J14" s="4">
        <v>25.4</v>
      </c>
      <c r="K14" s="4">
        <v>4.3899999999999997</v>
      </c>
      <c r="L14" s="4">
        <v>36.5</v>
      </c>
      <c r="M14" s="4">
        <v>78</v>
      </c>
      <c r="N14" s="4">
        <v>43</v>
      </c>
      <c r="O14" s="4">
        <v>1000</v>
      </c>
      <c r="P14" s="4">
        <v>483</v>
      </c>
      <c r="Q14" s="4">
        <v>61500</v>
      </c>
      <c r="R14" s="4">
        <v>10700</v>
      </c>
      <c r="S14" s="4">
        <v>20900</v>
      </c>
      <c r="T14" s="4">
        <v>417</v>
      </c>
      <c r="U14" s="4">
        <v>23900</v>
      </c>
      <c r="V14" s="4">
        <v>507</v>
      </c>
      <c r="W14" s="4">
        <v>2510</v>
      </c>
      <c r="X14" s="4">
        <v>90.8</v>
      </c>
      <c r="Y14" s="4">
        <v>3920</v>
      </c>
      <c r="Z14" s="4">
        <v>33100</v>
      </c>
      <c r="AA14" s="4">
        <v>120000</v>
      </c>
      <c r="AB14" s="4">
        <v>98400</v>
      </c>
      <c r="AC14" s="4">
        <v>457</v>
      </c>
      <c r="AD14" s="4">
        <v>4240</v>
      </c>
      <c r="AE14" s="4">
        <v>11800</v>
      </c>
      <c r="AF14" s="4">
        <v>3.61</v>
      </c>
      <c r="AG14" s="4" t="s">
        <v>81</v>
      </c>
      <c r="AH14" s="4">
        <v>40</v>
      </c>
      <c r="AI14" s="4">
        <v>324</v>
      </c>
    </row>
    <row r="15" spans="1:35" x14ac:dyDescent="0.25">
      <c r="A15" s="4"/>
      <c r="B15" s="5" t="s">
        <v>82</v>
      </c>
      <c r="C15" s="4" t="s">
        <v>59</v>
      </c>
      <c r="D15" s="4">
        <v>1</v>
      </c>
      <c r="E15" s="4"/>
      <c r="F15" s="4">
        <v>3</v>
      </c>
      <c r="G15" s="4">
        <v>1012</v>
      </c>
      <c r="H15" s="4">
        <v>402</v>
      </c>
      <c r="I15" s="4">
        <v>41.9</v>
      </c>
      <c r="J15" s="4">
        <v>23.6</v>
      </c>
      <c r="K15" s="4">
        <v>4.8</v>
      </c>
      <c r="L15" s="4">
        <v>39.299999999999997</v>
      </c>
      <c r="M15" s="4">
        <v>73</v>
      </c>
      <c r="N15" s="4">
        <v>42</v>
      </c>
      <c r="O15" s="4">
        <v>1000</v>
      </c>
      <c r="P15" s="4">
        <v>443</v>
      </c>
      <c r="Q15" s="4">
        <v>56400</v>
      </c>
      <c r="R15" s="4">
        <v>9670</v>
      </c>
      <c r="S15" s="4">
        <v>19100</v>
      </c>
      <c r="T15" s="4">
        <v>414</v>
      </c>
      <c r="U15" s="4">
        <v>21800</v>
      </c>
      <c r="V15" s="4">
        <v>455</v>
      </c>
      <c r="W15" s="4">
        <v>2260</v>
      </c>
      <c r="X15" s="4">
        <v>89.8</v>
      </c>
      <c r="Y15" s="4">
        <v>3530</v>
      </c>
      <c r="Z15" s="4">
        <v>25400</v>
      </c>
      <c r="AA15" s="4">
        <v>107000</v>
      </c>
      <c r="AB15" s="4">
        <v>97500</v>
      </c>
      <c r="AC15" s="4">
        <v>411</v>
      </c>
      <c r="AD15" s="4">
        <v>3850</v>
      </c>
      <c r="AE15" s="4">
        <v>10700</v>
      </c>
      <c r="AF15" s="4">
        <v>3.58</v>
      </c>
      <c r="AG15" s="4" t="s">
        <v>83</v>
      </c>
      <c r="AH15" s="4">
        <v>40</v>
      </c>
      <c r="AI15" s="4">
        <v>297</v>
      </c>
    </row>
    <row r="16" spans="1:35" x14ac:dyDescent="0.25">
      <c r="A16" s="4"/>
      <c r="B16" s="5" t="s">
        <v>84</v>
      </c>
      <c r="C16" s="4" t="s">
        <v>59</v>
      </c>
      <c r="D16" s="4">
        <v>1</v>
      </c>
      <c r="E16" s="4"/>
      <c r="F16" s="4">
        <v>3</v>
      </c>
      <c r="G16" s="4">
        <v>1008</v>
      </c>
      <c r="H16" s="4">
        <v>402</v>
      </c>
      <c r="I16" s="4">
        <v>40</v>
      </c>
      <c r="J16" s="4">
        <v>21.1</v>
      </c>
      <c r="K16" s="4">
        <v>5.03</v>
      </c>
      <c r="L16" s="4">
        <v>44</v>
      </c>
      <c r="M16" s="4">
        <v>72</v>
      </c>
      <c r="N16" s="4">
        <v>41</v>
      </c>
      <c r="O16" s="4">
        <v>1000</v>
      </c>
      <c r="P16" s="4">
        <v>412</v>
      </c>
      <c r="Q16" s="4">
        <v>52500</v>
      </c>
      <c r="R16" s="4">
        <v>9100</v>
      </c>
      <c r="S16" s="4">
        <v>18100</v>
      </c>
      <c r="T16" s="4">
        <v>416</v>
      </c>
      <c r="U16" s="4">
        <v>20500</v>
      </c>
      <c r="V16" s="4">
        <v>434</v>
      </c>
      <c r="W16" s="4">
        <v>2160</v>
      </c>
      <c r="X16" s="4">
        <v>90.9</v>
      </c>
      <c r="Y16" s="4">
        <v>3350</v>
      </c>
      <c r="Z16" s="4">
        <v>21400</v>
      </c>
      <c r="AA16" s="4">
        <v>102000</v>
      </c>
      <c r="AB16" s="4">
        <v>97300</v>
      </c>
      <c r="AC16" s="4">
        <v>391</v>
      </c>
      <c r="AD16" s="4">
        <v>3690</v>
      </c>
      <c r="AE16" s="4">
        <v>10100</v>
      </c>
      <c r="AF16" s="4">
        <v>3.58</v>
      </c>
      <c r="AG16" s="4" t="s">
        <v>85</v>
      </c>
      <c r="AH16" s="4">
        <v>40</v>
      </c>
      <c r="AI16" s="4">
        <v>277</v>
      </c>
    </row>
    <row r="17" spans="1:35" x14ac:dyDescent="0.25">
      <c r="A17" s="4"/>
      <c r="B17" s="5" t="s">
        <v>86</v>
      </c>
      <c r="C17" s="4" t="s">
        <v>59</v>
      </c>
      <c r="D17" s="4">
        <v>1</v>
      </c>
      <c r="E17" s="4"/>
      <c r="F17" s="4">
        <v>3</v>
      </c>
      <c r="G17" s="4">
        <v>1000</v>
      </c>
      <c r="H17" s="4">
        <v>400</v>
      </c>
      <c r="I17" s="4">
        <v>36.1</v>
      </c>
      <c r="J17" s="4">
        <v>19</v>
      </c>
      <c r="K17" s="4">
        <v>5.54</v>
      </c>
      <c r="L17" s="4">
        <v>48.8</v>
      </c>
      <c r="M17" s="4">
        <v>68</v>
      </c>
      <c r="N17" s="4">
        <v>40</v>
      </c>
      <c r="O17" s="4">
        <v>1000</v>
      </c>
      <c r="P17" s="4">
        <v>371</v>
      </c>
      <c r="Q17" s="4">
        <v>47300</v>
      </c>
      <c r="R17" s="4">
        <v>8140</v>
      </c>
      <c r="S17" s="4">
        <v>16300</v>
      </c>
      <c r="T17" s="4">
        <v>415</v>
      </c>
      <c r="U17" s="4">
        <v>18400</v>
      </c>
      <c r="V17" s="4">
        <v>386</v>
      </c>
      <c r="W17" s="4">
        <v>1930</v>
      </c>
      <c r="X17" s="4">
        <v>90.3</v>
      </c>
      <c r="Y17" s="4">
        <v>2980</v>
      </c>
      <c r="Z17" s="4">
        <v>15900</v>
      </c>
      <c r="AA17" s="4">
        <v>89600</v>
      </c>
      <c r="AB17" s="4">
        <v>96400</v>
      </c>
      <c r="AC17" s="4">
        <v>348</v>
      </c>
      <c r="AD17" s="4">
        <v>3310</v>
      </c>
      <c r="AE17" s="4">
        <v>9000</v>
      </c>
      <c r="AF17" s="4">
        <v>3.56</v>
      </c>
      <c r="AG17" s="4" t="s">
        <v>87</v>
      </c>
      <c r="AH17" s="4">
        <v>40</v>
      </c>
      <c r="AI17" s="4">
        <v>249</v>
      </c>
    </row>
    <row r="18" spans="1:35" x14ac:dyDescent="0.25">
      <c r="A18" s="4"/>
      <c r="B18" s="5" t="s">
        <v>88</v>
      </c>
      <c r="C18" s="4" t="s">
        <v>59</v>
      </c>
      <c r="D18" s="4">
        <v>1</v>
      </c>
      <c r="E18" s="4"/>
      <c r="F18" s="4">
        <v>3</v>
      </c>
      <c r="G18" s="4">
        <v>990</v>
      </c>
      <c r="H18" s="4">
        <v>400</v>
      </c>
      <c r="I18" s="4">
        <v>31</v>
      </c>
      <c r="J18" s="4">
        <v>16.5</v>
      </c>
      <c r="K18" s="4">
        <v>6.45</v>
      </c>
      <c r="L18" s="4">
        <v>56.2</v>
      </c>
      <c r="M18" s="4">
        <v>63</v>
      </c>
      <c r="N18" s="4">
        <v>38</v>
      </c>
      <c r="O18" s="4">
        <v>1000</v>
      </c>
      <c r="P18" s="4">
        <v>321</v>
      </c>
      <c r="Q18" s="4">
        <v>40900</v>
      </c>
      <c r="R18" s="4">
        <v>6960</v>
      </c>
      <c r="S18" s="4">
        <v>14100</v>
      </c>
      <c r="T18" s="4">
        <v>413</v>
      </c>
      <c r="U18" s="4">
        <v>15800</v>
      </c>
      <c r="V18" s="4">
        <v>331</v>
      </c>
      <c r="W18" s="4">
        <v>1660</v>
      </c>
      <c r="X18" s="4">
        <v>90</v>
      </c>
      <c r="Y18" s="4">
        <v>2550</v>
      </c>
      <c r="Z18" s="4">
        <v>10300</v>
      </c>
      <c r="AA18" s="4">
        <v>76100</v>
      </c>
      <c r="AB18" s="4">
        <v>95900</v>
      </c>
      <c r="AC18" s="4">
        <v>297</v>
      </c>
      <c r="AD18" s="4">
        <v>2850</v>
      </c>
      <c r="AE18" s="4">
        <v>7720</v>
      </c>
      <c r="AF18" s="4">
        <v>3.55</v>
      </c>
      <c r="AG18" s="4" t="s">
        <v>89</v>
      </c>
      <c r="AH18" s="4">
        <v>40</v>
      </c>
      <c r="AI18" s="4">
        <v>215</v>
      </c>
    </row>
    <row r="19" spans="1:35" x14ac:dyDescent="0.25">
      <c r="A19" s="4"/>
      <c r="B19" s="5" t="s">
        <v>90</v>
      </c>
      <c r="C19" s="4" t="s">
        <v>59</v>
      </c>
      <c r="D19" s="4">
        <v>1</v>
      </c>
      <c r="E19" s="4"/>
      <c r="F19" s="4">
        <v>3</v>
      </c>
      <c r="G19" s="4">
        <v>982</v>
      </c>
      <c r="H19" s="4">
        <v>400</v>
      </c>
      <c r="I19" s="4">
        <v>27.1</v>
      </c>
      <c r="J19" s="4">
        <v>16.5</v>
      </c>
      <c r="K19" s="4">
        <v>7.38</v>
      </c>
      <c r="L19" s="4">
        <v>56.2</v>
      </c>
      <c r="M19" s="4">
        <v>59</v>
      </c>
      <c r="N19" s="4">
        <v>38</v>
      </c>
      <c r="O19" s="4">
        <v>1000</v>
      </c>
      <c r="P19" s="4">
        <v>296</v>
      </c>
      <c r="Q19" s="4">
        <v>37800</v>
      </c>
      <c r="R19" s="4">
        <v>6200</v>
      </c>
      <c r="S19" s="4">
        <v>12600</v>
      </c>
      <c r="T19" s="4">
        <v>405</v>
      </c>
      <c r="U19" s="4">
        <v>14300</v>
      </c>
      <c r="V19" s="4">
        <v>290</v>
      </c>
      <c r="W19" s="4">
        <v>1450</v>
      </c>
      <c r="X19" s="4">
        <v>87.6</v>
      </c>
      <c r="Y19" s="4">
        <v>2240</v>
      </c>
      <c r="Z19" s="4">
        <v>7640</v>
      </c>
      <c r="AA19" s="4">
        <v>66000</v>
      </c>
      <c r="AB19" s="4">
        <v>95500</v>
      </c>
      <c r="AC19" s="4">
        <v>259</v>
      </c>
      <c r="AD19" s="4">
        <v>2480</v>
      </c>
      <c r="AE19" s="4">
        <v>6950</v>
      </c>
      <c r="AF19" s="4">
        <v>3.53</v>
      </c>
      <c r="AG19" s="4" t="s">
        <v>91</v>
      </c>
      <c r="AH19" s="4">
        <v>40</v>
      </c>
      <c r="AI19" s="4">
        <v>199</v>
      </c>
    </row>
    <row r="20" spans="1:35" x14ac:dyDescent="0.25">
      <c r="A20" s="4" t="s">
        <v>59</v>
      </c>
      <c r="B20" s="5" t="s">
        <v>92</v>
      </c>
      <c r="C20" s="4" t="s">
        <v>59</v>
      </c>
      <c r="D20" s="4">
        <v>1</v>
      </c>
      <c r="E20" s="4"/>
      <c r="F20" s="4">
        <v>3</v>
      </c>
      <c r="G20" s="4">
        <v>1056</v>
      </c>
      <c r="H20" s="4">
        <v>314</v>
      </c>
      <c r="I20" s="4">
        <v>64</v>
      </c>
      <c r="J20" s="4">
        <v>36.1</v>
      </c>
      <c r="K20" s="4">
        <v>2.4500000000000002</v>
      </c>
      <c r="L20" s="4">
        <v>25.7</v>
      </c>
      <c r="M20" s="4">
        <v>96</v>
      </c>
      <c r="N20" s="4">
        <v>48</v>
      </c>
      <c r="O20" s="4">
        <v>1000</v>
      </c>
      <c r="P20" s="4">
        <v>584</v>
      </c>
      <c r="Q20" s="4">
        <v>74500</v>
      </c>
      <c r="R20" s="4">
        <v>12500</v>
      </c>
      <c r="S20" s="4">
        <v>23600</v>
      </c>
      <c r="T20" s="4">
        <v>409</v>
      </c>
      <c r="U20" s="4">
        <v>28100</v>
      </c>
      <c r="V20" s="4">
        <v>334</v>
      </c>
      <c r="W20" s="4">
        <v>2130</v>
      </c>
      <c r="X20" s="4">
        <v>67</v>
      </c>
      <c r="Y20" s="4">
        <v>3480</v>
      </c>
      <c r="Z20" s="4">
        <v>71700</v>
      </c>
      <c r="AA20" s="4">
        <v>82300</v>
      </c>
      <c r="AB20" s="4">
        <v>77900</v>
      </c>
      <c r="AC20" s="4">
        <v>391</v>
      </c>
      <c r="AD20" s="4">
        <v>4410</v>
      </c>
      <c r="AE20" s="4">
        <v>13900</v>
      </c>
      <c r="AF20" s="4">
        <v>3.3</v>
      </c>
      <c r="AG20" s="4" t="s">
        <v>93</v>
      </c>
      <c r="AH20" s="4">
        <v>40</v>
      </c>
      <c r="AI20" s="4">
        <v>392</v>
      </c>
    </row>
    <row r="21" spans="1:35" x14ac:dyDescent="0.25">
      <c r="A21" s="4"/>
      <c r="B21" s="5" t="s">
        <v>94</v>
      </c>
      <c r="C21" s="4" t="s">
        <v>59</v>
      </c>
      <c r="D21" s="4">
        <v>1</v>
      </c>
      <c r="E21" s="4"/>
      <c r="F21" s="4">
        <v>3</v>
      </c>
      <c r="G21" s="4">
        <v>1036</v>
      </c>
      <c r="H21" s="4">
        <v>309</v>
      </c>
      <c r="I21" s="4">
        <v>54</v>
      </c>
      <c r="J21" s="4">
        <v>31</v>
      </c>
      <c r="K21" s="4">
        <v>2.86</v>
      </c>
      <c r="L21" s="4">
        <v>29.9</v>
      </c>
      <c r="M21" s="4">
        <v>86</v>
      </c>
      <c r="N21" s="4">
        <v>46</v>
      </c>
      <c r="O21" s="4">
        <v>1000</v>
      </c>
      <c r="P21" s="4">
        <v>494</v>
      </c>
      <c r="Q21" s="4">
        <v>62900</v>
      </c>
      <c r="R21" s="4">
        <v>10300</v>
      </c>
      <c r="S21" s="4">
        <v>19800</v>
      </c>
      <c r="T21" s="4">
        <v>404</v>
      </c>
      <c r="U21" s="4">
        <v>23400</v>
      </c>
      <c r="V21" s="4">
        <v>268</v>
      </c>
      <c r="W21" s="4">
        <v>1740</v>
      </c>
      <c r="X21" s="4">
        <v>65.3</v>
      </c>
      <c r="Y21" s="4">
        <v>2820</v>
      </c>
      <c r="Z21" s="4">
        <v>44000</v>
      </c>
      <c r="AA21" s="4">
        <v>64700</v>
      </c>
      <c r="AB21" s="4">
        <v>75900</v>
      </c>
      <c r="AC21" s="4">
        <v>316</v>
      </c>
      <c r="AD21" s="4">
        <v>3690</v>
      </c>
      <c r="AE21" s="4">
        <v>11500</v>
      </c>
      <c r="AF21" s="4">
        <v>3.25</v>
      </c>
      <c r="AG21" s="4" t="s">
        <v>95</v>
      </c>
      <c r="AH21" s="4">
        <v>40</v>
      </c>
      <c r="AI21" s="4">
        <v>331</v>
      </c>
    </row>
    <row r="22" spans="1:35" x14ac:dyDescent="0.25">
      <c r="A22" s="4"/>
      <c r="B22" s="5" t="s">
        <v>96</v>
      </c>
      <c r="C22" s="4" t="s">
        <v>59</v>
      </c>
      <c r="D22" s="4">
        <v>1</v>
      </c>
      <c r="E22" s="4"/>
      <c r="F22" s="4">
        <v>3</v>
      </c>
      <c r="G22" s="4">
        <v>1036</v>
      </c>
      <c r="H22" s="4">
        <v>308</v>
      </c>
      <c r="I22" s="4">
        <v>54.1</v>
      </c>
      <c r="J22" s="4">
        <v>30</v>
      </c>
      <c r="K22" s="4">
        <v>2.85</v>
      </c>
      <c r="L22" s="4">
        <v>30.9</v>
      </c>
      <c r="M22" s="4">
        <v>86</v>
      </c>
      <c r="N22" s="4">
        <v>45</v>
      </c>
      <c r="O22" s="4">
        <v>1000</v>
      </c>
      <c r="P22" s="4">
        <v>486</v>
      </c>
      <c r="Q22" s="4">
        <v>61900</v>
      </c>
      <c r="R22" s="4">
        <v>10200</v>
      </c>
      <c r="S22" s="4">
        <v>19700</v>
      </c>
      <c r="T22" s="4">
        <v>406</v>
      </c>
      <c r="U22" s="4">
        <v>23200</v>
      </c>
      <c r="V22" s="4">
        <v>266</v>
      </c>
      <c r="W22" s="4">
        <v>1730</v>
      </c>
      <c r="X22" s="4">
        <v>65.5</v>
      </c>
      <c r="Y22" s="4">
        <v>2790</v>
      </c>
      <c r="Z22" s="4">
        <v>42900</v>
      </c>
      <c r="AA22" s="4">
        <v>64100</v>
      </c>
      <c r="AB22" s="4">
        <v>75600</v>
      </c>
      <c r="AC22" s="4">
        <v>315</v>
      </c>
      <c r="AD22" s="4">
        <v>3690</v>
      </c>
      <c r="AE22" s="4">
        <v>11400</v>
      </c>
      <c r="AF22" s="4">
        <v>3.24</v>
      </c>
      <c r="AG22" s="4" t="s">
        <v>97</v>
      </c>
      <c r="AH22" s="4">
        <v>40</v>
      </c>
      <c r="AI22" s="4">
        <v>327</v>
      </c>
    </row>
    <row r="23" spans="1:35" x14ac:dyDescent="0.25">
      <c r="A23" s="4"/>
      <c r="B23" s="5" t="s">
        <v>98</v>
      </c>
      <c r="C23" s="4" t="s">
        <v>59</v>
      </c>
      <c r="D23" s="4">
        <v>1</v>
      </c>
      <c r="E23" s="4"/>
      <c r="F23" s="4">
        <v>3</v>
      </c>
      <c r="G23" s="4">
        <v>1026</v>
      </c>
      <c r="H23" s="4">
        <v>305</v>
      </c>
      <c r="I23" s="4">
        <v>49</v>
      </c>
      <c r="J23" s="4">
        <v>26.9</v>
      </c>
      <c r="K23" s="4">
        <v>3.11</v>
      </c>
      <c r="L23" s="4">
        <v>34.5</v>
      </c>
      <c r="M23" s="4">
        <v>81</v>
      </c>
      <c r="N23" s="4">
        <v>43</v>
      </c>
      <c r="O23" s="4">
        <v>1000</v>
      </c>
      <c r="P23" s="4">
        <v>438</v>
      </c>
      <c r="Q23" s="4">
        <v>55600</v>
      </c>
      <c r="R23" s="4">
        <v>9090</v>
      </c>
      <c r="S23" s="4">
        <v>17700</v>
      </c>
      <c r="T23" s="4">
        <v>404</v>
      </c>
      <c r="U23" s="4">
        <v>20700</v>
      </c>
      <c r="V23" s="4">
        <v>234</v>
      </c>
      <c r="W23" s="4">
        <v>1530</v>
      </c>
      <c r="X23" s="4">
        <v>64.8</v>
      </c>
      <c r="Y23" s="4">
        <v>2460</v>
      </c>
      <c r="Z23" s="4">
        <v>31800</v>
      </c>
      <c r="AA23" s="4">
        <v>55700</v>
      </c>
      <c r="AB23" s="4">
        <v>74500</v>
      </c>
      <c r="AC23" s="4">
        <v>278</v>
      </c>
      <c r="AD23" s="4">
        <v>3330</v>
      </c>
      <c r="AE23" s="4">
        <v>10200</v>
      </c>
      <c r="AF23" s="4">
        <v>3.22</v>
      </c>
      <c r="AG23" s="4" t="s">
        <v>99</v>
      </c>
      <c r="AH23" s="4">
        <v>40</v>
      </c>
      <c r="AI23" s="4">
        <v>294</v>
      </c>
    </row>
    <row r="24" spans="1:35" x14ac:dyDescent="0.25">
      <c r="A24" s="4"/>
      <c r="B24" s="5" t="s">
        <v>100</v>
      </c>
      <c r="C24" s="4" t="s">
        <v>59</v>
      </c>
      <c r="D24" s="4">
        <v>1</v>
      </c>
      <c r="E24" s="4"/>
      <c r="F24" s="4">
        <v>3</v>
      </c>
      <c r="G24" s="4">
        <v>1020</v>
      </c>
      <c r="H24" s="4">
        <v>304</v>
      </c>
      <c r="I24" s="4">
        <v>46</v>
      </c>
      <c r="J24" s="4">
        <v>25.9</v>
      </c>
      <c r="K24" s="4">
        <v>3.3</v>
      </c>
      <c r="L24" s="4">
        <v>35.799999999999997</v>
      </c>
      <c r="M24" s="4">
        <v>78</v>
      </c>
      <c r="N24" s="4">
        <v>43</v>
      </c>
      <c r="O24" s="4">
        <v>1000</v>
      </c>
      <c r="P24" s="4">
        <v>415</v>
      </c>
      <c r="Q24" s="4">
        <v>52800</v>
      </c>
      <c r="R24" s="4">
        <v>8520</v>
      </c>
      <c r="S24" s="4">
        <v>16700</v>
      </c>
      <c r="T24" s="4">
        <v>402</v>
      </c>
      <c r="U24" s="4">
        <v>19500</v>
      </c>
      <c r="V24" s="4">
        <v>217</v>
      </c>
      <c r="W24" s="4">
        <v>1430</v>
      </c>
      <c r="X24" s="4">
        <v>64.099999999999994</v>
      </c>
      <c r="Y24" s="4">
        <v>2300</v>
      </c>
      <c r="Z24" s="4">
        <v>27000</v>
      </c>
      <c r="AA24" s="4">
        <v>51500</v>
      </c>
      <c r="AB24" s="4">
        <v>74000</v>
      </c>
      <c r="AC24" s="4">
        <v>259</v>
      </c>
      <c r="AD24" s="4">
        <v>3110</v>
      </c>
      <c r="AE24" s="4">
        <v>9600</v>
      </c>
      <c r="AF24" s="4">
        <v>3.2</v>
      </c>
      <c r="AG24" s="4" t="s">
        <v>101</v>
      </c>
      <c r="AH24" s="4">
        <v>40</v>
      </c>
      <c r="AI24" s="4">
        <v>278</v>
      </c>
    </row>
    <row r="25" spans="1:35" x14ac:dyDescent="0.25">
      <c r="A25" s="4"/>
      <c r="B25" s="5" t="s">
        <v>102</v>
      </c>
      <c r="C25" s="4" t="s">
        <v>59</v>
      </c>
      <c r="D25" s="4">
        <v>1</v>
      </c>
      <c r="E25" s="4"/>
      <c r="F25" s="4">
        <v>3</v>
      </c>
      <c r="G25" s="4">
        <v>1016</v>
      </c>
      <c r="H25" s="4">
        <v>303</v>
      </c>
      <c r="I25" s="4">
        <v>43.9</v>
      </c>
      <c r="J25" s="4">
        <v>24.4</v>
      </c>
      <c r="K25" s="4">
        <v>3.45</v>
      </c>
      <c r="L25" s="4">
        <v>38</v>
      </c>
      <c r="M25" s="4">
        <v>75</v>
      </c>
      <c r="N25" s="4">
        <v>42</v>
      </c>
      <c r="O25" s="4">
        <v>1000</v>
      </c>
      <c r="P25" s="4">
        <v>393</v>
      </c>
      <c r="Q25" s="4">
        <v>50000</v>
      </c>
      <c r="R25" s="4">
        <v>8080</v>
      </c>
      <c r="S25" s="4">
        <v>15900</v>
      </c>
      <c r="T25" s="4">
        <v>402</v>
      </c>
      <c r="U25" s="4">
        <v>18500</v>
      </c>
      <c r="V25" s="4">
        <v>205</v>
      </c>
      <c r="W25" s="4">
        <v>1350</v>
      </c>
      <c r="X25" s="4">
        <v>64</v>
      </c>
      <c r="Y25" s="4">
        <v>2170</v>
      </c>
      <c r="Z25" s="4">
        <v>23300</v>
      </c>
      <c r="AA25" s="4">
        <v>48400</v>
      </c>
      <c r="AB25" s="4">
        <v>73600</v>
      </c>
      <c r="AC25" s="4">
        <v>245</v>
      </c>
      <c r="AD25" s="4">
        <v>2970</v>
      </c>
      <c r="AE25" s="4">
        <v>9090</v>
      </c>
      <c r="AF25" s="4">
        <v>3.2</v>
      </c>
      <c r="AG25" s="4" t="s">
        <v>103</v>
      </c>
      <c r="AH25" s="4">
        <v>40</v>
      </c>
      <c r="AI25" s="4">
        <v>264</v>
      </c>
    </row>
    <row r="26" spans="1:35" x14ac:dyDescent="0.25">
      <c r="A26" s="4"/>
      <c r="B26" s="5" t="s">
        <v>104</v>
      </c>
      <c r="C26" s="4" t="s">
        <v>59</v>
      </c>
      <c r="D26" s="4">
        <v>1</v>
      </c>
      <c r="E26" s="4"/>
      <c r="F26" s="4">
        <v>3</v>
      </c>
      <c r="G26" s="4">
        <v>1008</v>
      </c>
      <c r="H26" s="4">
        <v>302</v>
      </c>
      <c r="I26" s="4">
        <v>40</v>
      </c>
      <c r="J26" s="4">
        <v>21.1</v>
      </c>
      <c r="K26" s="4">
        <v>3.78</v>
      </c>
      <c r="L26" s="4">
        <v>44</v>
      </c>
      <c r="M26" s="4">
        <v>72</v>
      </c>
      <c r="N26" s="4">
        <v>41</v>
      </c>
      <c r="O26" s="4">
        <v>1000</v>
      </c>
      <c r="P26" s="4">
        <v>350</v>
      </c>
      <c r="Q26" s="4">
        <v>44500</v>
      </c>
      <c r="R26" s="4">
        <v>7230</v>
      </c>
      <c r="S26" s="4">
        <v>14300</v>
      </c>
      <c r="T26" s="4">
        <v>403</v>
      </c>
      <c r="U26" s="4">
        <v>16600</v>
      </c>
      <c r="V26" s="4">
        <v>185</v>
      </c>
      <c r="W26" s="4">
        <v>1220</v>
      </c>
      <c r="X26" s="4">
        <v>64.400000000000006</v>
      </c>
      <c r="Y26" s="4">
        <v>1940</v>
      </c>
      <c r="Z26" s="4">
        <v>17200</v>
      </c>
      <c r="AA26" s="4">
        <v>43200</v>
      </c>
      <c r="AB26" s="4">
        <v>73100</v>
      </c>
      <c r="AC26" s="4">
        <v>221</v>
      </c>
      <c r="AD26" s="4">
        <v>2720</v>
      </c>
      <c r="AE26" s="4">
        <v>8120</v>
      </c>
      <c r="AF26" s="4">
        <v>3.18</v>
      </c>
      <c r="AG26" s="4" t="s">
        <v>105</v>
      </c>
      <c r="AH26" s="4">
        <v>40</v>
      </c>
      <c r="AI26" s="4">
        <v>235</v>
      </c>
    </row>
    <row r="27" spans="1:35" x14ac:dyDescent="0.25">
      <c r="A27" s="4"/>
      <c r="B27" s="5" t="s">
        <v>106</v>
      </c>
      <c r="C27" s="4" t="s">
        <v>59</v>
      </c>
      <c r="D27" s="4">
        <v>1</v>
      </c>
      <c r="E27" s="4"/>
      <c r="F27" s="4">
        <v>3</v>
      </c>
      <c r="G27" s="4">
        <v>1000</v>
      </c>
      <c r="H27" s="4">
        <v>300</v>
      </c>
      <c r="I27" s="4">
        <v>35.9</v>
      </c>
      <c r="J27" s="4">
        <v>19.100000000000001</v>
      </c>
      <c r="K27" s="4">
        <v>4.18</v>
      </c>
      <c r="L27" s="4">
        <v>48.6</v>
      </c>
      <c r="M27" s="4">
        <v>67</v>
      </c>
      <c r="N27" s="4">
        <v>40</v>
      </c>
      <c r="O27" s="4">
        <v>1000</v>
      </c>
      <c r="P27" s="4">
        <v>314</v>
      </c>
      <c r="Q27" s="4">
        <v>40000</v>
      </c>
      <c r="R27" s="4">
        <v>6440</v>
      </c>
      <c r="S27" s="4">
        <v>12900</v>
      </c>
      <c r="T27" s="4">
        <v>401</v>
      </c>
      <c r="U27" s="4">
        <v>14900</v>
      </c>
      <c r="V27" s="4">
        <v>162</v>
      </c>
      <c r="W27" s="4">
        <v>1080</v>
      </c>
      <c r="X27" s="4">
        <v>63.7</v>
      </c>
      <c r="Y27" s="4">
        <v>1710</v>
      </c>
      <c r="Z27" s="4">
        <v>12600</v>
      </c>
      <c r="AA27" s="4">
        <v>37700</v>
      </c>
      <c r="AB27" s="4">
        <v>72300</v>
      </c>
      <c r="AC27" s="4">
        <v>195</v>
      </c>
      <c r="AD27" s="4">
        <v>2430</v>
      </c>
      <c r="AE27" s="4">
        <v>7250</v>
      </c>
      <c r="AF27" s="4">
        <v>3.16</v>
      </c>
      <c r="AG27" s="4" t="s">
        <v>107</v>
      </c>
      <c r="AH27" s="4">
        <v>40</v>
      </c>
      <c r="AI27" s="4">
        <v>211</v>
      </c>
    </row>
    <row r="28" spans="1:35" x14ac:dyDescent="0.25">
      <c r="A28" s="4"/>
      <c r="B28" s="5" t="s">
        <v>108</v>
      </c>
      <c r="C28" s="4" t="s">
        <v>59</v>
      </c>
      <c r="D28" s="4">
        <v>1</v>
      </c>
      <c r="E28" s="4"/>
      <c r="F28" s="4">
        <v>3</v>
      </c>
      <c r="G28" s="4">
        <v>990</v>
      </c>
      <c r="H28" s="4">
        <v>300</v>
      </c>
      <c r="I28" s="4">
        <v>31</v>
      </c>
      <c r="J28" s="4">
        <v>16.5</v>
      </c>
      <c r="K28" s="4">
        <v>4.84</v>
      </c>
      <c r="L28" s="4">
        <v>56.2</v>
      </c>
      <c r="M28" s="4">
        <v>63</v>
      </c>
      <c r="N28" s="4">
        <v>38</v>
      </c>
      <c r="O28" s="4">
        <v>1000</v>
      </c>
      <c r="P28" s="4">
        <v>272</v>
      </c>
      <c r="Q28" s="4">
        <v>34700</v>
      </c>
      <c r="R28" s="4">
        <v>5540</v>
      </c>
      <c r="S28" s="4">
        <v>11200</v>
      </c>
      <c r="T28" s="4">
        <v>400</v>
      </c>
      <c r="U28" s="4">
        <v>12800</v>
      </c>
      <c r="V28" s="4">
        <v>140</v>
      </c>
      <c r="W28" s="4">
        <v>933</v>
      </c>
      <c r="X28" s="4">
        <v>63.5</v>
      </c>
      <c r="Y28" s="4">
        <v>1470</v>
      </c>
      <c r="Z28" s="4">
        <v>8350</v>
      </c>
      <c r="AA28" s="4">
        <v>32200</v>
      </c>
      <c r="AB28" s="4">
        <v>71900</v>
      </c>
      <c r="AC28" s="4">
        <v>167</v>
      </c>
      <c r="AD28" s="4">
        <v>2110</v>
      </c>
      <c r="AE28" s="4">
        <v>6240</v>
      </c>
      <c r="AF28" s="4">
        <v>3.15</v>
      </c>
      <c r="AG28" s="4" t="s">
        <v>109</v>
      </c>
      <c r="AH28" s="4">
        <v>40</v>
      </c>
      <c r="AI28" s="4">
        <v>183</v>
      </c>
    </row>
    <row r="29" spans="1:35" x14ac:dyDescent="0.25">
      <c r="A29" s="4"/>
      <c r="B29" s="5" t="s">
        <v>110</v>
      </c>
      <c r="C29" s="4" t="s">
        <v>59</v>
      </c>
      <c r="D29" s="4">
        <v>1</v>
      </c>
      <c r="E29" s="4"/>
      <c r="F29" s="4">
        <v>3</v>
      </c>
      <c r="G29" s="4">
        <v>980</v>
      </c>
      <c r="H29" s="4">
        <v>300</v>
      </c>
      <c r="I29" s="4">
        <v>26</v>
      </c>
      <c r="J29" s="4">
        <v>16.5</v>
      </c>
      <c r="K29" s="4">
        <v>5.77</v>
      </c>
      <c r="L29" s="4">
        <v>56.2</v>
      </c>
      <c r="M29" s="4">
        <v>58</v>
      </c>
      <c r="N29" s="4">
        <v>38</v>
      </c>
      <c r="O29" s="4">
        <v>1000</v>
      </c>
      <c r="P29" s="4">
        <v>249</v>
      </c>
      <c r="Q29" s="4">
        <v>31700</v>
      </c>
      <c r="R29" s="4">
        <v>4810</v>
      </c>
      <c r="S29" s="4">
        <v>9820</v>
      </c>
      <c r="T29" s="4">
        <v>390</v>
      </c>
      <c r="U29" s="4">
        <v>11300</v>
      </c>
      <c r="V29" s="4">
        <v>118</v>
      </c>
      <c r="W29" s="4">
        <v>783</v>
      </c>
      <c r="X29" s="4">
        <v>60.9</v>
      </c>
      <c r="Y29" s="4">
        <v>1240</v>
      </c>
      <c r="Z29" s="4">
        <v>5820</v>
      </c>
      <c r="AA29" s="4">
        <v>26700</v>
      </c>
      <c r="AB29" s="4">
        <v>71600</v>
      </c>
      <c r="AC29" s="4">
        <v>140</v>
      </c>
      <c r="AD29" s="4">
        <v>1760</v>
      </c>
      <c r="AE29" s="4">
        <v>5500</v>
      </c>
      <c r="AF29" s="4">
        <v>3.13</v>
      </c>
      <c r="AG29" s="4" t="s">
        <v>111</v>
      </c>
      <c r="AH29" s="4">
        <v>40</v>
      </c>
      <c r="AI29" s="4">
        <v>167</v>
      </c>
    </row>
    <row r="30" spans="1:35" x14ac:dyDescent="0.25">
      <c r="A30" s="4"/>
      <c r="B30" s="5" t="s">
        <v>112</v>
      </c>
      <c r="C30" s="4" t="s">
        <v>59</v>
      </c>
      <c r="D30" s="4">
        <v>1</v>
      </c>
      <c r="E30" s="4"/>
      <c r="F30" s="4">
        <v>3</v>
      </c>
      <c r="G30" s="4">
        <v>970</v>
      </c>
      <c r="H30" s="4">
        <v>300</v>
      </c>
      <c r="I30" s="4">
        <v>21.1</v>
      </c>
      <c r="J30" s="4">
        <v>16</v>
      </c>
      <c r="K30" s="4">
        <v>7.11</v>
      </c>
      <c r="L30" s="4">
        <v>58</v>
      </c>
      <c r="M30" s="4">
        <v>53</v>
      </c>
      <c r="N30" s="4">
        <v>38</v>
      </c>
      <c r="O30" s="4">
        <v>1000</v>
      </c>
      <c r="P30" s="4">
        <v>222</v>
      </c>
      <c r="Q30" s="4">
        <v>28300</v>
      </c>
      <c r="R30" s="4">
        <v>4080</v>
      </c>
      <c r="S30" s="4">
        <v>8410</v>
      </c>
      <c r="T30" s="4">
        <v>380</v>
      </c>
      <c r="U30" s="4">
        <v>9800</v>
      </c>
      <c r="V30" s="4">
        <v>95.4</v>
      </c>
      <c r="W30" s="4">
        <v>636</v>
      </c>
      <c r="X30" s="4">
        <v>58.1</v>
      </c>
      <c r="Y30" s="4">
        <v>1020</v>
      </c>
      <c r="Z30" s="4">
        <v>3900</v>
      </c>
      <c r="AA30" s="4">
        <v>21500</v>
      </c>
      <c r="AB30" s="4">
        <v>71200</v>
      </c>
      <c r="AC30" s="4">
        <v>113</v>
      </c>
      <c r="AD30" s="4">
        <v>1420</v>
      </c>
      <c r="AE30" s="4">
        <v>4720</v>
      </c>
      <c r="AF30" s="4">
        <v>3.11</v>
      </c>
      <c r="AG30" s="4" t="s">
        <v>113</v>
      </c>
      <c r="AH30" s="4">
        <v>40</v>
      </c>
      <c r="AI30" s="4">
        <v>149</v>
      </c>
    </row>
    <row r="31" spans="1:35" x14ac:dyDescent="0.25">
      <c r="A31" s="4" t="s">
        <v>59</v>
      </c>
      <c r="B31" s="5" t="s">
        <v>114</v>
      </c>
      <c r="C31" s="4" t="s">
        <v>59</v>
      </c>
      <c r="D31" s="4">
        <v>1</v>
      </c>
      <c r="E31" s="4"/>
      <c r="F31" s="4">
        <v>3</v>
      </c>
      <c r="G31" s="4">
        <v>1081</v>
      </c>
      <c r="H31" s="4">
        <v>457</v>
      </c>
      <c r="I31" s="4">
        <v>109</v>
      </c>
      <c r="J31" s="4">
        <v>60.5</v>
      </c>
      <c r="K31" s="4">
        <v>2.1</v>
      </c>
      <c r="L31" s="4">
        <v>14.3</v>
      </c>
      <c r="M31" s="4">
        <v>141</v>
      </c>
      <c r="N31" s="4">
        <v>60</v>
      </c>
      <c r="O31" s="4">
        <v>920</v>
      </c>
      <c r="P31" s="4">
        <v>1191</v>
      </c>
      <c r="Q31" s="4">
        <v>152000</v>
      </c>
      <c r="R31" s="4">
        <v>27000</v>
      </c>
      <c r="S31" s="4">
        <v>49900</v>
      </c>
      <c r="T31" s="4">
        <v>421</v>
      </c>
      <c r="U31" s="4">
        <v>59900</v>
      </c>
      <c r="V31" s="4">
        <v>1750</v>
      </c>
      <c r="W31" s="4">
        <v>7660</v>
      </c>
      <c r="X31" s="4">
        <v>107</v>
      </c>
      <c r="Y31" s="4">
        <v>12200</v>
      </c>
      <c r="Z31" s="4">
        <v>440000</v>
      </c>
      <c r="AA31" s="4">
        <v>413000</v>
      </c>
      <c r="AB31" s="4">
        <v>111000</v>
      </c>
      <c r="AC31" s="4">
        <v>1380</v>
      </c>
      <c r="AD31" s="4">
        <v>10500</v>
      </c>
      <c r="AE31" s="4">
        <v>29800</v>
      </c>
      <c r="AF31" s="4">
        <v>3.87</v>
      </c>
      <c r="AG31" s="4" t="s">
        <v>115</v>
      </c>
      <c r="AH31" s="4">
        <v>36</v>
      </c>
      <c r="AI31" s="4">
        <v>800</v>
      </c>
    </row>
    <row r="32" spans="1:35" x14ac:dyDescent="0.25">
      <c r="A32" s="4"/>
      <c r="B32" s="5" t="s">
        <v>116</v>
      </c>
      <c r="C32" s="4" t="s">
        <v>59</v>
      </c>
      <c r="D32" s="4">
        <v>1</v>
      </c>
      <c r="E32" s="4"/>
      <c r="F32" s="4">
        <v>3</v>
      </c>
      <c r="G32" s="4">
        <v>1043</v>
      </c>
      <c r="H32" s="4">
        <v>446</v>
      </c>
      <c r="I32" s="4">
        <v>89.9</v>
      </c>
      <c r="J32" s="4">
        <v>50</v>
      </c>
      <c r="K32" s="4">
        <v>2.48</v>
      </c>
      <c r="L32" s="4">
        <v>17.3</v>
      </c>
      <c r="M32" s="4">
        <v>121</v>
      </c>
      <c r="N32" s="4">
        <v>55</v>
      </c>
      <c r="O32" s="4">
        <v>920</v>
      </c>
      <c r="P32" s="4">
        <v>970</v>
      </c>
      <c r="Q32" s="4">
        <v>124000</v>
      </c>
      <c r="R32" s="4">
        <v>21000</v>
      </c>
      <c r="S32" s="4">
        <v>40300</v>
      </c>
      <c r="T32" s="4">
        <v>412</v>
      </c>
      <c r="U32" s="4">
        <v>47700</v>
      </c>
      <c r="V32" s="4">
        <v>1340</v>
      </c>
      <c r="W32" s="4">
        <v>6000</v>
      </c>
      <c r="X32" s="4">
        <v>104</v>
      </c>
      <c r="Y32" s="4">
        <v>9500</v>
      </c>
      <c r="Z32" s="4">
        <v>246000</v>
      </c>
      <c r="AA32" s="4">
        <v>304000</v>
      </c>
      <c r="AB32" s="4">
        <v>106000</v>
      </c>
      <c r="AC32" s="4">
        <v>1070</v>
      </c>
      <c r="AD32" s="4">
        <v>8480</v>
      </c>
      <c r="AE32" s="4">
        <v>23800</v>
      </c>
      <c r="AF32" s="4">
        <v>3.77</v>
      </c>
      <c r="AG32" s="4" t="s">
        <v>117</v>
      </c>
      <c r="AH32" s="4">
        <v>36</v>
      </c>
      <c r="AI32" s="4">
        <v>652</v>
      </c>
    </row>
    <row r="33" spans="1:35" x14ac:dyDescent="0.25">
      <c r="A33" s="4"/>
      <c r="B33" s="5" t="s">
        <v>118</v>
      </c>
      <c r="C33" s="4" t="s">
        <v>59</v>
      </c>
      <c r="D33" s="4">
        <v>1</v>
      </c>
      <c r="E33" s="4"/>
      <c r="F33" s="4">
        <v>3</v>
      </c>
      <c r="G33" s="4">
        <v>1011</v>
      </c>
      <c r="H33" s="4">
        <v>437</v>
      </c>
      <c r="I33" s="4">
        <v>73.900000000000006</v>
      </c>
      <c r="J33" s="4">
        <v>40.9</v>
      </c>
      <c r="K33" s="4">
        <v>2.96</v>
      </c>
      <c r="L33" s="4">
        <v>21.1</v>
      </c>
      <c r="M33" s="4">
        <v>105</v>
      </c>
      <c r="N33" s="4">
        <v>50</v>
      </c>
      <c r="O33" s="4">
        <v>920</v>
      </c>
      <c r="P33" s="4">
        <v>787</v>
      </c>
      <c r="Q33" s="4">
        <v>100000</v>
      </c>
      <c r="R33" s="4">
        <v>16500</v>
      </c>
      <c r="S33" s="4">
        <v>32600</v>
      </c>
      <c r="T33" s="4">
        <v>405</v>
      </c>
      <c r="U33" s="4">
        <v>38100</v>
      </c>
      <c r="V33" s="4">
        <v>1030</v>
      </c>
      <c r="W33" s="4">
        <v>4730</v>
      </c>
      <c r="X33" s="4">
        <v>101</v>
      </c>
      <c r="Y33" s="4">
        <v>7430</v>
      </c>
      <c r="Z33" s="4">
        <v>136000</v>
      </c>
      <c r="AA33" s="4">
        <v>227000</v>
      </c>
      <c r="AB33" s="4">
        <v>102000</v>
      </c>
      <c r="AC33" s="4">
        <v>827</v>
      </c>
      <c r="AD33" s="4">
        <v>6860</v>
      </c>
      <c r="AE33" s="4">
        <v>18900</v>
      </c>
      <c r="AF33" s="4">
        <v>3.69</v>
      </c>
      <c r="AG33" s="4" t="s">
        <v>119</v>
      </c>
      <c r="AH33" s="4">
        <v>36</v>
      </c>
      <c r="AI33" s="4">
        <v>529</v>
      </c>
    </row>
    <row r="34" spans="1:35" x14ac:dyDescent="0.25">
      <c r="A34" s="4"/>
      <c r="B34" s="5" t="s">
        <v>120</v>
      </c>
      <c r="C34" s="4" t="s">
        <v>59</v>
      </c>
      <c r="D34" s="4">
        <v>1</v>
      </c>
      <c r="E34" s="4"/>
      <c r="F34" s="4">
        <v>3</v>
      </c>
      <c r="G34" s="4">
        <v>999</v>
      </c>
      <c r="H34" s="4">
        <v>434</v>
      </c>
      <c r="I34" s="4">
        <v>68.099999999999994</v>
      </c>
      <c r="J34" s="4">
        <v>38.1</v>
      </c>
      <c r="K34" s="4">
        <v>3.19</v>
      </c>
      <c r="L34" s="4">
        <v>22.6</v>
      </c>
      <c r="M34" s="4">
        <v>100</v>
      </c>
      <c r="N34" s="4">
        <v>49</v>
      </c>
      <c r="O34" s="4">
        <v>920</v>
      </c>
      <c r="P34" s="4">
        <v>725</v>
      </c>
      <c r="Q34" s="4">
        <v>92500</v>
      </c>
      <c r="R34" s="4">
        <v>15000</v>
      </c>
      <c r="S34" s="4">
        <v>29900</v>
      </c>
      <c r="T34" s="4">
        <v>402</v>
      </c>
      <c r="U34" s="4">
        <v>34800</v>
      </c>
      <c r="V34" s="4">
        <v>932</v>
      </c>
      <c r="W34" s="4">
        <v>4300</v>
      </c>
      <c r="X34" s="4">
        <v>100</v>
      </c>
      <c r="Y34" s="4">
        <v>6740</v>
      </c>
      <c r="Z34" s="4">
        <v>107000</v>
      </c>
      <c r="AA34" s="4">
        <v>202000</v>
      </c>
      <c r="AB34" s="4">
        <v>101000</v>
      </c>
      <c r="AC34" s="4">
        <v>746</v>
      </c>
      <c r="AD34" s="4">
        <v>6270</v>
      </c>
      <c r="AE34" s="4">
        <v>17300</v>
      </c>
      <c r="AF34" s="4">
        <v>3.66</v>
      </c>
      <c r="AG34" s="4" t="s">
        <v>121</v>
      </c>
      <c r="AH34" s="4">
        <v>36</v>
      </c>
      <c r="AI34" s="4">
        <v>487</v>
      </c>
    </row>
    <row r="35" spans="1:35" x14ac:dyDescent="0.25">
      <c r="A35" s="4"/>
      <c r="B35" s="5" t="s">
        <v>122</v>
      </c>
      <c r="C35" s="4" t="s">
        <v>59</v>
      </c>
      <c r="D35" s="4">
        <v>1</v>
      </c>
      <c r="E35" s="4"/>
      <c r="F35" s="4">
        <v>3</v>
      </c>
      <c r="G35" s="4">
        <v>987</v>
      </c>
      <c r="H35" s="4">
        <v>431</v>
      </c>
      <c r="I35" s="4">
        <v>62</v>
      </c>
      <c r="J35" s="4">
        <v>34.5</v>
      </c>
      <c r="K35" s="4">
        <v>3.48</v>
      </c>
      <c r="L35" s="4">
        <v>25</v>
      </c>
      <c r="M35" s="4">
        <v>94</v>
      </c>
      <c r="N35" s="4">
        <v>47</v>
      </c>
      <c r="O35" s="4">
        <v>920</v>
      </c>
      <c r="P35" s="4">
        <v>656</v>
      </c>
      <c r="Q35" s="4">
        <v>83700</v>
      </c>
      <c r="R35" s="4">
        <v>13400</v>
      </c>
      <c r="S35" s="4">
        <v>27100</v>
      </c>
      <c r="T35" s="4">
        <v>400</v>
      </c>
      <c r="U35" s="4">
        <v>31400</v>
      </c>
      <c r="V35" s="4">
        <v>831</v>
      </c>
      <c r="W35" s="4">
        <v>3850</v>
      </c>
      <c r="X35" s="4">
        <v>99.6</v>
      </c>
      <c r="Y35" s="4">
        <v>6030</v>
      </c>
      <c r="Z35" s="4">
        <v>80700</v>
      </c>
      <c r="AA35" s="4">
        <v>178000</v>
      </c>
      <c r="AB35" s="4">
        <v>99700</v>
      </c>
      <c r="AC35" s="4">
        <v>666</v>
      </c>
      <c r="AD35" s="4">
        <v>5680</v>
      </c>
      <c r="AE35" s="4">
        <v>15600</v>
      </c>
      <c r="AF35" s="4">
        <v>3.63</v>
      </c>
      <c r="AG35" s="4" t="s">
        <v>123</v>
      </c>
      <c r="AH35" s="4">
        <v>36</v>
      </c>
      <c r="AI35" s="4">
        <v>441</v>
      </c>
    </row>
    <row r="36" spans="1:35" x14ac:dyDescent="0.25">
      <c r="A36" s="4"/>
      <c r="B36" s="5" t="s">
        <v>124</v>
      </c>
      <c r="C36" s="4" t="s">
        <v>59</v>
      </c>
      <c r="D36" s="4">
        <v>1</v>
      </c>
      <c r="E36" s="4"/>
      <c r="F36" s="4">
        <v>3</v>
      </c>
      <c r="G36" s="4">
        <v>976</v>
      </c>
      <c r="H36" s="4">
        <v>427</v>
      </c>
      <c r="I36" s="4">
        <v>55.9</v>
      </c>
      <c r="J36" s="4">
        <v>31</v>
      </c>
      <c r="K36" s="4">
        <v>3.82</v>
      </c>
      <c r="L36" s="4">
        <v>27.9</v>
      </c>
      <c r="M36" s="4">
        <v>87</v>
      </c>
      <c r="N36" s="4">
        <v>46</v>
      </c>
      <c r="O36" s="4">
        <v>920</v>
      </c>
      <c r="P36" s="4">
        <v>588</v>
      </c>
      <c r="Q36" s="4">
        <v>75000</v>
      </c>
      <c r="R36" s="4">
        <v>11900</v>
      </c>
      <c r="S36" s="4">
        <v>24300</v>
      </c>
      <c r="T36" s="4">
        <v>398</v>
      </c>
      <c r="U36" s="4">
        <v>28000</v>
      </c>
      <c r="V36" s="4">
        <v>728</v>
      </c>
      <c r="W36" s="4">
        <v>3410</v>
      </c>
      <c r="X36" s="4">
        <v>98.5</v>
      </c>
      <c r="Y36" s="4">
        <v>5310</v>
      </c>
      <c r="Z36" s="4">
        <v>59100</v>
      </c>
      <c r="AA36" s="4">
        <v>154000</v>
      </c>
      <c r="AB36" s="4">
        <v>98200</v>
      </c>
      <c r="AC36" s="4">
        <v>586</v>
      </c>
      <c r="AD36" s="4">
        <v>5090</v>
      </c>
      <c r="AE36" s="4">
        <v>13900</v>
      </c>
      <c r="AF36" s="4">
        <v>3.6</v>
      </c>
      <c r="AG36" s="4" t="s">
        <v>125</v>
      </c>
      <c r="AH36" s="4">
        <v>36</v>
      </c>
      <c r="AI36" s="4">
        <v>395</v>
      </c>
    </row>
    <row r="37" spans="1:35" x14ac:dyDescent="0.25">
      <c r="A37" s="4"/>
      <c r="B37" s="5" t="s">
        <v>126</v>
      </c>
      <c r="C37" s="4" t="s">
        <v>59</v>
      </c>
      <c r="D37" s="4">
        <v>1</v>
      </c>
      <c r="E37" s="4"/>
      <c r="F37" s="4">
        <v>3</v>
      </c>
      <c r="G37" s="4">
        <v>965</v>
      </c>
      <c r="H37" s="4">
        <v>425</v>
      </c>
      <c r="I37" s="4">
        <v>51.1</v>
      </c>
      <c r="J37" s="4">
        <v>28.4</v>
      </c>
      <c r="K37" s="4">
        <v>4.16</v>
      </c>
      <c r="L37" s="4">
        <v>30.4</v>
      </c>
      <c r="M37" s="4">
        <v>83</v>
      </c>
      <c r="N37" s="4">
        <v>44</v>
      </c>
      <c r="O37" s="4">
        <v>920</v>
      </c>
      <c r="P37" s="4">
        <v>537</v>
      </c>
      <c r="Q37" s="4">
        <v>68400</v>
      </c>
      <c r="R37" s="4">
        <v>10700</v>
      </c>
      <c r="S37" s="4">
        <v>22200</v>
      </c>
      <c r="T37" s="4">
        <v>395</v>
      </c>
      <c r="U37" s="4">
        <v>25300</v>
      </c>
      <c r="V37" s="4">
        <v>656</v>
      </c>
      <c r="W37" s="4">
        <v>3090</v>
      </c>
      <c r="X37" s="4">
        <v>97.9</v>
      </c>
      <c r="Y37" s="4">
        <v>4800</v>
      </c>
      <c r="Z37" s="4">
        <v>45300</v>
      </c>
      <c r="AA37" s="4">
        <v>137000</v>
      </c>
      <c r="AB37" s="4">
        <v>97100</v>
      </c>
      <c r="AC37" s="4">
        <v>527</v>
      </c>
      <c r="AD37" s="4">
        <v>4630</v>
      </c>
      <c r="AE37" s="4">
        <v>12600</v>
      </c>
      <c r="AF37" s="4">
        <v>3.57</v>
      </c>
      <c r="AG37" s="4" t="s">
        <v>127</v>
      </c>
      <c r="AH37" s="4">
        <v>36</v>
      </c>
      <c r="AI37" s="4">
        <v>361</v>
      </c>
    </row>
    <row r="38" spans="1:35" x14ac:dyDescent="0.25">
      <c r="A38" s="4"/>
      <c r="B38" s="5" t="s">
        <v>128</v>
      </c>
      <c r="C38" s="4" t="s">
        <v>59</v>
      </c>
      <c r="D38" s="4">
        <v>1</v>
      </c>
      <c r="E38" s="4"/>
      <c r="F38" s="4">
        <v>3</v>
      </c>
      <c r="G38" s="4">
        <v>957</v>
      </c>
      <c r="H38" s="4">
        <v>422</v>
      </c>
      <c r="I38" s="4">
        <v>47</v>
      </c>
      <c r="J38" s="4">
        <v>25.9</v>
      </c>
      <c r="K38" s="4">
        <v>4.49</v>
      </c>
      <c r="L38" s="4">
        <v>33.299999999999997</v>
      </c>
      <c r="M38" s="4">
        <v>79</v>
      </c>
      <c r="N38" s="4">
        <v>43</v>
      </c>
      <c r="O38" s="4">
        <v>920</v>
      </c>
      <c r="P38" s="4">
        <v>491</v>
      </c>
      <c r="Q38" s="4">
        <v>62500</v>
      </c>
      <c r="R38" s="4">
        <v>9700</v>
      </c>
      <c r="S38" s="4">
        <v>20300</v>
      </c>
      <c r="T38" s="4">
        <v>394</v>
      </c>
      <c r="U38" s="4">
        <v>23100</v>
      </c>
      <c r="V38" s="4">
        <v>590</v>
      </c>
      <c r="W38" s="4">
        <v>2800</v>
      </c>
      <c r="X38" s="4">
        <v>97.2</v>
      </c>
      <c r="Y38" s="4">
        <v>4340</v>
      </c>
      <c r="Z38" s="4">
        <v>35100</v>
      </c>
      <c r="AA38" s="4">
        <v>122000</v>
      </c>
      <c r="AB38" s="4">
        <v>96000</v>
      </c>
      <c r="AC38" s="4">
        <v>476</v>
      </c>
      <c r="AD38" s="4">
        <v>4240</v>
      </c>
      <c r="AE38" s="4">
        <v>11400</v>
      </c>
      <c r="AF38" s="4">
        <v>3.55</v>
      </c>
      <c r="AG38" s="4" t="s">
        <v>129</v>
      </c>
      <c r="AH38" s="4">
        <v>36</v>
      </c>
      <c r="AI38" s="4">
        <v>330</v>
      </c>
    </row>
    <row r="39" spans="1:35" x14ac:dyDescent="0.25">
      <c r="A39" s="4"/>
      <c r="B39" s="5" t="s">
        <v>130</v>
      </c>
      <c r="C39" s="4" t="s">
        <v>59</v>
      </c>
      <c r="D39" s="4">
        <v>1</v>
      </c>
      <c r="E39" s="4"/>
      <c r="F39" s="4">
        <v>3</v>
      </c>
      <c r="G39" s="4">
        <v>948</v>
      </c>
      <c r="H39" s="4">
        <v>423</v>
      </c>
      <c r="I39" s="4">
        <v>42.7</v>
      </c>
      <c r="J39" s="4">
        <v>24</v>
      </c>
      <c r="K39" s="4">
        <v>4.95</v>
      </c>
      <c r="L39" s="4">
        <v>35.9</v>
      </c>
      <c r="M39" s="4">
        <v>74</v>
      </c>
      <c r="N39" s="4">
        <v>42</v>
      </c>
      <c r="O39" s="4">
        <v>920</v>
      </c>
      <c r="P39" s="4">
        <v>449</v>
      </c>
      <c r="Q39" s="4">
        <v>57300</v>
      </c>
      <c r="R39" s="4">
        <v>8780</v>
      </c>
      <c r="S39" s="4">
        <v>18500</v>
      </c>
      <c r="T39" s="4">
        <v>391</v>
      </c>
      <c r="U39" s="4">
        <v>21000</v>
      </c>
      <c r="V39" s="4">
        <v>540</v>
      </c>
      <c r="W39" s="4">
        <v>2550</v>
      </c>
      <c r="X39" s="4">
        <v>97</v>
      </c>
      <c r="Y39" s="4">
        <v>3950</v>
      </c>
      <c r="Z39" s="4">
        <v>26800</v>
      </c>
      <c r="AA39" s="4">
        <v>111000</v>
      </c>
      <c r="AB39" s="4">
        <v>95700</v>
      </c>
      <c r="AC39" s="4">
        <v>432</v>
      </c>
      <c r="AD39" s="4">
        <v>3860</v>
      </c>
      <c r="AE39" s="4">
        <v>10400</v>
      </c>
      <c r="AF39" s="4">
        <v>3.54</v>
      </c>
      <c r="AG39" s="4" t="s">
        <v>131</v>
      </c>
      <c r="AH39" s="4">
        <v>36</v>
      </c>
      <c r="AI39" s="4">
        <v>302</v>
      </c>
    </row>
    <row r="40" spans="1:35" x14ac:dyDescent="0.25">
      <c r="A40" s="4"/>
      <c r="B40" s="5" t="s">
        <v>132</v>
      </c>
      <c r="C40" s="4" t="s">
        <v>59</v>
      </c>
      <c r="D40" s="4">
        <v>1</v>
      </c>
      <c r="E40" s="4"/>
      <c r="F40" s="4">
        <v>3</v>
      </c>
      <c r="G40" s="4">
        <v>943</v>
      </c>
      <c r="H40" s="4">
        <v>422</v>
      </c>
      <c r="I40" s="4">
        <v>39.9</v>
      </c>
      <c r="J40" s="4">
        <v>22.5</v>
      </c>
      <c r="K40" s="4">
        <v>5.29</v>
      </c>
      <c r="L40" s="4">
        <v>38.4</v>
      </c>
      <c r="M40" s="4">
        <v>71</v>
      </c>
      <c r="N40" s="4">
        <v>41</v>
      </c>
      <c r="O40" s="4">
        <v>920</v>
      </c>
      <c r="P40" s="4">
        <v>420</v>
      </c>
      <c r="Q40" s="4">
        <v>53600</v>
      </c>
      <c r="R40" s="4">
        <v>8170</v>
      </c>
      <c r="S40" s="4">
        <v>17300</v>
      </c>
      <c r="T40" s="4">
        <v>390</v>
      </c>
      <c r="U40" s="4">
        <v>19600</v>
      </c>
      <c r="V40" s="4">
        <v>501</v>
      </c>
      <c r="W40" s="4">
        <v>2370</v>
      </c>
      <c r="X40" s="4">
        <v>96.7</v>
      </c>
      <c r="Y40" s="4">
        <v>3670</v>
      </c>
      <c r="Z40" s="4">
        <v>22000</v>
      </c>
      <c r="AA40" s="4">
        <v>102000</v>
      </c>
      <c r="AB40" s="4">
        <v>95300</v>
      </c>
      <c r="AC40" s="4">
        <v>401</v>
      </c>
      <c r="AD40" s="4">
        <v>3600</v>
      </c>
      <c r="AE40" s="4">
        <v>9700</v>
      </c>
      <c r="AF40" s="4">
        <v>3.53</v>
      </c>
      <c r="AG40" s="4" t="s">
        <v>133</v>
      </c>
      <c r="AH40" s="4">
        <v>36</v>
      </c>
      <c r="AI40" s="4">
        <v>282</v>
      </c>
    </row>
    <row r="41" spans="1:35" x14ac:dyDescent="0.25">
      <c r="A41" s="4"/>
      <c r="B41" s="5" t="s">
        <v>134</v>
      </c>
      <c r="C41" s="4" t="s">
        <v>59</v>
      </c>
      <c r="D41" s="4">
        <v>1</v>
      </c>
      <c r="E41" s="4"/>
      <c r="F41" s="4">
        <v>3</v>
      </c>
      <c r="G41" s="4">
        <v>936</v>
      </c>
      <c r="H41" s="4">
        <v>420</v>
      </c>
      <c r="I41" s="4">
        <v>36.6</v>
      </c>
      <c r="J41" s="4">
        <v>21.3</v>
      </c>
      <c r="K41" s="4">
        <v>5.74</v>
      </c>
      <c r="L41" s="4">
        <v>40.5</v>
      </c>
      <c r="M41" s="4">
        <v>68</v>
      </c>
      <c r="N41" s="4">
        <v>41</v>
      </c>
      <c r="O41" s="4">
        <v>920</v>
      </c>
      <c r="P41" s="4">
        <v>390</v>
      </c>
      <c r="Q41" s="4">
        <v>49600</v>
      </c>
      <c r="R41" s="4">
        <v>7450</v>
      </c>
      <c r="S41" s="4">
        <v>15900</v>
      </c>
      <c r="T41" s="4">
        <v>388</v>
      </c>
      <c r="U41" s="4">
        <v>18000</v>
      </c>
      <c r="V41" s="4">
        <v>453</v>
      </c>
      <c r="W41" s="4">
        <v>2160</v>
      </c>
      <c r="X41" s="4">
        <v>95.5</v>
      </c>
      <c r="Y41" s="4">
        <v>3330</v>
      </c>
      <c r="Z41" s="4">
        <v>17300</v>
      </c>
      <c r="AA41" s="4">
        <v>91600</v>
      </c>
      <c r="AB41" s="4">
        <v>94400</v>
      </c>
      <c r="AC41" s="4">
        <v>363</v>
      </c>
      <c r="AD41" s="4">
        <v>3280</v>
      </c>
      <c r="AE41" s="4">
        <v>8890</v>
      </c>
      <c r="AF41" s="4">
        <v>3.51</v>
      </c>
      <c r="AG41" s="4" t="s">
        <v>135</v>
      </c>
      <c r="AH41" s="4">
        <v>36</v>
      </c>
      <c r="AI41" s="4">
        <v>262</v>
      </c>
    </row>
    <row r="42" spans="1:35" x14ac:dyDescent="0.25">
      <c r="A42" s="4"/>
      <c r="B42" s="5" t="s">
        <v>136</v>
      </c>
      <c r="C42" s="4" t="s">
        <v>59</v>
      </c>
      <c r="D42" s="4">
        <v>1</v>
      </c>
      <c r="E42" s="4"/>
      <c r="F42" s="4">
        <v>3</v>
      </c>
      <c r="G42" s="4">
        <v>931</v>
      </c>
      <c r="H42" s="4">
        <v>419</v>
      </c>
      <c r="I42" s="4">
        <v>34.299999999999997</v>
      </c>
      <c r="J42" s="4">
        <v>20.3</v>
      </c>
      <c r="K42" s="4">
        <v>6.11</v>
      </c>
      <c r="L42" s="4">
        <v>42.5</v>
      </c>
      <c r="M42" s="4">
        <v>66</v>
      </c>
      <c r="N42" s="4">
        <v>40</v>
      </c>
      <c r="O42" s="4">
        <v>920</v>
      </c>
      <c r="P42" s="4">
        <v>368</v>
      </c>
      <c r="Q42" s="4">
        <v>46700</v>
      </c>
      <c r="R42" s="4">
        <v>6960</v>
      </c>
      <c r="S42" s="4">
        <v>14900</v>
      </c>
      <c r="T42" s="4">
        <v>386</v>
      </c>
      <c r="U42" s="4">
        <v>16900</v>
      </c>
      <c r="V42" s="4">
        <v>421</v>
      </c>
      <c r="W42" s="4">
        <v>2010</v>
      </c>
      <c r="X42" s="4">
        <v>94.9</v>
      </c>
      <c r="Y42" s="4">
        <v>3110</v>
      </c>
      <c r="Z42" s="4">
        <v>14500</v>
      </c>
      <c r="AA42" s="4">
        <v>84700</v>
      </c>
      <c r="AB42" s="4">
        <v>93900</v>
      </c>
      <c r="AC42" s="4">
        <v>337</v>
      </c>
      <c r="AD42" s="4">
        <v>3070</v>
      </c>
      <c r="AE42" s="4">
        <v>8330</v>
      </c>
      <c r="AF42" s="4">
        <v>3.5</v>
      </c>
      <c r="AG42" s="4" t="s">
        <v>137</v>
      </c>
      <c r="AH42" s="4">
        <v>36</v>
      </c>
      <c r="AI42" s="4">
        <v>247</v>
      </c>
    </row>
    <row r="43" spans="1:35" x14ac:dyDescent="0.25">
      <c r="A43" s="4"/>
      <c r="B43" s="5" t="s">
        <v>138</v>
      </c>
      <c r="C43" s="4" t="s">
        <v>59</v>
      </c>
      <c r="D43" s="4">
        <v>1</v>
      </c>
      <c r="E43" s="4"/>
      <c r="F43" s="4">
        <v>3</v>
      </c>
      <c r="G43" s="4">
        <v>927</v>
      </c>
      <c r="H43" s="4">
        <v>418</v>
      </c>
      <c r="I43" s="4">
        <v>32</v>
      </c>
      <c r="J43" s="4">
        <v>19.3</v>
      </c>
      <c r="K43" s="4">
        <v>6.53</v>
      </c>
      <c r="L43" s="4">
        <v>44.7</v>
      </c>
      <c r="M43" s="4">
        <v>64</v>
      </c>
      <c r="N43" s="4">
        <v>40</v>
      </c>
      <c r="O43" s="4">
        <v>920</v>
      </c>
      <c r="P43" s="4">
        <v>344</v>
      </c>
      <c r="Q43" s="4">
        <v>43900</v>
      </c>
      <c r="R43" s="4">
        <v>6480</v>
      </c>
      <c r="S43" s="4">
        <v>14000</v>
      </c>
      <c r="T43" s="4">
        <v>384</v>
      </c>
      <c r="U43" s="4">
        <v>15800</v>
      </c>
      <c r="V43" s="4">
        <v>390</v>
      </c>
      <c r="W43" s="4">
        <v>1870</v>
      </c>
      <c r="X43" s="4">
        <v>94.3</v>
      </c>
      <c r="Y43" s="4">
        <v>2880</v>
      </c>
      <c r="Z43" s="4">
        <v>11900</v>
      </c>
      <c r="AA43" s="4">
        <v>78100</v>
      </c>
      <c r="AB43" s="4">
        <v>93500</v>
      </c>
      <c r="AC43" s="4">
        <v>313</v>
      </c>
      <c r="AD43" s="4">
        <v>2850</v>
      </c>
      <c r="AE43" s="4">
        <v>7780</v>
      </c>
      <c r="AF43" s="4">
        <v>3.49</v>
      </c>
      <c r="AG43" s="4" t="s">
        <v>139</v>
      </c>
      <c r="AH43" s="4">
        <v>36</v>
      </c>
      <c r="AI43" s="4">
        <v>231</v>
      </c>
    </row>
    <row r="44" spans="1:35" x14ac:dyDescent="0.25">
      <c r="A44" s="4" t="s">
        <v>59</v>
      </c>
      <c r="B44" s="5" t="s">
        <v>140</v>
      </c>
      <c r="C44" s="4" t="s">
        <v>59</v>
      </c>
      <c r="D44" s="4">
        <v>1</v>
      </c>
      <c r="E44" s="4"/>
      <c r="F44" s="4">
        <v>3</v>
      </c>
      <c r="G44" s="4">
        <v>951</v>
      </c>
      <c r="H44" s="4">
        <v>310</v>
      </c>
      <c r="I44" s="4">
        <v>43.9</v>
      </c>
      <c r="J44" s="4">
        <v>24.4</v>
      </c>
      <c r="K44" s="4">
        <v>3.53</v>
      </c>
      <c r="L44" s="4">
        <v>35.4</v>
      </c>
      <c r="M44" s="4">
        <v>66</v>
      </c>
      <c r="N44" s="4">
        <v>33</v>
      </c>
      <c r="O44" s="4">
        <v>920</v>
      </c>
      <c r="P44" s="4">
        <v>381</v>
      </c>
      <c r="Q44" s="4">
        <v>48600</v>
      </c>
      <c r="R44" s="4">
        <v>6970</v>
      </c>
      <c r="S44" s="4">
        <v>14700</v>
      </c>
      <c r="T44" s="4">
        <v>379</v>
      </c>
      <c r="U44" s="4">
        <v>17000</v>
      </c>
      <c r="V44" s="4">
        <v>219</v>
      </c>
      <c r="W44" s="4">
        <v>1410</v>
      </c>
      <c r="X44" s="4">
        <v>67.099999999999994</v>
      </c>
      <c r="Y44" s="4">
        <v>2240</v>
      </c>
      <c r="Z44" s="4">
        <v>22000</v>
      </c>
      <c r="AA44" s="4">
        <v>45100</v>
      </c>
      <c r="AB44" s="4">
        <v>70300</v>
      </c>
      <c r="AC44" s="4">
        <v>239</v>
      </c>
      <c r="AD44" s="4">
        <v>2840</v>
      </c>
      <c r="AE44" s="4">
        <v>8440</v>
      </c>
      <c r="AF44" s="4">
        <v>3.09</v>
      </c>
      <c r="AG44" s="4" t="s">
        <v>141</v>
      </c>
      <c r="AH44" s="4">
        <v>36</v>
      </c>
      <c r="AI44" s="4">
        <v>256</v>
      </c>
    </row>
    <row r="45" spans="1:35" x14ac:dyDescent="0.25">
      <c r="A45" s="4"/>
      <c r="B45" s="5" t="s">
        <v>142</v>
      </c>
      <c r="C45" s="4" t="s">
        <v>59</v>
      </c>
      <c r="D45" s="4">
        <v>1</v>
      </c>
      <c r="E45" s="4"/>
      <c r="F45" s="4">
        <v>3</v>
      </c>
      <c r="G45" s="4">
        <v>943</v>
      </c>
      <c r="H45" s="4">
        <v>308</v>
      </c>
      <c r="I45" s="4">
        <v>39.9</v>
      </c>
      <c r="J45" s="4">
        <v>22.1</v>
      </c>
      <c r="K45" s="4">
        <v>3.86</v>
      </c>
      <c r="L45" s="4">
        <v>39.1</v>
      </c>
      <c r="M45" s="4">
        <v>62</v>
      </c>
      <c r="N45" s="4">
        <v>31</v>
      </c>
      <c r="O45" s="4">
        <v>920</v>
      </c>
      <c r="P45" s="4">
        <v>345</v>
      </c>
      <c r="Q45" s="4">
        <v>44000</v>
      </c>
      <c r="R45" s="4">
        <v>6260</v>
      </c>
      <c r="S45" s="4">
        <v>13300</v>
      </c>
      <c r="T45" s="4">
        <v>377</v>
      </c>
      <c r="U45" s="4">
        <v>15300</v>
      </c>
      <c r="V45" s="4">
        <v>195</v>
      </c>
      <c r="W45" s="4">
        <v>1270</v>
      </c>
      <c r="X45" s="4">
        <v>66.599999999999994</v>
      </c>
      <c r="Y45" s="4">
        <v>2000</v>
      </c>
      <c r="Z45" s="4">
        <v>16500</v>
      </c>
      <c r="AA45" s="4">
        <v>39800</v>
      </c>
      <c r="AB45" s="4">
        <v>69500</v>
      </c>
      <c r="AC45" s="4">
        <v>214</v>
      </c>
      <c r="AD45" s="4">
        <v>2580</v>
      </c>
      <c r="AE45" s="4">
        <v>7610</v>
      </c>
      <c r="AF45" s="4">
        <v>3.07</v>
      </c>
      <c r="AG45" s="4" t="s">
        <v>143</v>
      </c>
      <c r="AH45" s="4">
        <v>36</v>
      </c>
      <c r="AI45" s="4">
        <v>232</v>
      </c>
    </row>
    <row r="46" spans="1:35" x14ac:dyDescent="0.25">
      <c r="A46" s="4"/>
      <c r="B46" s="5" t="s">
        <v>144</v>
      </c>
      <c r="C46" s="4" t="s">
        <v>59</v>
      </c>
      <c r="D46" s="4">
        <v>1</v>
      </c>
      <c r="E46" s="4"/>
      <c r="F46" s="4">
        <v>3</v>
      </c>
      <c r="G46" s="4">
        <v>932</v>
      </c>
      <c r="H46" s="4">
        <v>309</v>
      </c>
      <c r="I46" s="4">
        <v>34.5</v>
      </c>
      <c r="J46" s="4">
        <v>21.1</v>
      </c>
      <c r="K46" s="4">
        <v>4.4800000000000004</v>
      </c>
      <c r="L46" s="4">
        <v>40.9</v>
      </c>
      <c r="M46" s="4">
        <v>56</v>
      </c>
      <c r="N46" s="4">
        <v>31</v>
      </c>
      <c r="O46" s="4">
        <v>920</v>
      </c>
      <c r="P46" s="4">
        <v>313</v>
      </c>
      <c r="Q46" s="4">
        <v>39800</v>
      </c>
      <c r="R46" s="4">
        <v>5480</v>
      </c>
      <c r="S46" s="4">
        <v>11800</v>
      </c>
      <c r="T46" s="4">
        <v>371</v>
      </c>
      <c r="U46" s="4">
        <v>13600</v>
      </c>
      <c r="V46" s="4">
        <v>170</v>
      </c>
      <c r="W46" s="4">
        <v>1100</v>
      </c>
      <c r="X46" s="4">
        <v>65.400000000000006</v>
      </c>
      <c r="Y46" s="4">
        <v>1750</v>
      </c>
      <c r="Z46" s="4">
        <v>11600</v>
      </c>
      <c r="AA46" s="4">
        <v>34300</v>
      </c>
      <c r="AB46" s="4">
        <v>69300</v>
      </c>
      <c r="AC46" s="4">
        <v>185</v>
      </c>
      <c r="AD46" s="4">
        <v>2230</v>
      </c>
      <c r="AE46" s="4">
        <v>6750</v>
      </c>
      <c r="AF46" s="4">
        <v>3.06</v>
      </c>
      <c r="AG46" s="4" t="s">
        <v>145</v>
      </c>
      <c r="AH46" s="4">
        <v>36</v>
      </c>
      <c r="AI46" s="4">
        <v>210</v>
      </c>
    </row>
    <row r="47" spans="1:35" x14ac:dyDescent="0.25">
      <c r="A47" s="4"/>
      <c r="B47" s="5" t="s">
        <v>146</v>
      </c>
      <c r="C47" s="4" t="s">
        <v>59</v>
      </c>
      <c r="D47" s="4">
        <v>1</v>
      </c>
      <c r="E47" s="4"/>
      <c r="F47" s="4">
        <v>3</v>
      </c>
      <c r="G47" s="4">
        <v>927</v>
      </c>
      <c r="H47" s="4">
        <v>308</v>
      </c>
      <c r="I47" s="4">
        <v>32</v>
      </c>
      <c r="J47" s="4">
        <v>19.399999999999999</v>
      </c>
      <c r="K47" s="4">
        <v>4.8099999999999996</v>
      </c>
      <c r="L47" s="4">
        <v>44.5</v>
      </c>
      <c r="M47" s="4">
        <v>54</v>
      </c>
      <c r="N47" s="4">
        <v>30</v>
      </c>
      <c r="O47" s="4">
        <v>920</v>
      </c>
      <c r="P47" s="4">
        <v>289</v>
      </c>
      <c r="Q47" s="4">
        <v>36800</v>
      </c>
      <c r="R47" s="4">
        <v>5050</v>
      </c>
      <c r="S47" s="4">
        <v>10900</v>
      </c>
      <c r="T47" s="4">
        <v>370</v>
      </c>
      <c r="U47" s="4">
        <v>12600</v>
      </c>
      <c r="V47" s="4">
        <v>156</v>
      </c>
      <c r="W47" s="4">
        <v>1020</v>
      </c>
      <c r="X47" s="4">
        <v>65.2</v>
      </c>
      <c r="Y47" s="4">
        <v>1600</v>
      </c>
      <c r="Z47" s="4">
        <v>9230</v>
      </c>
      <c r="AA47" s="4">
        <v>31300</v>
      </c>
      <c r="AB47" s="4">
        <v>68900</v>
      </c>
      <c r="AC47" s="4">
        <v>170</v>
      </c>
      <c r="AD47" s="4">
        <v>2070</v>
      </c>
      <c r="AE47" s="4">
        <v>6220</v>
      </c>
      <c r="AF47" s="4">
        <v>3.05</v>
      </c>
      <c r="AG47" s="4" t="s">
        <v>147</v>
      </c>
      <c r="AH47" s="4">
        <v>36</v>
      </c>
      <c r="AI47" s="4">
        <v>194</v>
      </c>
    </row>
    <row r="48" spans="1:35" x14ac:dyDescent="0.25">
      <c r="A48" s="4"/>
      <c r="B48" s="5" t="s">
        <v>148</v>
      </c>
      <c r="C48" s="4" t="s">
        <v>59</v>
      </c>
      <c r="D48" s="4">
        <v>1</v>
      </c>
      <c r="E48" s="4"/>
      <c r="F48" s="4">
        <v>3</v>
      </c>
      <c r="G48" s="4">
        <v>923</v>
      </c>
      <c r="H48" s="4">
        <v>307</v>
      </c>
      <c r="I48" s="4">
        <v>30</v>
      </c>
      <c r="J48" s="4">
        <v>18.399999999999999</v>
      </c>
      <c r="K48" s="4">
        <v>5.12</v>
      </c>
      <c r="L48" s="4">
        <v>46.9</v>
      </c>
      <c r="M48" s="4">
        <v>52</v>
      </c>
      <c r="N48" s="4">
        <v>30</v>
      </c>
      <c r="O48" s="4">
        <v>920</v>
      </c>
      <c r="P48" s="4">
        <v>271</v>
      </c>
      <c r="Q48" s="4">
        <v>34600</v>
      </c>
      <c r="R48" s="4">
        <v>4720</v>
      </c>
      <c r="S48" s="4">
        <v>10200</v>
      </c>
      <c r="T48" s="4">
        <v>369</v>
      </c>
      <c r="U48" s="4">
        <v>11800</v>
      </c>
      <c r="V48" s="4">
        <v>145</v>
      </c>
      <c r="W48" s="4">
        <v>946</v>
      </c>
      <c r="X48" s="4">
        <v>64.8</v>
      </c>
      <c r="Y48" s="4">
        <v>1490</v>
      </c>
      <c r="Z48" s="4">
        <v>7700</v>
      </c>
      <c r="AA48" s="4">
        <v>28900</v>
      </c>
      <c r="AB48" s="4">
        <v>68500</v>
      </c>
      <c r="AC48" s="4">
        <v>158</v>
      </c>
      <c r="AD48" s="4">
        <v>1930</v>
      </c>
      <c r="AE48" s="4">
        <v>5830</v>
      </c>
      <c r="AF48" s="4">
        <v>3.04</v>
      </c>
      <c r="AG48" s="4" t="s">
        <v>149</v>
      </c>
      <c r="AH48" s="4">
        <v>36</v>
      </c>
      <c r="AI48" s="4">
        <v>182</v>
      </c>
    </row>
    <row r="49" spans="1:35" x14ac:dyDescent="0.25">
      <c r="A49" s="4"/>
      <c r="B49" s="5" t="s">
        <v>150</v>
      </c>
      <c r="C49" s="4" t="s">
        <v>59</v>
      </c>
      <c r="D49" s="4">
        <v>1</v>
      </c>
      <c r="E49" s="4"/>
      <c r="F49" s="4">
        <v>3</v>
      </c>
      <c r="G49" s="4">
        <v>919</v>
      </c>
      <c r="H49" s="4">
        <v>306</v>
      </c>
      <c r="I49" s="4">
        <v>27.9</v>
      </c>
      <c r="J49" s="4">
        <v>17.3</v>
      </c>
      <c r="K49" s="4">
        <v>5.48</v>
      </c>
      <c r="L49" s="4">
        <v>49.9</v>
      </c>
      <c r="M49" s="4">
        <v>50</v>
      </c>
      <c r="N49" s="4">
        <v>29</v>
      </c>
      <c r="O49" s="4">
        <v>920</v>
      </c>
      <c r="P49" s="4">
        <v>253</v>
      </c>
      <c r="Q49" s="4">
        <v>32300</v>
      </c>
      <c r="R49" s="4">
        <v>4380</v>
      </c>
      <c r="S49" s="4">
        <v>9520</v>
      </c>
      <c r="T49" s="4">
        <v>368</v>
      </c>
      <c r="U49" s="4">
        <v>11000</v>
      </c>
      <c r="V49" s="4">
        <v>134</v>
      </c>
      <c r="W49" s="4">
        <v>874</v>
      </c>
      <c r="X49" s="4">
        <v>64.3</v>
      </c>
      <c r="Y49" s="4">
        <v>1370</v>
      </c>
      <c r="Z49" s="4">
        <v>6270</v>
      </c>
      <c r="AA49" s="4">
        <v>26500</v>
      </c>
      <c r="AB49" s="4">
        <v>68200</v>
      </c>
      <c r="AC49" s="4">
        <v>145</v>
      </c>
      <c r="AD49" s="4">
        <v>1790</v>
      </c>
      <c r="AE49" s="4">
        <v>5420</v>
      </c>
      <c r="AF49" s="4">
        <v>3.03</v>
      </c>
      <c r="AG49" s="4" t="s">
        <v>151</v>
      </c>
      <c r="AH49" s="4">
        <v>36</v>
      </c>
      <c r="AI49" s="4">
        <v>170</v>
      </c>
    </row>
    <row r="50" spans="1:35" x14ac:dyDescent="0.25">
      <c r="A50" s="4"/>
      <c r="B50" s="5" t="s">
        <v>152</v>
      </c>
      <c r="C50" s="4" t="s">
        <v>59</v>
      </c>
      <c r="D50" s="4">
        <v>1</v>
      </c>
      <c r="E50" s="4"/>
      <c r="F50" s="4">
        <v>3</v>
      </c>
      <c r="G50" s="4">
        <v>915</v>
      </c>
      <c r="H50" s="4">
        <v>305</v>
      </c>
      <c r="I50" s="4">
        <v>25.9</v>
      </c>
      <c r="J50" s="4">
        <v>16.5</v>
      </c>
      <c r="K50" s="4">
        <v>5.89</v>
      </c>
      <c r="L50" s="4">
        <v>52.3</v>
      </c>
      <c r="M50" s="4">
        <v>48</v>
      </c>
      <c r="N50" s="4">
        <v>29</v>
      </c>
      <c r="O50" s="4">
        <v>920</v>
      </c>
      <c r="P50" s="4">
        <v>238</v>
      </c>
      <c r="Q50" s="4">
        <v>30400</v>
      </c>
      <c r="R50" s="4">
        <v>4060</v>
      </c>
      <c r="S50" s="4">
        <v>8880</v>
      </c>
      <c r="T50" s="4">
        <v>366</v>
      </c>
      <c r="U50" s="4">
        <v>10200</v>
      </c>
      <c r="V50" s="4">
        <v>123</v>
      </c>
      <c r="W50" s="4">
        <v>806</v>
      </c>
      <c r="X50" s="4">
        <v>63.6</v>
      </c>
      <c r="Y50" s="4">
        <v>1270</v>
      </c>
      <c r="Z50" s="4">
        <v>5150</v>
      </c>
      <c r="AA50" s="4">
        <v>24300</v>
      </c>
      <c r="AB50" s="4">
        <v>67800</v>
      </c>
      <c r="AC50" s="4">
        <v>134</v>
      </c>
      <c r="AD50" s="4">
        <v>1660</v>
      </c>
      <c r="AE50" s="4">
        <v>5050</v>
      </c>
      <c r="AF50" s="4">
        <v>3.02</v>
      </c>
      <c r="AG50" s="4" t="s">
        <v>153</v>
      </c>
      <c r="AH50" s="4">
        <v>36</v>
      </c>
      <c r="AI50" s="4">
        <v>160</v>
      </c>
    </row>
    <row r="51" spans="1:35" x14ac:dyDescent="0.25">
      <c r="A51" s="4"/>
      <c r="B51" s="5" t="s">
        <v>154</v>
      </c>
      <c r="C51" s="4" t="s">
        <v>59</v>
      </c>
      <c r="D51" s="4">
        <v>1</v>
      </c>
      <c r="E51" s="4"/>
      <c r="F51" s="4">
        <v>3</v>
      </c>
      <c r="G51" s="4">
        <v>911</v>
      </c>
      <c r="H51" s="4">
        <v>304</v>
      </c>
      <c r="I51" s="4">
        <v>23.9</v>
      </c>
      <c r="J51" s="4">
        <v>15.9</v>
      </c>
      <c r="K51" s="4">
        <v>6.36</v>
      </c>
      <c r="L51" s="4">
        <v>54.3</v>
      </c>
      <c r="M51" s="4">
        <v>46</v>
      </c>
      <c r="N51" s="4">
        <v>28</v>
      </c>
      <c r="O51" s="4">
        <v>920</v>
      </c>
      <c r="P51" s="4">
        <v>223</v>
      </c>
      <c r="Q51" s="4">
        <v>28600</v>
      </c>
      <c r="R51" s="4">
        <v>3770</v>
      </c>
      <c r="S51" s="4">
        <v>8270</v>
      </c>
      <c r="T51" s="4">
        <v>363</v>
      </c>
      <c r="U51" s="4">
        <v>9540</v>
      </c>
      <c r="V51" s="4">
        <v>112</v>
      </c>
      <c r="W51" s="4">
        <v>738</v>
      </c>
      <c r="X51" s="4">
        <v>62.7</v>
      </c>
      <c r="Y51" s="4">
        <v>1160</v>
      </c>
      <c r="Z51" s="4">
        <v>4220</v>
      </c>
      <c r="AA51" s="4">
        <v>22100</v>
      </c>
      <c r="AB51" s="4">
        <v>67400</v>
      </c>
      <c r="AC51" s="4">
        <v>122</v>
      </c>
      <c r="AD51" s="4">
        <v>1530</v>
      </c>
      <c r="AE51" s="4">
        <v>4700</v>
      </c>
      <c r="AF51" s="4">
        <v>3.01</v>
      </c>
      <c r="AG51" s="4" t="s">
        <v>155</v>
      </c>
      <c r="AH51" s="4">
        <v>36</v>
      </c>
      <c r="AI51" s="4">
        <v>150</v>
      </c>
    </row>
    <row r="52" spans="1:35" x14ac:dyDescent="0.25">
      <c r="A52" s="4"/>
      <c r="B52" s="5" t="s">
        <v>156</v>
      </c>
      <c r="C52" s="4" t="s">
        <v>59</v>
      </c>
      <c r="D52" s="4">
        <v>1</v>
      </c>
      <c r="E52" s="4"/>
      <c r="F52" s="4">
        <v>3</v>
      </c>
      <c r="G52" s="4">
        <v>903</v>
      </c>
      <c r="H52" s="4">
        <v>304</v>
      </c>
      <c r="I52" s="4">
        <v>20.100000000000001</v>
      </c>
      <c r="J52" s="4">
        <v>15.2</v>
      </c>
      <c r="K52" s="4">
        <v>7.56</v>
      </c>
      <c r="L52" s="4">
        <v>56.8</v>
      </c>
      <c r="M52" s="4">
        <v>42</v>
      </c>
      <c r="N52" s="4">
        <v>28</v>
      </c>
      <c r="O52" s="4">
        <v>920</v>
      </c>
      <c r="P52" s="4">
        <v>201</v>
      </c>
      <c r="Q52" s="4">
        <v>25600</v>
      </c>
      <c r="R52" s="4">
        <v>3250</v>
      </c>
      <c r="S52" s="4">
        <v>7200</v>
      </c>
      <c r="T52" s="4">
        <v>356</v>
      </c>
      <c r="U52" s="4">
        <v>8360</v>
      </c>
      <c r="V52" s="4">
        <v>94.4</v>
      </c>
      <c r="W52" s="4">
        <v>621</v>
      </c>
      <c r="X52" s="4">
        <v>60.7</v>
      </c>
      <c r="Y52" s="4">
        <v>982</v>
      </c>
      <c r="Z52" s="4">
        <v>2910</v>
      </c>
      <c r="AA52" s="4">
        <v>18400</v>
      </c>
      <c r="AB52" s="4">
        <v>67100</v>
      </c>
      <c r="AC52" s="4">
        <v>103</v>
      </c>
      <c r="AD52" s="4">
        <v>1280</v>
      </c>
      <c r="AE52" s="4">
        <v>4110</v>
      </c>
      <c r="AF52" s="4">
        <v>2.99</v>
      </c>
      <c r="AG52" s="4" t="s">
        <v>157</v>
      </c>
      <c r="AH52" s="4">
        <v>36</v>
      </c>
      <c r="AI52" s="4">
        <v>135</v>
      </c>
    </row>
    <row r="53" spans="1:35" x14ac:dyDescent="0.25">
      <c r="A53" s="4" t="s">
        <v>59</v>
      </c>
      <c r="B53" s="5" t="s">
        <v>158</v>
      </c>
      <c r="C53" s="4" t="s">
        <v>59</v>
      </c>
      <c r="D53" s="4">
        <v>1</v>
      </c>
      <c r="E53" s="4"/>
      <c r="F53" s="4">
        <v>3</v>
      </c>
      <c r="G53" s="4">
        <v>913</v>
      </c>
      <c r="H53" s="4">
        <v>411</v>
      </c>
      <c r="I53" s="4">
        <v>57.9</v>
      </c>
      <c r="J53" s="4">
        <v>32</v>
      </c>
      <c r="K53" s="4">
        <v>3.55</v>
      </c>
      <c r="L53" s="4">
        <v>24.9</v>
      </c>
      <c r="M53" s="4">
        <v>79</v>
      </c>
      <c r="N53" s="4">
        <v>36</v>
      </c>
      <c r="O53" s="4">
        <v>840</v>
      </c>
      <c r="P53" s="4">
        <v>576</v>
      </c>
      <c r="Q53" s="4">
        <v>73400</v>
      </c>
      <c r="R53" s="4">
        <v>10100</v>
      </c>
      <c r="S53" s="4">
        <v>22200</v>
      </c>
      <c r="T53" s="4">
        <v>371</v>
      </c>
      <c r="U53" s="4">
        <v>25600</v>
      </c>
      <c r="V53" s="4">
        <v>672</v>
      </c>
      <c r="W53" s="4">
        <v>3270</v>
      </c>
      <c r="X53" s="4">
        <v>95.7</v>
      </c>
      <c r="Y53" s="4">
        <v>5100</v>
      </c>
      <c r="Z53" s="4">
        <v>61700</v>
      </c>
      <c r="AA53" s="4">
        <v>123000</v>
      </c>
      <c r="AB53" s="4">
        <v>87900</v>
      </c>
      <c r="AC53" s="4">
        <v>523</v>
      </c>
      <c r="AD53" s="4">
        <v>4690</v>
      </c>
      <c r="AE53" s="4">
        <v>12700</v>
      </c>
      <c r="AF53" s="4">
        <v>3.41</v>
      </c>
      <c r="AG53" s="4" t="s">
        <v>159</v>
      </c>
      <c r="AH53" s="4">
        <v>33</v>
      </c>
      <c r="AI53" s="4">
        <v>387</v>
      </c>
    </row>
    <row r="54" spans="1:35" x14ac:dyDescent="0.25">
      <c r="A54" s="4"/>
      <c r="B54" s="5" t="s">
        <v>160</v>
      </c>
      <c r="C54" s="4" t="s">
        <v>59</v>
      </c>
      <c r="D54" s="4">
        <v>1</v>
      </c>
      <c r="E54" s="4"/>
      <c r="F54" s="4">
        <v>3</v>
      </c>
      <c r="G54" s="4">
        <v>903</v>
      </c>
      <c r="H54" s="4">
        <v>409</v>
      </c>
      <c r="I54" s="4">
        <v>53.1</v>
      </c>
      <c r="J54" s="4">
        <v>29.5</v>
      </c>
      <c r="K54" s="4">
        <v>3.85</v>
      </c>
      <c r="L54" s="4">
        <v>27</v>
      </c>
      <c r="M54" s="4">
        <v>75</v>
      </c>
      <c r="N54" s="4">
        <v>35</v>
      </c>
      <c r="O54" s="4">
        <v>840</v>
      </c>
      <c r="P54" s="4">
        <v>527</v>
      </c>
      <c r="Q54" s="4">
        <v>67300</v>
      </c>
      <c r="R54" s="4">
        <v>9150</v>
      </c>
      <c r="S54" s="4">
        <v>20300</v>
      </c>
      <c r="T54" s="4">
        <v>369</v>
      </c>
      <c r="U54" s="4">
        <v>23300</v>
      </c>
      <c r="V54" s="4">
        <v>607</v>
      </c>
      <c r="W54" s="4">
        <v>2970</v>
      </c>
      <c r="X54" s="4">
        <v>95</v>
      </c>
      <c r="Y54" s="4">
        <v>4620</v>
      </c>
      <c r="Z54" s="4">
        <v>47800</v>
      </c>
      <c r="AA54" s="4">
        <v>110000</v>
      </c>
      <c r="AB54" s="4">
        <v>86900</v>
      </c>
      <c r="AC54" s="4">
        <v>472</v>
      </c>
      <c r="AD54" s="4">
        <v>4280</v>
      </c>
      <c r="AE54" s="4">
        <v>11600</v>
      </c>
      <c r="AF54" s="4">
        <v>3.38</v>
      </c>
      <c r="AG54" s="4" t="s">
        <v>161</v>
      </c>
      <c r="AH54" s="4">
        <v>33</v>
      </c>
      <c r="AI54" s="4">
        <v>354</v>
      </c>
    </row>
    <row r="55" spans="1:35" x14ac:dyDescent="0.25">
      <c r="A55" s="4"/>
      <c r="B55" s="5" t="s">
        <v>162</v>
      </c>
      <c r="C55" s="4" t="s">
        <v>59</v>
      </c>
      <c r="D55" s="4">
        <v>1</v>
      </c>
      <c r="E55" s="4"/>
      <c r="F55" s="4">
        <v>3</v>
      </c>
      <c r="G55" s="4">
        <v>893</v>
      </c>
      <c r="H55" s="4">
        <v>406</v>
      </c>
      <c r="I55" s="4">
        <v>48</v>
      </c>
      <c r="J55" s="4">
        <v>26.4</v>
      </c>
      <c r="K55" s="4">
        <v>4.2300000000000004</v>
      </c>
      <c r="L55" s="4">
        <v>30.2</v>
      </c>
      <c r="M55" s="4">
        <v>70</v>
      </c>
      <c r="N55" s="4">
        <v>33</v>
      </c>
      <c r="O55" s="4">
        <v>840</v>
      </c>
      <c r="P55" s="4">
        <v>473</v>
      </c>
      <c r="Q55" s="4">
        <v>60400</v>
      </c>
      <c r="R55" s="4">
        <v>8130</v>
      </c>
      <c r="S55" s="4">
        <v>18200</v>
      </c>
      <c r="T55" s="4">
        <v>367</v>
      </c>
      <c r="U55" s="4">
        <v>20800</v>
      </c>
      <c r="V55" s="4">
        <v>537</v>
      </c>
      <c r="W55" s="4">
        <v>2640</v>
      </c>
      <c r="X55" s="4">
        <v>94.3</v>
      </c>
      <c r="Y55" s="4">
        <v>4100</v>
      </c>
      <c r="Z55" s="4">
        <v>35100</v>
      </c>
      <c r="AA55" s="4">
        <v>95800</v>
      </c>
      <c r="AB55" s="4">
        <v>85800</v>
      </c>
      <c r="AC55" s="4">
        <v>418</v>
      </c>
      <c r="AD55" s="4">
        <v>3850</v>
      </c>
      <c r="AE55" s="4">
        <v>10300</v>
      </c>
      <c r="AF55" s="4">
        <v>3.36</v>
      </c>
      <c r="AG55" s="4" t="s">
        <v>163</v>
      </c>
      <c r="AH55" s="4">
        <v>33</v>
      </c>
      <c r="AI55" s="4">
        <v>318</v>
      </c>
    </row>
    <row r="56" spans="1:35" x14ac:dyDescent="0.25">
      <c r="A56" s="4"/>
      <c r="B56" s="5" t="s">
        <v>164</v>
      </c>
      <c r="C56" s="4" t="s">
        <v>59</v>
      </c>
      <c r="D56" s="4">
        <v>1</v>
      </c>
      <c r="E56" s="4"/>
      <c r="F56" s="4">
        <v>3</v>
      </c>
      <c r="G56" s="4">
        <v>885</v>
      </c>
      <c r="H56" s="4">
        <v>404</v>
      </c>
      <c r="I56" s="4">
        <v>43.9</v>
      </c>
      <c r="J56" s="4">
        <v>24.4</v>
      </c>
      <c r="K56" s="4">
        <v>4.5999999999999996</v>
      </c>
      <c r="L56" s="4">
        <v>32.700000000000003</v>
      </c>
      <c r="M56" s="4">
        <v>65</v>
      </c>
      <c r="N56" s="4">
        <v>32</v>
      </c>
      <c r="O56" s="4">
        <v>840</v>
      </c>
      <c r="P56" s="4">
        <v>433</v>
      </c>
      <c r="Q56" s="4">
        <v>55300</v>
      </c>
      <c r="R56" s="4">
        <v>7360</v>
      </c>
      <c r="S56" s="4">
        <v>16600</v>
      </c>
      <c r="T56" s="4">
        <v>365</v>
      </c>
      <c r="U56" s="4">
        <v>18900</v>
      </c>
      <c r="V56" s="4">
        <v>484</v>
      </c>
      <c r="W56" s="4">
        <v>2390</v>
      </c>
      <c r="X56" s="4">
        <v>93.5</v>
      </c>
      <c r="Y56" s="4">
        <v>3710</v>
      </c>
      <c r="Z56" s="4">
        <v>27000</v>
      </c>
      <c r="AA56" s="4">
        <v>85500</v>
      </c>
      <c r="AB56" s="4">
        <v>85000</v>
      </c>
      <c r="AC56" s="4">
        <v>377</v>
      </c>
      <c r="AD56" s="4">
        <v>3500</v>
      </c>
      <c r="AE56" s="4">
        <v>9400</v>
      </c>
      <c r="AF56" s="4">
        <v>3.34</v>
      </c>
      <c r="AG56" s="4" t="s">
        <v>165</v>
      </c>
      <c r="AH56" s="4">
        <v>33</v>
      </c>
      <c r="AI56" s="4">
        <v>291</v>
      </c>
    </row>
    <row r="57" spans="1:35" x14ac:dyDescent="0.25">
      <c r="A57" s="4"/>
      <c r="B57" s="5" t="s">
        <v>166</v>
      </c>
      <c r="C57" s="4" t="s">
        <v>59</v>
      </c>
      <c r="D57" s="4">
        <v>1</v>
      </c>
      <c r="E57" s="4"/>
      <c r="F57" s="4">
        <v>3</v>
      </c>
      <c r="G57" s="4">
        <v>877</v>
      </c>
      <c r="H57" s="4">
        <v>401</v>
      </c>
      <c r="I57" s="4">
        <v>39.9</v>
      </c>
      <c r="J57" s="4">
        <v>22.1</v>
      </c>
      <c r="K57" s="4">
        <v>5.03</v>
      </c>
      <c r="L57" s="4">
        <v>36.1</v>
      </c>
      <c r="M57" s="4">
        <v>61</v>
      </c>
      <c r="N57" s="4">
        <v>31</v>
      </c>
      <c r="O57" s="4">
        <v>840</v>
      </c>
      <c r="P57" s="4">
        <v>392</v>
      </c>
      <c r="Q57" s="4">
        <v>50000</v>
      </c>
      <c r="R57" s="4">
        <v>6600</v>
      </c>
      <c r="S57" s="4">
        <v>15000</v>
      </c>
      <c r="T57" s="4">
        <v>363</v>
      </c>
      <c r="U57" s="4">
        <v>17000</v>
      </c>
      <c r="V57" s="4">
        <v>430</v>
      </c>
      <c r="W57" s="4">
        <v>2140</v>
      </c>
      <c r="X57" s="4">
        <v>92.7</v>
      </c>
      <c r="Y57" s="4">
        <v>3310</v>
      </c>
      <c r="Z57" s="4">
        <v>20300</v>
      </c>
      <c r="AA57" s="4">
        <v>75300</v>
      </c>
      <c r="AB57" s="4">
        <v>83900</v>
      </c>
      <c r="AC57" s="4">
        <v>336</v>
      </c>
      <c r="AD57" s="4">
        <v>3160</v>
      </c>
      <c r="AE57" s="4">
        <v>8450</v>
      </c>
      <c r="AF57" s="4">
        <v>3.31</v>
      </c>
      <c r="AG57" s="4" t="s">
        <v>167</v>
      </c>
      <c r="AH57" s="4">
        <v>33</v>
      </c>
      <c r="AI57" s="4">
        <v>263</v>
      </c>
    </row>
    <row r="58" spans="1:35" x14ac:dyDescent="0.25">
      <c r="A58" s="4"/>
      <c r="B58" s="5" t="s">
        <v>168</v>
      </c>
      <c r="C58" s="4" t="s">
        <v>59</v>
      </c>
      <c r="D58" s="4">
        <v>1</v>
      </c>
      <c r="E58" s="4"/>
      <c r="F58" s="4">
        <v>3</v>
      </c>
      <c r="G58" s="4">
        <v>868</v>
      </c>
      <c r="H58" s="4">
        <v>403</v>
      </c>
      <c r="I58" s="4">
        <v>35.6</v>
      </c>
      <c r="J58" s="4">
        <v>21.1</v>
      </c>
      <c r="K58" s="4">
        <v>5.66</v>
      </c>
      <c r="L58" s="4">
        <v>37.799999999999997</v>
      </c>
      <c r="M58" s="4">
        <v>57</v>
      </c>
      <c r="N58" s="4">
        <v>31</v>
      </c>
      <c r="O58" s="4">
        <v>840</v>
      </c>
      <c r="P58" s="4">
        <v>359</v>
      </c>
      <c r="Q58" s="4">
        <v>45800</v>
      </c>
      <c r="R58" s="4">
        <v>5920</v>
      </c>
      <c r="S58" s="4">
        <v>13600</v>
      </c>
      <c r="T58" s="4">
        <v>359</v>
      </c>
      <c r="U58" s="4">
        <v>15400</v>
      </c>
      <c r="V58" s="4">
        <v>389</v>
      </c>
      <c r="W58" s="4">
        <v>1930</v>
      </c>
      <c r="X58" s="4">
        <v>92.1</v>
      </c>
      <c r="Y58" s="4">
        <v>2980</v>
      </c>
      <c r="Z58" s="4">
        <v>15100</v>
      </c>
      <c r="AA58" s="4">
        <v>67400</v>
      </c>
      <c r="AB58" s="4">
        <v>83900</v>
      </c>
      <c r="AC58" s="4">
        <v>301</v>
      </c>
      <c r="AD58" s="4">
        <v>2830</v>
      </c>
      <c r="AE58" s="4">
        <v>7650</v>
      </c>
      <c r="AF58" s="4">
        <v>3.31</v>
      </c>
      <c r="AG58" s="4" t="s">
        <v>169</v>
      </c>
      <c r="AH58" s="4">
        <v>33</v>
      </c>
      <c r="AI58" s="4">
        <v>241</v>
      </c>
    </row>
    <row r="59" spans="1:35" x14ac:dyDescent="0.25">
      <c r="A59" s="4"/>
      <c r="B59" s="5" t="s">
        <v>170</v>
      </c>
      <c r="C59" s="4" t="s">
        <v>59</v>
      </c>
      <c r="D59" s="4">
        <v>1</v>
      </c>
      <c r="E59" s="4"/>
      <c r="F59" s="4">
        <v>3</v>
      </c>
      <c r="G59" s="4">
        <v>862</v>
      </c>
      <c r="H59" s="4">
        <v>401</v>
      </c>
      <c r="I59" s="4">
        <v>32.4</v>
      </c>
      <c r="J59" s="4">
        <v>19.7</v>
      </c>
      <c r="K59" s="4">
        <v>6.19</v>
      </c>
      <c r="L59" s="4">
        <v>40.5</v>
      </c>
      <c r="M59" s="4">
        <v>54</v>
      </c>
      <c r="N59" s="4">
        <v>30</v>
      </c>
      <c r="O59" s="4">
        <v>840</v>
      </c>
      <c r="P59" s="4">
        <v>329</v>
      </c>
      <c r="Q59" s="4">
        <v>42000</v>
      </c>
      <c r="R59" s="4">
        <v>5360</v>
      </c>
      <c r="S59" s="4">
        <v>12400</v>
      </c>
      <c r="T59" s="4">
        <v>357</v>
      </c>
      <c r="U59" s="4">
        <v>14000</v>
      </c>
      <c r="V59" s="4">
        <v>349</v>
      </c>
      <c r="W59" s="4">
        <v>1740</v>
      </c>
      <c r="X59" s="4">
        <v>91.1</v>
      </c>
      <c r="Y59" s="4">
        <v>2690</v>
      </c>
      <c r="Z59" s="4">
        <v>11600</v>
      </c>
      <c r="AA59" s="4">
        <v>60000</v>
      </c>
      <c r="AB59" s="4">
        <v>83200</v>
      </c>
      <c r="AC59" s="4">
        <v>270</v>
      </c>
      <c r="AD59" s="4">
        <v>2560</v>
      </c>
      <c r="AE59" s="4">
        <v>6950</v>
      </c>
      <c r="AF59" s="4">
        <v>3.29</v>
      </c>
      <c r="AG59" s="4" t="s">
        <v>171</v>
      </c>
      <c r="AH59" s="4">
        <v>33</v>
      </c>
      <c r="AI59" s="4">
        <v>221</v>
      </c>
    </row>
    <row r="60" spans="1:35" x14ac:dyDescent="0.25">
      <c r="A60" s="4"/>
      <c r="B60" s="5" t="s">
        <v>172</v>
      </c>
      <c r="C60" s="4" t="s">
        <v>59</v>
      </c>
      <c r="D60" s="4">
        <v>1</v>
      </c>
      <c r="E60" s="4"/>
      <c r="F60" s="4">
        <v>3</v>
      </c>
      <c r="G60" s="4">
        <v>855</v>
      </c>
      <c r="H60" s="4">
        <v>400</v>
      </c>
      <c r="I60" s="4">
        <v>29.2</v>
      </c>
      <c r="J60" s="4">
        <v>18.2</v>
      </c>
      <c r="K60" s="4">
        <v>6.85</v>
      </c>
      <c r="L60" s="4">
        <v>43.8</v>
      </c>
      <c r="M60" s="4">
        <v>51</v>
      </c>
      <c r="N60" s="4">
        <v>29</v>
      </c>
      <c r="O60" s="4">
        <v>840</v>
      </c>
      <c r="P60" s="4">
        <v>299</v>
      </c>
      <c r="Q60" s="4">
        <v>38200</v>
      </c>
      <c r="R60" s="4">
        <v>4800</v>
      </c>
      <c r="S60" s="4">
        <v>11200</v>
      </c>
      <c r="T60" s="4">
        <v>355</v>
      </c>
      <c r="U60" s="4">
        <v>12700</v>
      </c>
      <c r="V60" s="4">
        <v>312</v>
      </c>
      <c r="W60" s="4">
        <v>1560</v>
      </c>
      <c r="X60" s="4">
        <v>90.4</v>
      </c>
      <c r="Y60" s="4">
        <v>2410</v>
      </c>
      <c r="Z60" s="4">
        <v>8660</v>
      </c>
      <c r="AA60" s="4">
        <v>53200</v>
      </c>
      <c r="AB60" s="4">
        <v>82600</v>
      </c>
      <c r="AC60" s="4">
        <v>241</v>
      </c>
      <c r="AD60" s="4">
        <v>2300</v>
      </c>
      <c r="AE60" s="4">
        <v>6270</v>
      </c>
      <c r="AF60" s="4">
        <v>3.27</v>
      </c>
      <c r="AG60" s="4" t="s">
        <v>173</v>
      </c>
      <c r="AH60" s="4">
        <v>33</v>
      </c>
      <c r="AI60" s="4">
        <v>201</v>
      </c>
    </row>
    <row r="61" spans="1:35" x14ac:dyDescent="0.25">
      <c r="A61" s="4" t="s">
        <v>59</v>
      </c>
      <c r="B61" s="5" t="s">
        <v>174</v>
      </c>
      <c r="C61" s="4" t="s">
        <v>59</v>
      </c>
      <c r="D61" s="4">
        <v>1</v>
      </c>
      <c r="E61" s="4"/>
      <c r="F61" s="4">
        <v>3</v>
      </c>
      <c r="G61" s="4">
        <v>859</v>
      </c>
      <c r="H61" s="4">
        <v>292</v>
      </c>
      <c r="I61" s="4">
        <v>31</v>
      </c>
      <c r="J61" s="4">
        <v>17</v>
      </c>
      <c r="K61" s="4">
        <v>4.71</v>
      </c>
      <c r="L61" s="4">
        <v>46.9</v>
      </c>
      <c r="M61" s="4">
        <v>53</v>
      </c>
      <c r="N61" s="4">
        <v>29</v>
      </c>
      <c r="O61" s="4">
        <v>840</v>
      </c>
      <c r="P61" s="4">
        <v>251</v>
      </c>
      <c r="Q61" s="4">
        <v>31900</v>
      </c>
      <c r="R61" s="4">
        <v>3860</v>
      </c>
      <c r="S61" s="4">
        <v>9000</v>
      </c>
      <c r="T61" s="4">
        <v>348</v>
      </c>
      <c r="U61" s="4">
        <v>10300</v>
      </c>
      <c r="V61" s="4">
        <v>129</v>
      </c>
      <c r="W61" s="4">
        <v>884</v>
      </c>
      <c r="X61" s="4">
        <v>63.6</v>
      </c>
      <c r="Y61" s="4">
        <v>1380</v>
      </c>
      <c r="Z61" s="4">
        <v>7350</v>
      </c>
      <c r="AA61" s="4">
        <v>22100</v>
      </c>
      <c r="AB61" s="4">
        <v>60400</v>
      </c>
      <c r="AC61" s="4">
        <v>137</v>
      </c>
      <c r="AD61" s="4">
        <v>1760</v>
      </c>
      <c r="AE61" s="4">
        <v>5100</v>
      </c>
      <c r="AF61" s="4">
        <v>2.85</v>
      </c>
      <c r="AG61" s="4" t="s">
        <v>175</v>
      </c>
      <c r="AH61" s="4">
        <v>33</v>
      </c>
      <c r="AI61" s="4">
        <v>169</v>
      </c>
    </row>
    <row r="62" spans="1:35" x14ac:dyDescent="0.25">
      <c r="A62" s="4"/>
      <c r="B62" s="5" t="s">
        <v>176</v>
      </c>
      <c r="C62" s="4" t="s">
        <v>59</v>
      </c>
      <c r="D62" s="4">
        <v>1</v>
      </c>
      <c r="E62" s="4"/>
      <c r="F62" s="4">
        <v>3</v>
      </c>
      <c r="G62" s="4">
        <v>851</v>
      </c>
      <c r="H62" s="4">
        <v>294</v>
      </c>
      <c r="I62" s="4">
        <v>26.8</v>
      </c>
      <c r="J62" s="4">
        <v>16.100000000000001</v>
      </c>
      <c r="K62" s="4">
        <v>5.49</v>
      </c>
      <c r="L62" s="4">
        <v>49.5</v>
      </c>
      <c r="M62" s="4">
        <v>49</v>
      </c>
      <c r="N62" s="4">
        <v>28</v>
      </c>
      <c r="O62" s="4">
        <v>840</v>
      </c>
      <c r="P62" s="4">
        <v>226</v>
      </c>
      <c r="Q62" s="4">
        <v>28900</v>
      </c>
      <c r="R62" s="4">
        <v>3400</v>
      </c>
      <c r="S62" s="4">
        <v>7990</v>
      </c>
      <c r="T62" s="4">
        <v>343</v>
      </c>
      <c r="U62" s="4">
        <v>9160</v>
      </c>
      <c r="V62" s="4">
        <v>114</v>
      </c>
      <c r="W62" s="4">
        <v>774</v>
      </c>
      <c r="X62" s="4">
        <v>62.8</v>
      </c>
      <c r="Y62" s="4">
        <v>1210</v>
      </c>
      <c r="Z62" s="4">
        <v>5140</v>
      </c>
      <c r="AA62" s="4">
        <v>19300</v>
      </c>
      <c r="AB62" s="4">
        <v>60600</v>
      </c>
      <c r="AC62" s="4">
        <v>119</v>
      </c>
      <c r="AD62" s="4">
        <v>1530</v>
      </c>
      <c r="AE62" s="4">
        <v>4530</v>
      </c>
      <c r="AF62" s="4">
        <v>2.85</v>
      </c>
      <c r="AG62" s="4" t="s">
        <v>177</v>
      </c>
      <c r="AH62" s="4">
        <v>33</v>
      </c>
      <c r="AI62" s="4">
        <v>152</v>
      </c>
    </row>
    <row r="63" spans="1:35" x14ac:dyDescent="0.25">
      <c r="A63" s="4"/>
      <c r="B63" s="5" t="s">
        <v>178</v>
      </c>
      <c r="C63" s="4" t="s">
        <v>59</v>
      </c>
      <c r="D63" s="4">
        <v>1</v>
      </c>
      <c r="E63" s="4"/>
      <c r="F63" s="4">
        <v>3</v>
      </c>
      <c r="G63" s="4">
        <v>846</v>
      </c>
      <c r="H63" s="4">
        <v>293</v>
      </c>
      <c r="I63" s="4">
        <v>24.4</v>
      </c>
      <c r="J63" s="4">
        <v>15.4</v>
      </c>
      <c r="K63" s="4">
        <v>6</v>
      </c>
      <c r="L63" s="4">
        <v>51.8</v>
      </c>
      <c r="M63" s="4">
        <v>46</v>
      </c>
      <c r="N63" s="4">
        <v>28</v>
      </c>
      <c r="O63" s="4">
        <v>840</v>
      </c>
      <c r="P63" s="4">
        <v>210</v>
      </c>
      <c r="Q63" s="4">
        <v>26800</v>
      </c>
      <c r="R63" s="4">
        <v>3110</v>
      </c>
      <c r="S63" s="4">
        <v>7340</v>
      </c>
      <c r="T63" s="4">
        <v>340</v>
      </c>
      <c r="U63" s="4">
        <v>8430</v>
      </c>
      <c r="V63" s="4">
        <v>103</v>
      </c>
      <c r="W63" s="4">
        <v>700</v>
      </c>
      <c r="X63" s="4">
        <v>61.8</v>
      </c>
      <c r="Y63" s="4">
        <v>1100</v>
      </c>
      <c r="Z63" s="4">
        <v>4050</v>
      </c>
      <c r="AA63" s="4">
        <v>17300</v>
      </c>
      <c r="AB63" s="4">
        <v>60200</v>
      </c>
      <c r="AC63" s="4">
        <v>108</v>
      </c>
      <c r="AD63" s="4">
        <v>1390</v>
      </c>
      <c r="AE63" s="4">
        <v>4160</v>
      </c>
      <c r="AF63" s="4">
        <v>2.83</v>
      </c>
      <c r="AG63" s="4" t="s">
        <v>179</v>
      </c>
      <c r="AH63" s="4">
        <v>33</v>
      </c>
      <c r="AI63" s="4">
        <v>141</v>
      </c>
    </row>
    <row r="64" spans="1:35" x14ac:dyDescent="0.25">
      <c r="A64" s="4"/>
      <c r="B64" s="5" t="s">
        <v>180</v>
      </c>
      <c r="C64" s="4" t="s">
        <v>59</v>
      </c>
      <c r="D64" s="4">
        <v>1</v>
      </c>
      <c r="E64" s="4"/>
      <c r="F64" s="4">
        <v>3</v>
      </c>
      <c r="G64" s="4">
        <v>840</v>
      </c>
      <c r="H64" s="4">
        <v>292</v>
      </c>
      <c r="I64" s="4">
        <v>21.7</v>
      </c>
      <c r="J64" s="4">
        <v>14.7</v>
      </c>
      <c r="K64" s="4">
        <v>6.73</v>
      </c>
      <c r="L64" s="4">
        <v>54.2</v>
      </c>
      <c r="M64" s="4">
        <v>44</v>
      </c>
      <c r="N64" s="4">
        <v>28</v>
      </c>
      <c r="O64" s="4">
        <v>840</v>
      </c>
      <c r="P64" s="4">
        <v>193</v>
      </c>
      <c r="Q64" s="4">
        <v>24700</v>
      </c>
      <c r="R64" s="4">
        <v>2780</v>
      </c>
      <c r="S64" s="4">
        <v>6630</v>
      </c>
      <c r="T64" s="4">
        <v>336</v>
      </c>
      <c r="U64" s="4">
        <v>7620</v>
      </c>
      <c r="V64" s="4">
        <v>90.3</v>
      </c>
      <c r="W64" s="4">
        <v>618</v>
      </c>
      <c r="X64" s="4">
        <v>60.5</v>
      </c>
      <c r="Y64" s="4">
        <v>971</v>
      </c>
      <c r="Z64" s="4">
        <v>3050</v>
      </c>
      <c r="AA64" s="4">
        <v>15100</v>
      </c>
      <c r="AB64" s="4">
        <v>59700</v>
      </c>
      <c r="AC64" s="4">
        <v>94.6</v>
      </c>
      <c r="AD64" s="4">
        <v>1230</v>
      </c>
      <c r="AE64" s="4">
        <v>3760</v>
      </c>
      <c r="AF64" s="4">
        <v>2.82</v>
      </c>
      <c r="AG64" s="4" t="s">
        <v>181</v>
      </c>
      <c r="AH64" s="4">
        <v>33</v>
      </c>
      <c r="AI64" s="4">
        <v>130</v>
      </c>
    </row>
    <row r="65" spans="1:35" x14ac:dyDescent="0.25">
      <c r="A65" s="4"/>
      <c r="B65" s="5" t="s">
        <v>182</v>
      </c>
      <c r="C65" s="4" t="s">
        <v>59</v>
      </c>
      <c r="D65" s="4">
        <v>1</v>
      </c>
      <c r="E65" s="4"/>
      <c r="F65" s="4">
        <v>3</v>
      </c>
      <c r="G65" s="4">
        <v>835</v>
      </c>
      <c r="H65" s="4">
        <v>292</v>
      </c>
      <c r="I65" s="4">
        <v>18.8</v>
      </c>
      <c r="J65" s="4">
        <v>14</v>
      </c>
      <c r="K65" s="4">
        <v>7.77</v>
      </c>
      <c r="L65" s="4">
        <v>57</v>
      </c>
      <c r="M65" s="4">
        <v>41</v>
      </c>
      <c r="N65" s="4">
        <v>27</v>
      </c>
      <c r="O65" s="4">
        <v>840</v>
      </c>
      <c r="P65" s="4">
        <v>176</v>
      </c>
      <c r="Q65" s="4">
        <v>22400</v>
      </c>
      <c r="R65" s="4">
        <v>2460</v>
      </c>
      <c r="S65" s="4">
        <v>5900</v>
      </c>
      <c r="T65" s="4">
        <v>331</v>
      </c>
      <c r="U65" s="4">
        <v>6810</v>
      </c>
      <c r="V65" s="4">
        <v>78.2</v>
      </c>
      <c r="W65" s="4">
        <v>536</v>
      </c>
      <c r="X65" s="4">
        <v>59.1</v>
      </c>
      <c r="Y65" s="4">
        <v>844</v>
      </c>
      <c r="Z65" s="4">
        <v>2220</v>
      </c>
      <c r="AA65" s="4">
        <v>13000</v>
      </c>
      <c r="AB65" s="4">
        <v>59600</v>
      </c>
      <c r="AC65" s="4">
        <v>81.8</v>
      </c>
      <c r="AD65" s="4">
        <v>1070</v>
      </c>
      <c r="AE65" s="4">
        <v>3350</v>
      </c>
      <c r="AF65" s="4">
        <v>2.81</v>
      </c>
      <c r="AG65" s="4" t="s">
        <v>183</v>
      </c>
      <c r="AH65" s="4">
        <v>33</v>
      </c>
      <c r="AI65" s="4">
        <v>118</v>
      </c>
    </row>
    <row r="66" spans="1:35" x14ac:dyDescent="0.25">
      <c r="A66" s="4" t="s">
        <v>59</v>
      </c>
      <c r="B66" s="5" t="s">
        <v>184</v>
      </c>
      <c r="C66" s="4" t="s">
        <v>59</v>
      </c>
      <c r="D66" s="4">
        <v>1</v>
      </c>
      <c r="E66" s="4"/>
      <c r="F66" s="4">
        <v>3</v>
      </c>
      <c r="G66" s="4">
        <v>843</v>
      </c>
      <c r="H66" s="4">
        <v>396</v>
      </c>
      <c r="I66" s="4">
        <v>62</v>
      </c>
      <c r="J66" s="4">
        <v>34.5</v>
      </c>
      <c r="K66" s="4">
        <v>3.19</v>
      </c>
      <c r="L66" s="4">
        <v>20.8</v>
      </c>
      <c r="M66" s="4">
        <v>84</v>
      </c>
      <c r="N66" s="4">
        <v>37</v>
      </c>
      <c r="O66" s="4">
        <v>760</v>
      </c>
      <c r="P66" s="4">
        <v>582</v>
      </c>
      <c r="Q66" s="4">
        <v>74300</v>
      </c>
      <c r="R66" s="4">
        <v>8620</v>
      </c>
      <c r="S66" s="4">
        <v>20400</v>
      </c>
      <c r="T66" s="4">
        <v>341</v>
      </c>
      <c r="U66" s="4">
        <v>23800</v>
      </c>
      <c r="V66" s="4">
        <v>644</v>
      </c>
      <c r="W66" s="4">
        <v>3250</v>
      </c>
      <c r="X66" s="4">
        <v>93.2</v>
      </c>
      <c r="Y66" s="4">
        <v>5080</v>
      </c>
      <c r="Z66" s="4">
        <v>72200</v>
      </c>
      <c r="AA66" s="4">
        <v>98300</v>
      </c>
      <c r="AB66" s="4">
        <v>77300</v>
      </c>
      <c r="AC66" s="4">
        <v>475</v>
      </c>
      <c r="AD66" s="4">
        <v>4380</v>
      </c>
      <c r="AE66" s="4">
        <v>11800</v>
      </c>
      <c r="AF66" s="4">
        <v>3.2</v>
      </c>
      <c r="AG66" s="4" t="s">
        <v>185</v>
      </c>
      <c r="AH66" s="4">
        <v>30</v>
      </c>
      <c r="AI66" s="4">
        <v>391</v>
      </c>
    </row>
    <row r="67" spans="1:35" x14ac:dyDescent="0.25">
      <c r="A67" s="4"/>
      <c r="B67" s="5" t="s">
        <v>186</v>
      </c>
      <c r="C67" s="4" t="s">
        <v>59</v>
      </c>
      <c r="D67" s="4">
        <v>1</v>
      </c>
      <c r="E67" s="4"/>
      <c r="F67" s="4">
        <v>3</v>
      </c>
      <c r="G67" s="4">
        <v>833</v>
      </c>
      <c r="H67" s="4">
        <v>393</v>
      </c>
      <c r="I67" s="4">
        <v>56.9</v>
      </c>
      <c r="J67" s="4">
        <v>31.5</v>
      </c>
      <c r="K67" s="4">
        <v>3.45</v>
      </c>
      <c r="L67" s="4">
        <v>22.8</v>
      </c>
      <c r="M67" s="4">
        <v>78</v>
      </c>
      <c r="N67" s="4">
        <v>36</v>
      </c>
      <c r="O67" s="4">
        <v>760</v>
      </c>
      <c r="P67" s="4">
        <v>531</v>
      </c>
      <c r="Q67" s="4">
        <v>67700</v>
      </c>
      <c r="R67" s="4">
        <v>7770</v>
      </c>
      <c r="S67" s="4">
        <v>18600</v>
      </c>
      <c r="T67" s="4">
        <v>339</v>
      </c>
      <c r="U67" s="4">
        <v>21600</v>
      </c>
      <c r="V67" s="4">
        <v>578</v>
      </c>
      <c r="W67" s="4">
        <v>2940</v>
      </c>
      <c r="X67" s="4">
        <v>92.4</v>
      </c>
      <c r="Y67" s="4">
        <v>4580</v>
      </c>
      <c r="Z67" s="4">
        <v>55600</v>
      </c>
      <c r="AA67" s="4">
        <v>87000</v>
      </c>
      <c r="AB67" s="4">
        <v>76300</v>
      </c>
      <c r="AC67" s="4">
        <v>426</v>
      </c>
      <c r="AD67" s="4">
        <v>3990</v>
      </c>
      <c r="AE67" s="4">
        <v>10700</v>
      </c>
      <c r="AF67" s="4">
        <v>3.18</v>
      </c>
      <c r="AG67" s="4" t="s">
        <v>187</v>
      </c>
      <c r="AH67" s="4">
        <v>30</v>
      </c>
      <c r="AI67" s="4">
        <v>357</v>
      </c>
    </row>
    <row r="68" spans="1:35" x14ac:dyDescent="0.25">
      <c r="A68" s="4"/>
      <c r="B68" s="5" t="s">
        <v>188</v>
      </c>
      <c r="C68" s="4" t="s">
        <v>59</v>
      </c>
      <c r="D68" s="4">
        <v>1</v>
      </c>
      <c r="E68" s="4"/>
      <c r="F68" s="4">
        <v>3</v>
      </c>
      <c r="G68" s="4">
        <v>823</v>
      </c>
      <c r="H68" s="4">
        <v>390</v>
      </c>
      <c r="I68" s="4">
        <v>52.1</v>
      </c>
      <c r="J68" s="4">
        <v>29</v>
      </c>
      <c r="K68" s="4">
        <v>3.74</v>
      </c>
      <c r="L68" s="4">
        <v>24.8</v>
      </c>
      <c r="M68" s="4">
        <v>74</v>
      </c>
      <c r="N68" s="4">
        <v>35</v>
      </c>
      <c r="O68" s="4">
        <v>760</v>
      </c>
      <c r="P68" s="4">
        <v>484</v>
      </c>
      <c r="Q68" s="4">
        <v>61800</v>
      </c>
      <c r="R68" s="4">
        <v>6990</v>
      </c>
      <c r="S68" s="4">
        <v>17000</v>
      </c>
      <c r="T68" s="4">
        <v>336</v>
      </c>
      <c r="U68" s="4">
        <v>19500</v>
      </c>
      <c r="V68" s="4">
        <v>517</v>
      </c>
      <c r="W68" s="4">
        <v>2650</v>
      </c>
      <c r="X68" s="4">
        <v>91.4</v>
      </c>
      <c r="Y68" s="4">
        <v>4120</v>
      </c>
      <c r="Z68" s="4">
        <v>42800</v>
      </c>
      <c r="AA68" s="4">
        <v>76800</v>
      </c>
      <c r="AB68" s="4">
        <v>75200</v>
      </c>
      <c r="AC68" s="4">
        <v>382</v>
      </c>
      <c r="AD68" s="4">
        <v>3620</v>
      </c>
      <c r="AE68" s="4">
        <v>9700</v>
      </c>
      <c r="AF68" s="4">
        <v>3.15</v>
      </c>
      <c r="AG68" s="4" t="s">
        <v>189</v>
      </c>
      <c r="AH68" s="4">
        <v>30</v>
      </c>
      <c r="AI68" s="4">
        <v>326</v>
      </c>
    </row>
    <row r="69" spans="1:35" x14ac:dyDescent="0.25">
      <c r="A69" s="4"/>
      <c r="B69" s="5" t="s">
        <v>190</v>
      </c>
      <c r="C69" s="4" t="s">
        <v>59</v>
      </c>
      <c r="D69" s="4">
        <v>1</v>
      </c>
      <c r="E69" s="4"/>
      <c r="F69" s="4">
        <v>3</v>
      </c>
      <c r="G69" s="4">
        <v>813</v>
      </c>
      <c r="H69" s="4">
        <v>387</v>
      </c>
      <c r="I69" s="4">
        <v>47</v>
      </c>
      <c r="J69" s="4">
        <v>25.9</v>
      </c>
      <c r="K69" s="4">
        <v>4.12</v>
      </c>
      <c r="L69" s="4">
        <v>27.8</v>
      </c>
      <c r="M69" s="4">
        <v>69</v>
      </c>
      <c r="N69" s="4">
        <v>33</v>
      </c>
      <c r="O69" s="4">
        <v>760</v>
      </c>
      <c r="P69" s="4">
        <v>434</v>
      </c>
      <c r="Q69" s="4">
        <v>55300</v>
      </c>
      <c r="R69" s="4">
        <v>6190</v>
      </c>
      <c r="S69" s="4">
        <v>15200</v>
      </c>
      <c r="T69" s="4">
        <v>334</v>
      </c>
      <c r="U69" s="4">
        <v>17400</v>
      </c>
      <c r="V69" s="4">
        <v>455</v>
      </c>
      <c r="W69" s="4">
        <v>2350</v>
      </c>
      <c r="X69" s="4">
        <v>90.7</v>
      </c>
      <c r="Y69" s="4">
        <v>3650</v>
      </c>
      <c r="Z69" s="4">
        <v>31300</v>
      </c>
      <c r="AA69" s="4">
        <v>66800</v>
      </c>
      <c r="AB69" s="4">
        <v>74100</v>
      </c>
      <c r="AC69" s="4">
        <v>337</v>
      </c>
      <c r="AD69" s="4">
        <v>3250</v>
      </c>
      <c r="AE69" s="4">
        <v>8640</v>
      </c>
      <c r="AF69" s="4">
        <v>3.12</v>
      </c>
      <c r="AG69" s="4" t="s">
        <v>191</v>
      </c>
      <c r="AH69" s="4">
        <v>30</v>
      </c>
      <c r="AI69" s="4">
        <v>292</v>
      </c>
    </row>
    <row r="70" spans="1:35" x14ac:dyDescent="0.25">
      <c r="A70" s="4"/>
      <c r="B70" s="5" t="s">
        <v>192</v>
      </c>
      <c r="C70" s="4" t="s">
        <v>59</v>
      </c>
      <c r="D70" s="4">
        <v>1</v>
      </c>
      <c r="E70" s="4"/>
      <c r="F70" s="4">
        <v>3</v>
      </c>
      <c r="G70" s="4">
        <v>803</v>
      </c>
      <c r="H70" s="4">
        <v>385</v>
      </c>
      <c r="I70" s="4">
        <v>41.9</v>
      </c>
      <c r="J70" s="4">
        <v>23.6</v>
      </c>
      <c r="K70" s="4">
        <v>4.59</v>
      </c>
      <c r="L70" s="4">
        <v>30.5</v>
      </c>
      <c r="M70" s="4">
        <v>63</v>
      </c>
      <c r="N70" s="4">
        <v>32</v>
      </c>
      <c r="O70" s="4">
        <v>760</v>
      </c>
      <c r="P70" s="4">
        <v>389</v>
      </c>
      <c r="Q70" s="4">
        <v>49600</v>
      </c>
      <c r="R70" s="4">
        <v>5450</v>
      </c>
      <c r="S70" s="4">
        <v>13600</v>
      </c>
      <c r="T70" s="4">
        <v>332</v>
      </c>
      <c r="U70" s="4">
        <v>15500</v>
      </c>
      <c r="V70" s="4">
        <v>399</v>
      </c>
      <c r="W70" s="4">
        <v>2070</v>
      </c>
      <c r="X70" s="4">
        <v>89.8</v>
      </c>
      <c r="Y70" s="4">
        <v>3210</v>
      </c>
      <c r="Z70" s="4">
        <v>22500</v>
      </c>
      <c r="AA70" s="4">
        <v>57800</v>
      </c>
      <c r="AB70" s="4">
        <v>73300</v>
      </c>
      <c r="AC70" s="4">
        <v>295</v>
      </c>
      <c r="AD70" s="4">
        <v>2880</v>
      </c>
      <c r="AE70" s="4">
        <v>7660</v>
      </c>
      <c r="AF70" s="4">
        <v>3.1</v>
      </c>
      <c r="AG70" s="4" t="s">
        <v>193</v>
      </c>
      <c r="AH70" s="4">
        <v>30</v>
      </c>
      <c r="AI70" s="4">
        <v>261</v>
      </c>
    </row>
    <row r="71" spans="1:35" x14ac:dyDescent="0.25">
      <c r="A71" s="4"/>
      <c r="B71" s="5" t="s">
        <v>194</v>
      </c>
      <c r="C71" s="4" t="s">
        <v>59</v>
      </c>
      <c r="D71" s="4">
        <v>1</v>
      </c>
      <c r="E71" s="4"/>
      <c r="F71" s="4">
        <v>3</v>
      </c>
      <c r="G71" s="4">
        <v>795</v>
      </c>
      <c r="H71" s="4">
        <v>382</v>
      </c>
      <c r="I71" s="4">
        <v>38.1</v>
      </c>
      <c r="J71" s="4">
        <v>21.1</v>
      </c>
      <c r="K71" s="4">
        <v>5.01</v>
      </c>
      <c r="L71" s="4">
        <v>34.1</v>
      </c>
      <c r="M71" s="4">
        <v>60</v>
      </c>
      <c r="N71" s="4">
        <v>31</v>
      </c>
      <c r="O71" s="4">
        <v>760</v>
      </c>
      <c r="P71" s="4">
        <v>350</v>
      </c>
      <c r="Q71" s="4">
        <v>44600</v>
      </c>
      <c r="R71" s="4">
        <v>4870</v>
      </c>
      <c r="S71" s="4">
        <v>12200</v>
      </c>
      <c r="T71" s="4">
        <v>330</v>
      </c>
      <c r="U71" s="4">
        <v>13900</v>
      </c>
      <c r="V71" s="4">
        <v>355</v>
      </c>
      <c r="W71" s="4">
        <v>1860</v>
      </c>
      <c r="X71" s="4">
        <v>89.1</v>
      </c>
      <c r="Y71" s="4">
        <v>2870</v>
      </c>
      <c r="Z71" s="4">
        <v>16800</v>
      </c>
      <c r="AA71" s="4">
        <v>50800</v>
      </c>
      <c r="AB71" s="4">
        <v>72300</v>
      </c>
      <c r="AC71" s="4">
        <v>263</v>
      </c>
      <c r="AD71" s="4">
        <v>2600</v>
      </c>
      <c r="AE71" s="4">
        <v>6870</v>
      </c>
      <c r="AF71" s="4">
        <v>3.08</v>
      </c>
      <c r="AG71" s="4" t="s">
        <v>195</v>
      </c>
      <c r="AH71" s="4">
        <v>30</v>
      </c>
      <c r="AI71" s="4">
        <v>235</v>
      </c>
    </row>
    <row r="72" spans="1:35" x14ac:dyDescent="0.25">
      <c r="A72" s="4"/>
      <c r="B72" s="5" t="s">
        <v>196</v>
      </c>
      <c r="C72" s="4" t="s">
        <v>59</v>
      </c>
      <c r="D72" s="4">
        <v>1</v>
      </c>
      <c r="E72" s="4"/>
      <c r="F72" s="4">
        <v>3</v>
      </c>
      <c r="G72" s="4">
        <v>786</v>
      </c>
      <c r="H72" s="4">
        <v>384</v>
      </c>
      <c r="I72" s="4">
        <v>33.4</v>
      </c>
      <c r="J72" s="4">
        <v>19.7</v>
      </c>
      <c r="K72" s="4">
        <v>5.75</v>
      </c>
      <c r="L72" s="4">
        <v>36.5</v>
      </c>
      <c r="M72" s="4">
        <v>55</v>
      </c>
      <c r="N72" s="4">
        <v>30</v>
      </c>
      <c r="O72" s="4">
        <v>760</v>
      </c>
      <c r="P72" s="4">
        <v>314</v>
      </c>
      <c r="Q72" s="4">
        <v>40200</v>
      </c>
      <c r="R72" s="4">
        <v>4290</v>
      </c>
      <c r="S72" s="4">
        <v>10900</v>
      </c>
      <c r="T72" s="4">
        <v>327</v>
      </c>
      <c r="U72" s="4">
        <v>12300</v>
      </c>
      <c r="V72" s="4">
        <v>316</v>
      </c>
      <c r="W72" s="4">
        <v>1640</v>
      </c>
      <c r="X72" s="4">
        <v>88.7</v>
      </c>
      <c r="Y72" s="4">
        <v>2540</v>
      </c>
      <c r="Z72" s="4">
        <v>11800</v>
      </c>
      <c r="AA72" s="4">
        <v>44700</v>
      </c>
      <c r="AB72" s="4">
        <v>72200</v>
      </c>
      <c r="AC72" s="4">
        <v>232</v>
      </c>
      <c r="AD72" s="4">
        <v>2290</v>
      </c>
      <c r="AE72" s="4">
        <v>6100</v>
      </c>
      <c r="AF72" s="4">
        <v>3.07</v>
      </c>
      <c r="AG72" s="4" t="s">
        <v>197</v>
      </c>
      <c r="AH72" s="4">
        <v>30</v>
      </c>
      <c r="AI72" s="4">
        <v>211</v>
      </c>
    </row>
    <row r="73" spans="1:35" x14ac:dyDescent="0.25">
      <c r="A73" s="4"/>
      <c r="B73" s="5" t="s">
        <v>198</v>
      </c>
      <c r="C73" s="4" t="s">
        <v>59</v>
      </c>
      <c r="D73" s="4">
        <v>1</v>
      </c>
      <c r="E73" s="4"/>
      <c r="F73" s="4">
        <v>3</v>
      </c>
      <c r="G73" s="4">
        <v>779</v>
      </c>
      <c r="H73" s="4">
        <v>382</v>
      </c>
      <c r="I73" s="4">
        <v>30.1</v>
      </c>
      <c r="J73" s="4">
        <v>18</v>
      </c>
      <c r="K73" s="4">
        <v>6.35</v>
      </c>
      <c r="L73" s="4">
        <v>39.9</v>
      </c>
      <c r="M73" s="4">
        <v>52</v>
      </c>
      <c r="N73" s="4">
        <v>29</v>
      </c>
      <c r="O73" s="4">
        <v>760</v>
      </c>
      <c r="P73" s="4">
        <v>284</v>
      </c>
      <c r="Q73" s="4">
        <v>36300</v>
      </c>
      <c r="R73" s="4">
        <v>3830</v>
      </c>
      <c r="S73" s="4">
        <v>9820</v>
      </c>
      <c r="T73" s="4">
        <v>325</v>
      </c>
      <c r="U73" s="4">
        <v>11100</v>
      </c>
      <c r="V73" s="4">
        <v>280</v>
      </c>
      <c r="W73" s="4">
        <v>1470</v>
      </c>
      <c r="X73" s="4">
        <v>87.9</v>
      </c>
      <c r="Y73" s="4">
        <v>2260</v>
      </c>
      <c r="Z73" s="4">
        <v>8750</v>
      </c>
      <c r="AA73" s="4">
        <v>39300</v>
      </c>
      <c r="AB73" s="4">
        <v>71500</v>
      </c>
      <c r="AC73" s="4">
        <v>206</v>
      </c>
      <c r="AD73" s="4">
        <v>2050</v>
      </c>
      <c r="AE73" s="4">
        <v>5470</v>
      </c>
      <c r="AF73" s="4">
        <v>3.05</v>
      </c>
      <c r="AG73" s="4" t="s">
        <v>199</v>
      </c>
      <c r="AH73" s="4">
        <v>30</v>
      </c>
      <c r="AI73" s="4">
        <v>191</v>
      </c>
    </row>
    <row r="74" spans="1:35" x14ac:dyDescent="0.25">
      <c r="A74" s="4"/>
      <c r="B74" s="5" t="s">
        <v>200</v>
      </c>
      <c r="C74" s="4" t="s">
        <v>59</v>
      </c>
      <c r="D74" s="4">
        <v>1</v>
      </c>
      <c r="E74" s="4"/>
      <c r="F74" s="4">
        <v>3</v>
      </c>
      <c r="G74" s="4">
        <v>773</v>
      </c>
      <c r="H74" s="4">
        <v>381</v>
      </c>
      <c r="I74" s="4">
        <v>27.1</v>
      </c>
      <c r="J74" s="4">
        <v>16.600000000000001</v>
      </c>
      <c r="K74" s="4">
        <v>7.03</v>
      </c>
      <c r="L74" s="4">
        <v>43.3</v>
      </c>
      <c r="M74" s="4">
        <v>49</v>
      </c>
      <c r="N74" s="4">
        <v>28</v>
      </c>
      <c r="O74" s="4">
        <v>760</v>
      </c>
      <c r="P74" s="4">
        <v>257</v>
      </c>
      <c r="Q74" s="4">
        <v>32900</v>
      </c>
      <c r="R74" s="4">
        <v>3430</v>
      </c>
      <c r="S74" s="4">
        <v>8880</v>
      </c>
      <c r="T74" s="4">
        <v>323</v>
      </c>
      <c r="U74" s="4">
        <v>9970</v>
      </c>
      <c r="V74" s="4">
        <v>250</v>
      </c>
      <c r="W74" s="4">
        <v>1310</v>
      </c>
      <c r="X74" s="4">
        <v>87.2</v>
      </c>
      <c r="Y74" s="4">
        <v>2020</v>
      </c>
      <c r="Z74" s="4">
        <v>6510</v>
      </c>
      <c r="AA74" s="4">
        <v>34800</v>
      </c>
      <c r="AB74" s="4">
        <v>71000</v>
      </c>
      <c r="AC74" s="4">
        <v>183</v>
      </c>
      <c r="AD74" s="4">
        <v>1840</v>
      </c>
      <c r="AE74" s="4">
        <v>4920</v>
      </c>
      <c r="AF74" s="4">
        <v>3.04</v>
      </c>
      <c r="AG74" s="4" t="s">
        <v>201</v>
      </c>
      <c r="AH74" s="4">
        <v>30</v>
      </c>
      <c r="AI74" s="4">
        <v>173</v>
      </c>
    </row>
    <row r="75" spans="1:35" x14ac:dyDescent="0.25">
      <c r="A75" s="4" t="s">
        <v>59</v>
      </c>
      <c r="B75" s="5" t="s">
        <v>202</v>
      </c>
      <c r="C75" s="4" t="s">
        <v>59</v>
      </c>
      <c r="D75" s="4">
        <v>1</v>
      </c>
      <c r="E75" s="4"/>
      <c r="F75" s="4">
        <v>3</v>
      </c>
      <c r="G75" s="4">
        <v>779</v>
      </c>
      <c r="H75" s="4">
        <v>266</v>
      </c>
      <c r="I75" s="4">
        <v>30</v>
      </c>
      <c r="J75" s="4">
        <v>16.5</v>
      </c>
      <c r="K75" s="4">
        <v>4.43</v>
      </c>
      <c r="L75" s="4">
        <v>43.6</v>
      </c>
      <c r="M75" s="4">
        <v>52</v>
      </c>
      <c r="N75" s="4">
        <v>29</v>
      </c>
      <c r="O75" s="4">
        <v>760</v>
      </c>
      <c r="P75" s="4">
        <v>220</v>
      </c>
      <c r="Q75" s="4">
        <v>28100</v>
      </c>
      <c r="R75" s="4">
        <v>2780</v>
      </c>
      <c r="S75" s="4">
        <v>7140</v>
      </c>
      <c r="T75" s="4">
        <v>315</v>
      </c>
      <c r="U75" s="4">
        <v>8190</v>
      </c>
      <c r="V75" s="4">
        <v>94.4</v>
      </c>
      <c r="W75" s="4">
        <v>710</v>
      </c>
      <c r="X75" s="4">
        <v>58</v>
      </c>
      <c r="Y75" s="4">
        <v>1110</v>
      </c>
      <c r="Z75" s="4">
        <v>6050</v>
      </c>
      <c r="AA75" s="4">
        <v>13200</v>
      </c>
      <c r="AB75" s="4">
        <v>49800</v>
      </c>
      <c r="AC75" s="4">
        <v>99.4</v>
      </c>
      <c r="AD75" s="4">
        <v>1400</v>
      </c>
      <c r="AE75" s="4">
        <v>4050</v>
      </c>
      <c r="AF75" s="4">
        <v>2.59</v>
      </c>
      <c r="AG75" s="4" t="s">
        <v>203</v>
      </c>
      <c r="AH75" s="4">
        <v>30</v>
      </c>
      <c r="AI75" s="4">
        <v>148</v>
      </c>
    </row>
    <row r="76" spans="1:35" x14ac:dyDescent="0.25">
      <c r="A76" s="4"/>
      <c r="B76" s="5" t="s">
        <v>204</v>
      </c>
      <c r="C76" s="4" t="s">
        <v>59</v>
      </c>
      <c r="D76" s="4">
        <v>1</v>
      </c>
      <c r="E76" s="4"/>
      <c r="F76" s="4">
        <v>3</v>
      </c>
      <c r="G76" s="4">
        <v>770</v>
      </c>
      <c r="H76" s="4">
        <v>268</v>
      </c>
      <c r="I76" s="4">
        <v>25.4</v>
      </c>
      <c r="J76" s="4">
        <v>15.6</v>
      </c>
      <c r="K76" s="4">
        <v>5.28</v>
      </c>
      <c r="L76" s="4">
        <v>46.1</v>
      </c>
      <c r="M76" s="4">
        <v>47</v>
      </c>
      <c r="N76" s="4">
        <v>28</v>
      </c>
      <c r="O76" s="4">
        <v>760</v>
      </c>
      <c r="P76" s="4">
        <v>196</v>
      </c>
      <c r="Q76" s="4">
        <v>25100</v>
      </c>
      <c r="R76" s="4">
        <v>2400</v>
      </c>
      <c r="S76" s="4">
        <v>6240</v>
      </c>
      <c r="T76" s="4">
        <v>309</v>
      </c>
      <c r="U76" s="4">
        <v>7170</v>
      </c>
      <c r="V76" s="4">
        <v>81.7</v>
      </c>
      <c r="W76" s="4">
        <v>610</v>
      </c>
      <c r="X76" s="4">
        <v>57.1</v>
      </c>
      <c r="Y76" s="4">
        <v>959</v>
      </c>
      <c r="Z76" s="4">
        <v>4040</v>
      </c>
      <c r="AA76" s="4">
        <v>11300</v>
      </c>
      <c r="AB76" s="4">
        <v>49900</v>
      </c>
      <c r="AC76" s="4">
        <v>84.9</v>
      </c>
      <c r="AD76" s="4">
        <v>1190</v>
      </c>
      <c r="AE76" s="4">
        <v>3540</v>
      </c>
      <c r="AF76" s="4">
        <v>2.58</v>
      </c>
      <c r="AG76" s="4" t="s">
        <v>205</v>
      </c>
      <c r="AH76" s="4">
        <v>30</v>
      </c>
      <c r="AI76" s="4">
        <v>132</v>
      </c>
    </row>
    <row r="77" spans="1:35" x14ac:dyDescent="0.25">
      <c r="A77" s="4"/>
      <c r="B77" s="5" t="s">
        <v>206</v>
      </c>
      <c r="C77" s="4" t="s">
        <v>59</v>
      </c>
      <c r="D77" s="4">
        <v>1</v>
      </c>
      <c r="E77" s="4"/>
      <c r="F77" s="4">
        <v>3</v>
      </c>
      <c r="G77" s="4">
        <v>766</v>
      </c>
      <c r="H77" s="4">
        <v>267</v>
      </c>
      <c r="I77" s="4">
        <v>23.6</v>
      </c>
      <c r="J77" s="4">
        <v>14.9</v>
      </c>
      <c r="K77" s="4">
        <v>5.66</v>
      </c>
      <c r="L77" s="4">
        <v>48.2</v>
      </c>
      <c r="M77" s="4">
        <v>45</v>
      </c>
      <c r="N77" s="4">
        <v>28</v>
      </c>
      <c r="O77" s="4">
        <v>760</v>
      </c>
      <c r="P77" s="4">
        <v>185</v>
      </c>
      <c r="Q77" s="4">
        <v>23500</v>
      </c>
      <c r="R77" s="4">
        <v>2230</v>
      </c>
      <c r="S77" s="4">
        <v>5820</v>
      </c>
      <c r="T77" s="4">
        <v>308</v>
      </c>
      <c r="U77" s="4">
        <v>6690</v>
      </c>
      <c r="V77" s="4">
        <v>75.099999999999994</v>
      </c>
      <c r="W77" s="4">
        <v>563</v>
      </c>
      <c r="X77" s="4">
        <v>56.5</v>
      </c>
      <c r="Y77" s="4">
        <v>884</v>
      </c>
      <c r="Z77" s="4">
        <v>3330</v>
      </c>
      <c r="AA77" s="4">
        <v>10300</v>
      </c>
      <c r="AB77" s="4">
        <v>49600</v>
      </c>
      <c r="AC77" s="4">
        <v>78.099999999999994</v>
      </c>
      <c r="AD77" s="4">
        <v>1100</v>
      </c>
      <c r="AE77" s="4">
        <v>3300</v>
      </c>
      <c r="AF77" s="4">
        <v>2.57</v>
      </c>
      <c r="AG77" s="4" t="s">
        <v>207</v>
      </c>
      <c r="AH77" s="4">
        <v>30</v>
      </c>
      <c r="AI77" s="4">
        <v>124</v>
      </c>
    </row>
    <row r="78" spans="1:35" x14ac:dyDescent="0.25">
      <c r="A78" s="4"/>
      <c r="B78" s="5" t="s">
        <v>208</v>
      </c>
      <c r="C78" s="4" t="s">
        <v>59</v>
      </c>
      <c r="D78" s="4">
        <v>1</v>
      </c>
      <c r="E78" s="4"/>
      <c r="F78" s="4">
        <v>3</v>
      </c>
      <c r="G78" s="4">
        <v>762</v>
      </c>
      <c r="H78" s="4">
        <v>267</v>
      </c>
      <c r="I78" s="4">
        <v>21.6</v>
      </c>
      <c r="J78" s="4">
        <v>14.4</v>
      </c>
      <c r="K78" s="4">
        <v>6.18</v>
      </c>
      <c r="L78" s="4">
        <v>49.9</v>
      </c>
      <c r="M78" s="4">
        <v>43</v>
      </c>
      <c r="N78" s="4">
        <v>28</v>
      </c>
      <c r="O78" s="4">
        <v>760</v>
      </c>
      <c r="P78" s="4">
        <v>173</v>
      </c>
      <c r="Q78" s="4">
        <v>22100</v>
      </c>
      <c r="R78" s="4">
        <v>2060</v>
      </c>
      <c r="S78" s="4">
        <v>5400</v>
      </c>
      <c r="T78" s="4">
        <v>305</v>
      </c>
      <c r="U78" s="4">
        <v>6210</v>
      </c>
      <c r="V78" s="4">
        <v>68.7</v>
      </c>
      <c r="W78" s="4">
        <v>515</v>
      </c>
      <c r="X78" s="4">
        <v>55.7</v>
      </c>
      <c r="Y78" s="4">
        <v>810</v>
      </c>
      <c r="Z78" s="4">
        <v>2690</v>
      </c>
      <c r="AA78" s="4">
        <v>9420</v>
      </c>
      <c r="AB78" s="4">
        <v>49400</v>
      </c>
      <c r="AC78" s="4">
        <v>71.3</v>
      </c>
      <c r="AD78" s="4">
        <v>1010</v>
      </c>
      <c r="AE78" s="4">
        <v>3070</v>
      </c>
      <c r="AF78" s="4">
        <v>2.56</v>
      </c>
      <c r="AG78" s="4" t="s">
        <v>209</v>
      </c>
      <c r="AH78" s="4">
        <v>30</v>
      </c>
      <c r="AI78" s="4">
        <v>116</v>
      </c>
    </row>
    <row r="79" spans="1:35" x14ac:dyDescent="0.25">
      <c r="A79" s="4"/>
      <c r="B79" s="5" t="s">
        <v>210</v>
      </c>
      <c r="C79" s="4" t="s">
        <v>59</v>
      </c>
      <c r="D79" s="4">
        <v>1</v>
      </c>
      <c r="E79" s="4"/>
      <c r="F79" s="4">
        <v>3</v>
      </c>
      <c r="G79" s="4">
        <v>758</v>
      </c>
      <c r="H79" s="4">
        <v>266</v>
      </c>
      <c r="I79" s="4">
        <v>19.3</v>
      </c>
      <c r="J79" s="4">
        <v>13.8</v>
      </c>
      <c r="K79" s="4">
        <v>6.89</v>
      </c>
      <c r="L79" s="4">
        <v>52.1</v>
      </c>
      <c r="M79" s="4">
        <v>41</v>
      </c>
      <c r="N79" s="4">
        <v>27</v>
      </c>
      <c r="O79" s="4">
        <v>760</v>
      </c>
      <c r="P79" s="4">
        <v>161</v>
      </c>
      <c r="Q79" s="4">
        <v>20400</v>
      </c>
      <c r="R79" s="4">
        <v>1860</v>
      </c>
      <c r="S79" s="4">
        <v>4900</v>
      </c>
      <c r="T79" s="4">
        <v>302</v>
      </c>
      <c r="U79" s="4">
        <v>5660</v>
      </c>
      <c r="V79" s="4">
        <v>60.7</v>
      </c>
      <c r="W79" s="4">
        <v>457</v>
      </c>
      <c r="X79" s="4">
        <v>54.5</v>
      </c>
      <c r="Y79" s="4">
        <v>720</v>
      </c>
      <c r="Z79" s="4">
        <v>2070</v>
      </c>
      <c r="AA79" s="4">
        <v>8280</v>
      </c>
      <c r="AB79" s="4">
        <v>49100</v>
      </c>
      <c r="AC79" s="4">
        <v>63</v>
      </c>
      <c r="AD79" s="4">
        <v>899</v>
      </c>
      <c r="AE79" s="4">
        <v>2790</v>
      </c>
      <c r="AF79" s="4">
        <v>2.5499999999999998</v>
      </c>
      <c r="AG79" s="4" t="s">
        <v>211</v>
      </c>
      <c r="AH79" s="4">
        <v>30</v>
      </c>
      <c r="AI79" s="4">
        <v>108</v>
      </c>
    </row>
    <row r="80" spans="1:35" x14ac:dyDescent="0.25">
      <c r="A80" s="4"/>
      <c r="B80" s="5" t="s">
        <v>212</v>
      </c>
      <c r="C80" s="4" t="s">
        <v>59</v>
      </c>
      <c r="D80" s="4">
        <v>1</v>
      </c>
      <c r="E80" s="4"/>
      <c r="F80" s="4">
        <v>3</v>
      </c>
      <c r="G80" s="4">
        <v>753</v>
      </c>
      <c r="H80" s="4">
        <v>265</v>
      </c>
      <c r="I80" s="4">
        <v>17</v>
      </c>
      <c r="J80" s="4">
        <v>13.2</v>
      </c>
      <c r="K80" s="4">
        <v>7.79</v>
      </c>
      <c r="L80" s="4">
        <v>54.5</v>
      </c>
      <c r="M80" s="4">
        <v>39</v>
      </c>
      <c r="N80" s="4">
        <v>27</v>
      </c>
      <c r="O80" s="4">
        <v>760</v>
      </c>
      <c r="P80" s="4">
        <v>147</v>
      </c>
      <c r="Q80" s="4">
        <v>18700</v>
      </c>
      <c r="R80" s="4">
        <v>1660</v>
      </c>
      <c r="S80" s="4">
        <v>4410</v>
      </c>
      <c r="T80" s="4">
        <v>298</v>
      </c>
      <c r="U80" s="4">
        <v>5100</v>
      </c>
      <c r="V80" s="4">
        <v>52.9</v>
      </c>
      <c r="W80" s="4">
        <v>399</v>
      </c>
      <c r="X80" s="4">
        <v>53.1</v>
      </c>
      <c r="Y80" s="4">
        <v>631</v>
      </c>
      <c r="Z80" s="4">
        <v>1560</v>
      </c>
      <c r="AA80" s="4">
        <v>7160</v>
      </c>
      <c r="AB80" s="4">
        <v>48800</v>
      </c>
      <c r="AC80" s="4">
        <v>54.9</v>
      </c>
      <c r="AD80" s="4">
        <v>788</v>
      </c>
      <c r="AE80" s="4">
        <v>2510</v>
      </c>
      <c r="AF80" s="4">
        <v>2.54</v>
      </c>
      <c r="AG80" s="4" t="s">
        <v>213</v>
      </c>
      <c r="AH80" s="4">
        <v>30</v>
      </c>
      <c r="AI80" s="4">
        <v>99</v>
      </c>
    </row>
    <row r="81" spans="1:35" x14ac:dyDescent="0.25">
      <c r="A81" s="4"/>
      <c r="B81" s="5" t="s">
        <v>214</v>
      </c>
      <c r="C81" s="4" t="s">
        <v>59</v>
      </c>
      <c r="D81" s="4">
        <v>1</v>
      </c>
      <c r="E81" s="4"/>
      <c r="F81" s="4">
        <v>3</v>
      </c>
      <c r="G81" s="4">
        <v>750</v>
      </c>
      <c r="H81" s="4">
        <v>264</v>
      </c>
      <c r="I81" s="4">
        <v>15.5</v>
      </c>
      <c r="J81" s="4">
        <v>11.9</v>
      </c>
      <c r="K81" s="4">
        <v>8.52</v>
      </c>
      <c r="L81" s="4">
        <v>60.4</v>
      </c>
      <c r="M81" s="4">
        <v>37</v>
      </c>
      <c r="N81" s="4">
        <v>26</v>
      </c>
      <c r="O81" s="4">
        <v>760</v>
      </c>
      <c r="P81" s="4">
        <v>134</v>
      </c>
      <c r="Q81" s="4">
        <v>17000</v>
      </c>
      <c r="R81" s="4">
        <v>1500</v>
      </c>
      <c r="S81" s="4">
        <v>4010</v>
      </c>
      <c r="T81" s="4">
        <v>297</v>
      </c>
      <c r="U81" s="4">
        <v>4630</v>
      </c>
      <c r="V81" s="4">
        <v>47.7</v>
      </c>
      <c r="W81" s="4">
        <v>361</v>
      </c>
      <c r="X81" s="4">
        <v>53</v>
      </c>
      <c r="Y81" s="4">
        <v>568</v>
      </c>
      <c r="Z81" s="4">
        <v>1180</v>
      </c>
      <c r="AA81" s="4">
        <v>6430</v>
      </c>
      <c r="AB81" s="4">
        <v>48500</v>
      </c>
      <c r="AC81" s="4">
        <v>49.6</v>
      </c>
      <c r="AD81" s="4">
        <v>718</v>
      </c>
      <c r="AE81" s="4">
        <v>2270</v>
      </c>
      <c r="AF81" s="4">
        <v>2.5299999999999998</v>
      </c>
      <c r="AG81" s="4" t="s">
        <v>215</v>
      </c>
      <c r="AH81" s="4">
        <v>30</v>
      </c>
      <c r="AI81" s="4">
        <v>90</v>
      </c>
    </row>
    <row r="82" spans="1:35" x14ac:dyDescent="0.25">
      <c r="A82" s="4" t="s">
        <v>59</v>
      </c>
      <c r="B82" s="5" t="s">
        <v>216</v>
      </c>
      <c r="C82" s="4" t="s">
        <v>59</v>
      </c>
      <c r="D82" s="4">
        <v>1</v>
      </c>
      <c r="E82" s="4"/>
      <c r="F82" s="4">
        <v>3</v>
      </c>
      <c r="G82" s="4">
        <v>826</v>
      </c>
      <c r="H82" s="4">
        <v>387</v>
      </c>
      <c r="I82" s="4">
        <v>89.9</v>
      </c>
      <c r="J82" s="4">
        <v>50</v>
      </c>
      <c r="K82" s="4">
        <v>2.15</v>
      </c>
      <c r="L82" s="4">
        <v>12.9</v>
      </c>
      <c r="M82" s="4">
        <v>112</v>
      </c>
      <c r="N82" s="4">
        <v>45</v>
      </c>
      <c r="O82" s="4">
        <v>690</v>
      </c>
      <c r="P82" s="4">
        <v>802</v>
      </c>
      <c r="Q82" s="4">
        <v>102000</v>
      </c>
      <c r="R82" s="4">
        <v>10600</v>
      </c>
      <c r="S82" s="4">
        <v>25700</v>
      </c>
      <c r="T82" s="4">
        <v>322</v>
      </c>
      <c r="U82" s="4">
        <v>30900</v>
      </c>
      <c r="V82" s="4">
        <v>875</v>
      </c>
      <c r="W82" s="4">
        <v>4520</v>
      </c>
      <c r="X82" s="4">
        <v>92.5</v>
      </c>
      <c r="Y82" s="4">
        <v>7150</v>
      </c>
      <c r="Z82" s="4">
        <v>206000</v>
      </c>
      <c r="AA82" s="4">
        <v>119000</v>
      </c>
      <c r="AB82" s="4">
        <v>71200</v>
      </c>
      <c r="AC82" s="4">
        <v>619</v>
      </c>
      <c r="AD82" s="4">
        <v>5580</v>
      </c>
      <c r="AE82" s="4">
        <v>15400</v>
      </c>
      <c r="AF82" s="4">
        <v>3.1</v>
      </c>
      <c r="AG82" s="4" t="s">
        <v>217</v>
      </c>
      <c r="AH82" s="4">
        <v>27</v>
      </c>
      <c r="AI82" s="4">
        <v>539</v>
      </c>
    </row>
    <row r="83" spans="1:35" x14ac:dyDescent="0.25">
      <c r="A83" s="4"/>
      <c r="B83" s="5" t="s">
        <v>218</v>
      </c>
      <c r="C83" s="4" t="s">
        <v>59</v>
      </c>
      <c r="D83" s="4">
        <v>1</v>
      </c>
      <c r="E83" s="4"/>
      <c r="F83" s="4">
        <v>3</v>
      </c>
      <c r="G83" s="4">
        <v>772</v>
      </c>
      <c r="H83" s="4">
        <v>372</v>
      </c>
      <c r="I83" s="4">
        <v>63</v>
      </c>
      <c r="J83" s="4">
        <v>35.1</v>
      </c>
      <c r="K83" s="4">
        <v>2.95</v>
      </c>
      <c r="L83" s="4">
        <v>18.399999999999999</v>
      </c>
      <c r="M83" s="4">
        <v>85</v>
      </c>
      <c r="N83" s="4">
        <v>38</v>
      </c>
      <c r="O83" s="4">
        <v>690</v>
      </c>
      <c r="P83" s="4">
        <v>548</v>
      </c>
      <c r="Q83" s="4">
        <v>69900</v>
      </c>
      <c r="R83" s="4">
        <v>6730</v>
      </c>
      <c r="S83" s="4">
        <v>17400</v>
      </c>
      <c r="T83" s="4">
        <v>310</v>
      </c>
      <c r="U83" s="4">
        <v>20400</v>
      </c>
      <c r="V83" s="4">
        <v>543</v>
      </c>
      <c r="W83" s="4">
        <v>2920</v>
      </c>
      <c r="X83" s="4">
        <v>88.1</v>
      </c>
      <c r="Y83" s="4">
        <v>4570</v>
      </c>
      <c r="Z83" s="4">
        <v>70700</v>
      </c>
      <c r="AA83" s="4">
        <v>68200</v>
      </c>
      <c r="AB83" s="4">
        <v>65900</v>
      </c>
      <c r="AC83" s="4">
        <v>386</v>
      </c>
      <c r="AD83" s="4">
        <v>3760</v>
      </c>
      <c r="AE83" s="4">
        <v>10100</v>
      </c>
      <c r="AF83" s="4">
        <v>2.96</v>
      </c>
      <c r="AG83" s="4" t="s">
        <v>219</v>
      </c>
      <c r="AH83" s="4">
        <v>27</v>
      </c>
      <c r="AI83" s="4">
        <v>368</v>
      </c>
    </row>
    <row r="84" spans="1:35" x14ac:dyDescent="0.25">
      <c r="A84" s="4"/>
      <c r="B84" s="5" t="s">
        <v>220</v>
      </c>
      <c r="C84" s="4" t="s">
        <v>59</v>
      </c>
      <c r="D84" s="4">
        <v>1</v>
      </c>
      <c r="E84" s="4"/>
      <c r="F84" s="4">
        <v>3</v>
      </c>
      <c r="G84" s="4">
        <v>762</v>
      </c>
      <c r="H84" s="4">
        <v>369</v>
      </c>
      <c r="I84" s="4">
        <v>57.9</v>
      </c>
      <c r="J84" s="4">
        <v>32</v>
      </c>
      <c r="K84" s="4">
        <v>3.19</v>
      </c>
      <c r="L84" s="4">
        <v>20.2</v>
      </c>
      <c r="M84" s="4">
        <v>80</v>
      </c>
      <c r="N84" s="4">
        <v>36</v>
      </c>
      <c r="O84" s="4">
        <v>690</v>
      </c>
      <c r="P84" s="4">
        <v>500</v>
      </c>
      <c r="Q84" s="4">
        <v>63800</v>
      </c>
      <c r="R84" s="4">
        <v>6060</v>
      </c>
      <c r="S84" s="4">
        <v>15900</v>
      </c>
      <c r="T84" s="4">
        <v>308</v>
      </c>
      <c r="U84" s="4">
        <v>18500</v>
      </c>
      <c r="V84" s="4">
        <v>487</v>
      </c>
      <c r="W84" s="4">
        <v>2640</v>
      </c>
      <c r="X84" s="4">
        <v>87.4</v>
      </c>
      <c r="Y84" s="4">
        <v>4110</v>
      </c>
      <c r="Z84" s="4">
        <v>54600</v>
      </c>
      <c r="AA84" s="4">
        <v>60300</v>
      </c>
      <c r="AB84" s="4">
        <v>65000</v>
      </c>
      <c r="AC84" s="4">
        <v>347</v>
      </c>
      <c r="AD84" s="4">
        <v>3430</v>
      </c>
      <c r="AE84" s="4">
        <v>9190</v>
      </c>
      <c r="AF84" s="4">
        <v>2.94</v>
      </c>
      <c r="AG84" s="4" t="s">
        <v>221</v>
      </c>
      <c r="AH84" s="4">
        <v>27</v>
      </c>
      <c r="AI84" s="4">
        <v>336</v>
      </c>
    </row>
    <row r="85" spans="1:35" x14ac:dyDescent="0.25">
      <c r="A85" s="4"/>
      <c r="B85" s="5" t="s">
        <v>222</v>
      </c>
      <c r="C85" s="4" t="s">
        <v>59</v>
      </c>
      <c r="D85" s="4">
        <v>1</v>
      </c>
      <c r="E85" s="4"/>
      <c r="F85" s="4">
        <v>3</v>
      </c>
      <c r="G85" s="4">
        <v>752</v>
      </c>
      <c r="H85" s="4">
        <v>367</v>
      </c>
      <c r="I85" s="4">
        <v>53.1</v>
      </c>
      <c r="J85" s="4">
        <v>29.5</v>
      </c>
      <c r="K85" s="4">
        <v>3.46</v>
      </c>
      <c r="L85" s="4">
        <v>21.9</v>
      </c>
      <c r="M85" s="4">
        <v>75</v>
      </c>
      <c r="N85" s="4">
        <v>35</v>
      </c>
      <c r="O85" s="4">
        <v>690</v>
      </c>
      <c r="P85" s="4">
        <v>457</v>
      </c>
      <c r="Q85" s="4">
        <v>58400</v>
      </c>
      <c r="R85" s="4">
        <v>5470</v>
      </c>
      <c r="S85" s="4">
        <v>14500</v>
      </c>
      <c r="T85" s="4">
        <v>306</v>
      </c>
      <c r="U85" s="4">
        <v>16800</v>
      </c>
      <c r="V85" s="4">
        <v>439</v>
      </c>
      <c r="W85" s="4">
        <v>2390</v>
      </c>
      <c r="X85" s="4">
        <v>86.7</v>
      </c>
      <c r="Y85" s="4">
        <v>3720</v>
      </c>
      <c r="Z85" s="4">
        <v>42300</v>
      </c>
      <c r="AA85" s="4">
        <v>53600</v>
      </c>
      <c r="AB85" s="4">
        <v>64100</v>
      </c>
      <c r="AC85" s="4">
        <v>312</v>
      </c>
      <c r="AD85" s="4">
        <v>3130</v>
      </c>
      <c r="AE85" s="4">
        <v>8350</v>
      </c>
      <c r="AF85" s="4">
        <v>2.91</v>
      </c>
      <c r="AG85" s="4" t="s">
        <v>223</v>
      </c>
      <c r="AH85" s="4">
        <v>27</v>
      </c>
      <c r="AI85" s="4">
        <v>307</v>
      </c>
    </row>
    <row r="86" spans="1:35" x14ac:dyDescent="0.25">
      <c r="A86" s="4"/>
      <c r="B86" s="5" t="s">
        <v>224</v>
      </c>
      <c r="C86" s="4" t="s">
        <v>59</v>
      </c>
      <c r="D86" s="4">
        <v>1</v>
      </c>
      <c r="E86" s="4"/>
      <c r="F86" s="4">
        <v>3</v>
      </c>
      <c r="G86" s="4">
        <v>744</v>
      </c>
      <c r="H86" s="4">
        <v>364</v>
      </c>
      <c r="I86" s="4">
        <v>49</v>
      </c>
      <c r="J86" s="4">
        <v>26.9</v>
      </c>
      <c r="K86" s="4">
        <v>3.71</v>
      </c>
      <c r="L86" s="4">
        <v>24</v>
      </c>
      <c r="M86" s="4">
        <v>71</v>
      </c>
      <c r="N86" s="4">
        <v>34</v>
      </c>
      <c r="O86" s="4">
        <v>690</v>
      </c>
      <c r="P86" s="4">
        <v>419</v>
      </c>
      <c r="Q86" s="4">
        <v>53400</v>
      </c>
      <c r="R86" s="4">
        <v>4950</v>
      </c>
      <c r="S86" s="4">
        <v>13300</v>
      </c>
      <c r="T86" s="4">
        <v>305</v>
      </c>
      <c r="U86" s="4">
        <v>15300</v>
      </c>
      <c r="V86" s="4">
        <v>395</v>
      </c>
      <c r="W86" s="4">
        <v>2170</v>
      </c>
      <c r="X86" s="4">
        <v>86</v>
      </c>
      <c r="Y86" s="4">
        <v>3370</v>
      </c>
      <c r="Z86" s="4">
        <v>33000</v>
      </c>
      <c r="AA86" s="4">
        <v>47700</v>
      </c>
      <c r="AB86" s="4">
        <v>63200</v>
      </c>
      <c r="AC86" s="4">
        <v>282</v>
      </c>
      <c r="AD86" s="4">
        <v>2870</v>
      </c>
      <c r="AE86" s="4">
        <v>7600</v>
      </c>
      <c r="AF86" s="4">
        <v>2.89</v>
      </c>
      <c r="AG86" s="4" t="s">
        <v>225</v>
      </c>
      <c r="AH86" s="4">
        <v>27</v>
      </c>
      <c r="AI86" s="4">
        <v>281</v>
      </c>
    </row>
    <row r="87" spans="1:35" x14ac:dyDescent="0.25">
      <c r="A87" s="4"/>
      <c r="B87" s="5" t="s">
        <v>226</v>
      </c>
      <c r="C87" s="4" t="s">
        <v>59</v>
      </c>
      <c r="D87" s="4">
        <v>1</v>
      </c>
      <c r="E87" s="4"/>
      <c r="F87" s="4">
        <v>3</v>
      </c>
      <c r="G87" s="4">
        <v>736</v>
      </c>
      <c r="H87" s="4">
        <v>362</v>
      </c>
      <c r="I87" s="4">
        <v>45</v>
      </c>
      <c r="J87" s="4">
        <v>24.9</v>
      </c>
      <c r="K87" s="4">
        <v>4.0199999999999996</v>
      </c>
      <c r="L87" s="4">
        <v>25.9</v>
      </c>
      <c r="M87" s="4">
        <v>67</v>
      </c>
      <c r="N87" s="4">
        <v>33</v>
      </c>
      <c r="O87" s="4">
        <v>690</v>
      </c>
      <c r="P87" s="4">
        <v>384</v>
      </c>
      <c r="Q87" s="4">
        <v>49000</v>
      </c>
      <c r="R87" s="4">
        <v>4490</v>
      </c>
      <c r="S87" s="4">
        <v>12200</v>
      </c>
      <c r="T87" s="4">
        <v>303</v>
      </c>
      <c r="U87" s="4">
        <v>14000</v>
      </c>
      <c r="V87" s="4">
        <v>357</v>
      </c>
      <c r="W87" s="4">
        <v>1970</v>
      </c>
      <c r="X87" s="4">
        <v>85.3</v>
      </c>
      <c r="Y87" s="4">
        <v>3050</v>
      </c>
      <c r="Z87" s="4">
        <v>25700</v>
      </c>
      <c r="AA87" s="4">
        <v>42600</v>
      </c>
      <c r="AB87" s="4">
        <v>62500</v>
      </c>
      <c r="AC87" s="4">
        <v>255</v>
      </c>
      <c r="AD87" s="4">
        <v>2620</v>
      </c>
      <c r="AE87" s="4">
        <v>6930</v>
      </c>
      <c r="AF87" s="4">
        <v>2.87</v>
      </c>
      <c r="AG87" s="4" t="s">
        <v>227</v>
      </c>
      <c r="AH87" s="4">
        <v>27</v>
      </c>
      <c r="AI87" s="4">
        <v>258</v>
      </c>
    </row>
    <row r="88" spans="1:35" x14ac:dyDescent="0.25">
      <c r="A88" s="4"/>
      <c r="B88" s="5" t="s">
        <v>228</v>
      </c>
      <c r="C88" s="4" t="s">
        <v>59</v>
      </c>
      <c r="D88" s="4">
        <v>1</v>
      </c>
      <c r="E88" s="4"/>
      <c r="F88" s="4">
        <v>3</v>
      </c>
      <c r="G88" s="4">
        <v>728</v>
      </c>
      <c r="H88" s="4">
        <v>360</v>
      </c>
      <c r="I88" s="4">
        <v>40.9</v>
      </c>
      <c r="J88" s="4">
        <v>23.1</v>
      </c>
      <c r="K88" s="4">
        <v>4.4000000000000004</v>
      </c>
      <c r="L88" s="4">
        <v>28</v>
      </c>
      <c r="M88" s="4">
        <v>63</v>
      </c>
      <c r="N88" s="4">
        <v>32</v>
      </c>
      <c r="O88" s="4">
        <v>690</v>
      </c>
      <c r="P88" s="4">
        <v>350</v>
      </c>
      <c r="Q88" s="4">
        <v>44700</v>
      </c>
      <c r="R88" s="4">
        <v>4030</v>
      </c>
      <c r="S88" s="4">
        <v>11100</v>
      </c>
      <c r="T88" s="4">
        <v>300</v>
      </c>
      <c r="U88" s="4">
        <v>12600</v>
      </c>
      <c r="V88" s="4">
        <v>319</v>
      </c>
      <c r="W88" s="4">
        <v>1770</v>
      </c>
      <c r="X88" s="4">
        <v>84.4</v>
      </c>
      <c r="Y88" s="4">
        <v>2740</v>
      </c>
      <c r="Z88" s="4">
        <v>19500</v>
      </c>
      <c r="AA88" s="4">
        <v>37600</v>
      </c>
      <c r="AB88" s="4">
        <v>61800</v>
      </c>
      <c r="AC88" s="4">
        <v>228</v>
      </c>
      <c r="AD88" s="4">
        <v>2370</v>
      </c>
      <c r="AE88" s="4">
        <v>6260</v>
      </c>
      <c r="AF88" s="4">
        <v>2.85</v>
      </c>
      <c r="AG88" s="4" t="s">
        <v>229</v>
      </c>
      <c r="AH88" s="4">
        <v>27</v>
      </c>
      <c r="AI88" s="4">
        <v>235</v>
      </c>
    </row>
    <row r="89" spans="1:35" x14ac:dyDescent="0.25">
      <c r="A89" s="4"/>
      <c r="B89" s="5" t="s">
        <v>230</v>
      </c>
      <c r="C89" s="4" t="s">
        <v>59</v>
      </c>
      <c r="D89" s="4">
        <v>1</v>
      </c>
      <c r="E89" s="4"/>
      <c r="F89" s="4">
        <v>3</v>
      </c>
      <c r="G89" s="4">
        <v>722</v>
      </c>
      <c r="H89" s="4">
        <v>359</v>
      </c>
      <c r="I89" s="4">
        <v>38.1</v>
      </c>
      <c r="J89" s="4">
        <v>21.1</v>
      </c>
      <c r="K89" s="4">
        <v>4.71</v>
      </c>
      <c r="L89" s="4">
        <v>30.6</v>
      </c>
      <c r="M89" s="4">
        <v>60</v>
      </c>
      <c r="N89" s="4">
        <v>31</v>
      </c>
      <c r="O89" s="4">
        <v>690</v>
      </c>
      <c r="P89" s="4">
        <v>323</v>
      </c>
      <c r="Q89" s="4">
        <v>41300</v>
      </c>
      <c r="R89" s="4">
        <v>3710</v>
      </c>
      <c r="S89" s="4">
        <v>10300</v>
      </c>
      <c r="T89" s="4">
        <v>300</v>
      </c>
      <c r="U89" s="4">
        <v>11700</v>
      </c>
      <c r="V89" s="4">
        <v>294</v>
      </c>
      <c r="W89" s="4">
        <v>1640</v>
      </c>
      <c r="X89" s="4">
        <v>84.4</v>
      </c>
      <c r="Y89" s="4">
        <v>2530</v>
      </c>
      <c r="Z89" s="4">
        <v>15700</v>
      </c>
      <c r="AA89" s="4">
        <v>34400</v>
      </c>
      <c r="AB89" s="4">
        <v>61400</v>
      </c>
      <c r="AC89" s="4">
        <v>210</v>
      </c>
      <c r="AD89" s="4">
        <v>2200</v>
      </c>
      <c r="AE89" s="4">
        <v>5780</v>
      </c>
      <c r="AF89" s="4">
        <v>2.84</v>
      </c>
      <c r="AG89" s="4" t="s">
        <v>231</v>
      </c>
      <c r="AH89" s="4">
        <v>27</v>
      </c>
      <c r="AI89" s="4">
        <v>217</v>
      </c>
    </row>
    <row r="90" spans="1:35" x14ac:dyDescent="0.25">
      <c r="A90" s="4"/>
      <c r="B90" s="5" t="s">
        <v>232</v>
      </c>
      <c r="C90" s="4" t="s">
        <v>59</v>
      </c>
      <c r="D90" s="4">
        <v>1</v>
      </c>
      <c r="E90" s="4"/>
      <c r="F90" s="4">
        <v>3</v>
      </c>
      <c r="G90" s="4">
        <v>714</v>
      </c>
      <c r="H90" s="4">
        <v>356</v>
      </c>
      <c r="I90" s="4">
        <v>34</v>
      </c>
      <c r="J90" s="4">
        <v>19</v>
      </c>
      <c r="K90" s="4">
        <v>5.24</v>
      </c>
      <c r="L90" s="4">
        <v>34</v>
      </c>
      <c r="M90" s="4">
        <v>56</v>
      </c>
      <c r="N90" s="4">
        <v>30</v>
      </c>
      <c r="O90" s="4">
        <v>690</v>
      </c>
      <c r="P90" s="4">
        <v>289</v>
      </c>
      <c r="Q90" s="4">
        <v>36800</v>
      </c>
      <c r="R90" s="4">
        <v>3260</v>
      </c>
      <c r="S90" s="4">
        <v>9140</v>
      </c>
      <c r="T90" s="4">
        <v>298</v>
      </c>
      <c r="U90" s="4">
        <v>10300</v>
      </c>
      <c r="V90" s="4">
        <v>256</v>
      </c>
      <c r="W90" s="4">
        <v>1440</v>
      </c>
      <c r="X90" s="4">
        <v>83.4</v>
      </c>
      <c r="Y90" s="4">
        <v>2220</v>
      </c>
      <c r="Z90" s="4">
        <v>11200</v>
      </c>
      <c r="AA90" s="4">
        <v>29600</v>
      </c>
      <c r="AB90" s="4">
        <v>60500</v>
      </c>
      <c r="AC90" s="4">
        <v>183</v>
      </c>
      <c r="AD90" s="4">
        <v>1950</v>
      </c>
      <c r="AE90" s="4">
        <v>5110</v>
      </c>
      <c r="AF90" s="4">
        <v>2.81</v>
      </c>
      <c r="AG90" s="4" t="s">
        <v>233</v>
      </c>
      <c r="AH90" s="4">
        <v>27</v>
      </c>
      <c r="AI90" s="4">
        <v>194</v>
      </c>
    </row>
    <row r="91" spans="1:35" x14ac:dyDescent="0.25">
      <c r="A91" s="4"/>
      <c r="B91" s="5" t="s">
        <v>234</v>
      </c>
      <c r="C91" s="4" t="s">
        <v>59</v>
      </c>
      <c r="D91" s="4">
        <v>1</v>
      </c>
      <c r="E91" s="4"/>
      <c r="F91" s="4">
        <v>3</v>
      </c>
      <c r="G91" s="4">
        <v>706</v>
      </c>
      <c r="H91" s="4">
        <v>358</v>
      </c>
      <c r="I91" s="4">
        <v>30.2</v>
      </c>
      <c r="J91" s="4">
        <v>18.399999999999999</v>
      </c>
      <c r="K91" s="4">
        <v>5.93</v>
      </c>
      <c r="L91" s="4">
        <v>35.1</v>
      </c>
      <c r="M91" s="4">
        <v>52</v>
      </c>
      <c r="N91" s="4">
        <v>30</v>
      </c>
      <c r="O91" s="4">
        <v>690</v>
      </c>
      <c r="P91" s="4">
        <v>265</v>
      </c>
      <c r="Q91" s="4">
        <v>33800</v>
      </c>
      <c r="R91" s="4">
        <v>2920</v>
      </c>
      <c r="S91" s="4">
        <v>8270</v>
      </c>
      <c r="T91" s="4">
        <v>294</v>
      </c>
      <c r="U91" s="4">
        <v>9330</v>
      </c>
      <c r="V91" s="4">
        <v>231</v>
      </c>
      <c r="W91" s="4">
        <v>1290</v>
      </c>
      <c r="X91" s="4">
        <v>82.7</v>
      </c>
      <c r="Y91" s="4">
        <v>1990</v>
      </c>
      <c r="Z91" s="4">
        <v>8340</v>
      </c>
      <c r="AA91" s="4">
        <v>26400</v>
      </c>
      <c r="AB91" s="4">
        <v>60500</v>
      </c>
      <c r="AC91" s="4">
        <v>163</v>
      </c>
      <c r="AD91" s="4">
        <v>1730</v>
      </c>
      <c r="AE91" s="4">
        <v>4610</v>
      </c>
      <c r="AF91" s="4">
        <v>2.81</v>
      </c>
      <c r="AG91" s="4" t="s">
        <v>235</v>
      </c>
      <c r="AH91" s="4">
        <v>27</v>
      </c>
      <c r="AI91" s="4">
        <v>178</v>
      </c>
    </row>
    <row r="92" spans="1:35" x14ac:dyDescent="0.25">
      <c r="A92" s="4"/>
      <c r="B92" s="5" t="s">
        <v>236</v>
      </c>
      <c r="C92" s="4" t="s">
        <v>59</v>
      </c>
      <c r="D92" s="4">
        <v>1</v>
      </c>
      <c r="E92" s="4"/>
      <c r="F92" s="4">
        <v>3</v>
      </c>
      <c r="G92" s="4">
        <v>701</v>
      </c>
      <c r="H92" s="4">
        <v>356</v>
      </c>
      <c r="I92" s="4">
        <v>27.4</v>
      </c>
      <c r="J92" s="4">
        <v>16.8</v>
      </c>
      <c r="K92" s="4">
        <v>6.5</v>
      </c>
      <c r="L92" s="4">
        <v>38.5</v>
      </c>
      <c r="M92" s="4">
        <v>49</v>
      </c>
      <c r="N92" s="4">
        <v>29</v>
      </c>
      <c r="O92" s="4">
        <v>690</v>
      </c>
      <c r="P92" s="4">
        <v>240</v>
      </c>
      <c r="Q92" s="4">
        <v>30700</v>
      </c>
      <c r="R92" s="4">
        <v>2630</v>
      </c>
      <c r="S92" s="4">
        <v>7490</v>
      </c>
      <c r="T92" s="4">
        <v>292</v>
      </c>
      <c r="U92" s="4">
        <v>8430</v>
      </c>
      <c r="V92" s="4">
        <v>206</v>
      </c>
      <c r="W92" s="4">
        <v>1160</v>
      </c>
      <c r="X92" s="4">
        <v>82</v>
      </c>
      <c r="Y92" s="4">
        <v>1790</v>
      </c>
      <c r="Z92" s="4">
        <v>6270</v>
      </c>
      <c r="AA92" s="4">
        <v>23400</v>
      </c>
      <c r="AB92" s="4">
        <v>60000</v>
      </c>
      <c r="AC92" s="4">
        <v>146</v>
      </c>
      <c r="AD92" s="4">
        <v>1570</v>
      </c>
      <c r="AE92" s="4">
        <v>4160</v>
      </c>
      <c r="AF92" s="4">
        <v>2.79</v>
      </c>
      <c r="AG92" s="4" t="s">
        <v>237</v>
      </c>
      <c r="AH92" s="4">
        <v>27</v>
      </c>
      <c r="AI92" s="4">
        <v>161</v>
      </c>
    </row>
    <row r="93" spans="1:35" x14ac:dyDescent="0.25">
      <c r="A93" s="4"/>
      <c r="B93" s="5" t="s">
        <v>238</v>
      </c>
      <c r="C93" s="4" t="s">
        <v>59</v>
      </c>
      <c r="D93" s="4">
        <v>1</v>
      </c>
      <c r="E93" s="4"/>
      <c r="F93" s="4">
        <v>3</v>
      </c>
      <c r="G93" s="4">
        <v>695</v>
      </c>
      <c r="H93" s="4">
        <v>355</v>
      </c>
      <c r="I93" s="4">
        <v>24.8</v>
      </c>
      <c r="J93" s="4">
        <v>15.4</v>
      </c>
      <c r="K93" s="4">
        <v>7.16</v>
      </c>
      <c r="L93" s="4">
        <v>41.9</v>
      </c>
      <c r="M93" s="4">
        <v>47</v>
      </c>
      <c r="N93" s="4">
        <v>28</v>
      </c>
      <c r="O93" s="4">
        <v>690</v>
      </c>
      <c r="P93" s="4">
        <v>217</v>
      </c>
      <c r="Q93" s="4">
        <v>27900</v>
      </c>
      <c r="R93" s="4">
        <v>2360</v>
      </c>
      <c r="S93" s="4">
        <v>6790</v>
      </c>
      <c r="T93" s="4">
        <v>291</v>
      </c>
      <c r="U93" s="4">
        <v>7610</v>
      </c>
      <c r="V93" s="4">
        <v>185</v>
      </c>
      <c r="W93" s="4">
        <v>1040</v>
      </c>
      <c r="X93" s="4">
        <v>81.5</v>
      </c>
      <c r="Y93" s="4">
        <v>1610</v>
      </c>
      <c r="Z93" s="4">
        <v>4720</v>
      </c>
      <c r="AA93" s="4">
        <v>20800</v>
      </c>
      <c r="AB93" s="4">
        <v>59500</v>
      </c>
      <c r="AC93" s="4">
        <v>131</v>
      </c>
      <c r="AD93" s="4">
        <v>1410</v>
      </c>
      <c r="AE93" s="4">
        <v>3750</v>
      </c>
      <c r="AF93" s="4">
        <v>2.78</v>
      </c>
      <c r="AG93" s="4" t="s">
        <v>239</v>
      </c>
      <c r="AH93" s="4">
        <v>27</v>
      </c>
      <c r="AI93" s="4">
        <v>146</v>
      </c>
    </row>
    <row r="94" spans="1:35" x14ac:dyDescent="0.25">
      <c r="A94" s="4" t="s">
        <v>59</v>
      </c>
      <c r="B94" s="5" t="s">
        <v>240</v>
      </c>
      <c r="C94" s="4" t="s">
        <v>59</v>
      </c>
      <c r="D94" s="4">
        <v>1</v>
      </c>
      <c r="E94" s="4"/>
      <c r="F94" s="4">
        <v>3</v>
      </c>
      <c r="G94" s="4">
        <v>702</v>
      </c>
      <c r="H94" s="4">
        <v>254</v>
      </c>
      <c r="I94" s="4">
        <v>27.9</v>
      </c>
      <c r="J94" s="4">
        <v>15.5</v>
      </c>
      <c r="K94" s="4">
        <v>4.55</v>
      </c>
      <c r="L94" s="4">
        <v>41.7</v>
      </c>
      <c r="M94" s="4">
        <v>50</v>
      </c>
      <c r="N94" s="4">
        <v>28</v>
      </c>
      <c r="O94" s="4">
        <v>690</v>
      </c>
      <c r="P94" s="4">
        <v>192</v>
      </c>
      <c r="Q94" s="4">
        <v>24400</v>
      </c>
      <c r="R94" s="4">
        <v>1980</v>
      </c>
      <c r="S94" s="4">
        <v>5640</v>
      </c>
      <c r="T94" s="4">
        <v>285</v>
      </c>
      <c r="U94" s="4">
        <v>6460</v>
      </c>
      <c r="V94" s="4">
        <v>76.400000000000006</v>
      </c>
      <c r="W94" s="4">
        <v>602</v>
      </c>
      <c r="X94" s="4">
        <v>56</v>
      </c>
      <c r="Y94" s="4">
        <v>941</v>
      </c>
      <c r="Z94" s="4">
        <v>4620</v>
      </c>
      <c r="AA94" s="4">
        <v>8680</v>
      </c>
      <c r="AB94" s="4">
        <v>42800</v>
      </c>
      <c r="AC94" s="4">
        <v>75.8</v>
      </c>
      <c r="AD94" s="4">
        <v>1120</v>
      </c>
      <c r="AE94" s="4">
        <v>3200</v>
      </c>
      <c r="AF94" s="4">
        <v>2.39</v>
      </c>
      <c r="AG94" s="4" t="s">
        <v>241</v>
      </c>
      <c r="AH94" s="4">
        <v>27</v>
      </c>
      <c r="AI94" s="4">
        <v>129</v>
      </c>
    </row>
    <row r="95" spans="1:35" x14ac:dyDescent="0.25">
      <c r="A95" s="4"/>
      <c r="B95" s="5" t="s">
        <v>242</v>
      </c>
      <c r="C95" s="4" t="s">
        <v>59</v>
      </c>
      <c r="D95" s="4">
        <v>1</v>
      </c>
      <c r="E95" s="4"/>
      <c r="F95" s="4">
        <v>3</v>
      </c>
      <c r="G95" s="4">
        <v>693</v>
      </c>
      <c r="H95" s="4">
        <v>256</v>
      </c>
      <c r="I95" s="4">
        <v>23.6</v>
      </c>
      <c r="J95" s="4">
        <v>14.5</v>
      </c>
      <c r="K95" s="4">
        <v>5.42</v>
      </c>
      <c r="L95" s="4">
        <v>44.5</v>
      </c>
      <c r="M95" s="4">
        <v>45</v>
      </c>
      <c r="N95" s="4">
        <v>28</v>
      </c>
      <c r="O95" s="4">
        <v>690</v>
      </c>
      <c r="P95" s="4">
        <v>170</v>
      </c>
      <c r="Q95" s="4">
        <v>21600</v>
      </c>
      <c r="R95" s="4">
        <v>1700</v>
      </c>
      <c r="S95" s="4">
        <v>4910</v>
      </c>
      <c r="T95" s="4">
        <v>280</v>
      </c>
      <c r="U95" s="4">
        <v>5620</v>
      </c>
      <c r="V95" s="4">
        <v>66.2</v>
      </c>
      <c r="W95" s="4">
        <v>517</v>
      </c>
      <c r="X95" s="4">
        <v>55.3</v>
      </c>
      <c r="Y95" s="4">
        <v>809</v>
      </c>
      <c r="Z95" s="4">
        <v>3050</v>
      </c>
      <c r="AA95" s="4">
        <v>7410</v>
      </c>
      <c r="AB95" s="4">
        <v>42800</v>
      </c>
      <c r="AC95" s="4">
        <v>64.7</v>
      </c>
      <c r="AD95" s="4">
        <v>954</v>
      </c>
      <c r="AE95" s="4">
        <v>2780</v>
      </c>
      <c r="AF95" s="4">
        <v>2.38</v>
      </c>
      <c r="AG95" s="4" t="s">
        <v>8</v>
      </c>
      <c r="AH95" s="4">
        <v>27</v>
      </c>
      <c r="AI95" s="4">
        <v>114</v>
      </c>
    </row>
    <row r="96" spans="1:35" x14ac:dyDescent="0.25">
      <c r="A96" s="4"/>
      <c r="B96" s="5" t="s">
        <v>243</v>
      </c>
      <c r="C96" s="4" t="s">
        <v>59</v>
      </c>
      <c r="D96" s="4">
        <v>1</v>
      </c>
      <c r="E96" s="4"/>
      <c r="F96" s="4">
        <v>3</v>
      </c>
      <c r="G96" s="4">
        <v>688</v>
      </c>
      <c r="H96" s="4">
        <v>254</v>
      </c>
      <c r="I96" s="4">
        <v>21.1</v>
      </c>
      <c r="J96" s="4">
        <v>13.1</v>
      </c>
      <c r="K96" s="4">
        <v>6.02</v>
      </c>
      <c r="L96" s="4">
        <v>49.3</v>
      </c>
      <c r="M96" s="4">
        <v>43</v>
      </c>
      <c r="N96" s="4">
        <v>27</v>
      </c>
      <c r="O96" s="4">
        <v>690</v>
      </c>
      <c r="P96" s="4">
        <v>152</v>
      </c>
      <c r="Q96" s="4">
        <v>19400</v>
      </c>
      <c r="R96" s="4">
        <v>1510</v>
      </c>
      <c r="S96" s="4">
        <v>4380</v>
      </c>
      <c r="T96" s="4">
        <v>279</v>
      </c>
      <c r="U96" s="4">
        <v>5000</v>
      </c>
      <c r="V96" s="4">
        <v>57.8</v>
      </c>
      <c r="W96" s="4">
        <v>455</v>
      </c>
      <c r="X96" s="4">
        <v>54.6</v>
      </c>
      <c r="Y96" s="4">
        <v>710</v>
      </c>
      <c r="Z96" s="4">
        <v>2200</v>
      </c>
      <c r="AA96" s="4">
        <v>6420</v>
      </c>
      <c r="AB96" s="4">
        <v>42300</v>
      </c>
      <c r="AC96" s="4">
        <v>56.7</v>
      </c>
      <c r="AD96" s="4">
        <v>847</v>
      </c>
      <c r="AE96" s="4">
        <v>2470</v>
      </c>
      <c r="AF96" s="4">
        <v>2.37</v>
      </c>
      <c r="AG96" s="4" t="s">
        <v>244</v>
      </c>
      <c r="AH96" s="4">
        <v>27</v>
      </c>
      <c r="AI96" s="4">
        <v>102</v>
      </c>
    </row>
    <row r="97" spans="1:35" x14ac:dyDescent="0.25">
      <c r="A97" s="4"/>
      <c r="B97" s="5" t="s">
        <v>245</v>
      </c>
      <c r="C97" s="4" t="s">
        <v>59</v>
      </c>
      <c r="D97" s="4">
        <v>1</v>
      </c>
      <c r="E97" s="4"/>
      <c r="F97" s="4">
        <v>3</v>
      </c>
      <c r="G97" s="4">
        <v>684</v>
      </c>
      <c r="H97" s="4">
        <v>254</v>
      </c>
      <c r="I97" s="4">
        <v>18.899999999999999</v>
      </c>
      <c r="J97" s="4">
        <v>12.4</v>
      </c>
      <c r="K97" s="4">
        <v>6.72</v>
      </c>
      <c r="L97" s="4">
        <v>52.1</v>
      </c>
      <c r="M97" s="4">
        <v>41</v>
      </c>
      <c r="N97" s="4">
        <v>27</v>
      </c>
      <c r="O97" s="4">
        <v>690</v>
      </c>
      <c r="P97" s="4">
        <v>140</v>
      </c>
      <c r="Q97" s="4">
        <v>17800</v>
      </c>
      <c r="R97" s="4">
        <v>1360</v>
      </c>
      <c r="S97" s="4">
        <v>3980</v>
      </c>
      <c r="T97" s="4">
        <v>276</v>
      </c>
      <c r="U97" s="4">
        <v>4550</v>
      </c>
      <c r="V97" s="4">
        <v>51.7</v>
      </c>
      <c r="W97" s="4">
        <v>407</v>
      </c>
      <c r="X97" s="4">
        <v>53.9</v>
      </c>
      <c r="Y97" s="4">
        <v>636</v>
      </c>
      <c r="Z97" s="4">
        <v>1670</v>
      </c>
      <c r="AA97" s="4">
        <v>5720</v>
      </c>
      <c r="AB97" s="4">
        <v>42200</v>
      </c>
      <c r="AC97" s="4">
        <v>50.7</v>
      </c>
      <c r="AD97" s="4">
        <v>759</v>
      </c>
      <c r="AE97" s="4">
        <v>2240</v>
      </c>
      <c r="AF97" s="4">
        <v>2.36</v>
      </c>
      <c r="AG97" s="4" t="s">
        <v>246</v>
      </c>
      <c r="AH97" s="4">
        <v>27</v>
      </c>
      <c r="AI97" s="4">
        <v>94</v>
      </c>
    </row>
    <row r="98" spans="1:35" x14ac:dyDescent="0.25">
      <c r="A98" s="4"/>
      <c r="B98" s="5" t="s">
        <v>247</v>
      </c>
      <c r="C98" s="4" t="s">
        <v>59</v>
      </c>
      <c r="D98" s="4">
        <v>1</v>
      </c>
      <c r="E98" s="4"/>
      <c r="F98" s="4">
        <v>3</v>
      </c>
      <c r="G98" s="4">
        <v>678</v>
      </c>
      <c r="H98" s="4">
        <v>253</v>
      </c>
      <c r="I98" s="4">
        <v>16.3</v>
      </c>
      <c r="J98" s="4">
        <v>11.7</v>
      </c>
      <c r="K98" s="4">
        <v>7.76</v>
      </c>
      <c r="L98" s="4">
        <v>55.2</v>
      </c>
      <c r="M98" s="4">
        <v>38</v>
      </c>
      <c r="N98" s="4">
        <v>26</v>
      </c>
      <c r="O98" s="4">
        <v>690</v>
      </c>
      <c r="P98" s="4">
        <v>125</v>
      </c>
      <c r="Q98" s="4">
        <v>16000</v>
      </c>
      <c r="R98" s="4">
        <v>1190</v>
      </c>
      <c r="S98" s="4">
        <v>3500</v>
      </c>
      <c r="T98" s="4">
        <v>272</v>
      </c>
      <c r="U98" s="4">
        <v>4010</v>
      </c>
      <c r="V98" s="4">
        <v>44.1</v>
      </c>
      <c r="W98" s="4">
        <v>349</v>
      </c>
      <c r="X98" s="4">
        <v>52.5</v>
      </c>
      <c r="Y98" s="4">
        <v>546</v>
      </c>
      <c r="Z98" s="4">
        <v>1180</v>
      </c>
      <c r="AA98" s="4">
        <v>4830</v>
      </c>
      <c r="AB98" s="4">
        <v>41900</v>
      </c>
      <c r="AC98" s="4">
        <v>43.1</v>
      </c>
      <c r="AD98" s="4">
        <v>651</v>
      </c>
      <c r="AE98" s="4">
        <v>1970</v>
      </c>
      <c r="AF98" s="4">
        <v>2.34</v>
      </c>
      <c r="AG98" s="4" t="s">
        <v>248</v>
      </c>
      <c r="AH98" s="4">
        <v>27</v>
      </c>
      <c r="AI98" s="4">
        <v>84</v>
      </c>
    </row>
    <row r="99" spans="1:35" x14ac:dyDescent="0.25">
      <c r="A99" s="4" t="s">
        <v>59</v>
      </c>
      <c r="B99" s="5" t="s">
        <v>249</v>
      </c>
      <c r="C99" s="4" t="s">
        <v>59</v>
      </c>
      <c r="D99" s="4">
        <v>1</v>
      </c>
      <c r="E99" s="4"/>
      <c r="F99" s="4">
        <v>3</v>
      </c>
      <c r="G99" s="4">
        <v>711</v>
      </c>
      <c r="H99" s="4">
        <v>347</v>
      </c>
      <c r="I99" s="4">
        <v>69.099999999999994</v>
      </c>
      <c r="J99" s="4">
        <v>38.6</v>
      </c>
      <c r="K99" s="4">
        <v>2.5099999999999998</v>
      </c>
      <c r="L99" s="4">
        <v>14.8</v>
      </c>
      <c r="M99" s="4">
        <v>91</v>
      </c>
      <c r="N99" s="4">
        <v>40</v>
      </c>
      <c r="O99" s="4">
        <v>610</v>
      </c>
      <c r="P99" s="4">
        <v>551</v>
      </c>
      <c r="Q99" s="4">
        <v>70200</v>
      </c>
      <c r="R99" s="4">
        <v>5570</v>
      </c>
      <c r="S99" s="4">
        <v>15700</v>
      </c>
      <c r="T99" s="4">
        <v>282</v>
      </c>
      <c r="U99" s="4">
        <v>18600</v>
      </c>
      <c r="V99" s="4">
        <v>484</v>
      </c>
      <c r="W99" s="4">
        <v>2790</v>
      </c>
      <c r="X99" s="4">
        <v>83</v>
      </c>
      <c r="Y99" s="4">
        <v>4380</v>
      </c>
      <c r="Z99" s="4">
        <v>83800</v>
      </c>
      <c r="AA99" s="4">
        <v>49900</v>
      </c>
      <c r="AB99" s="4">
        <v>55700</v>
      </c>
      <c r="AC99" s="4">
        <v>334</v>
      </c>
      <c r="AD99" s="4">
        <v>3420</v>
      </c>
      <c r="AE99" s="4">
        <v>9280</v>
      </c>
      <c r="AF99" s="4">
        <v>2.73</v>
      </c>
      <c r="AG99" s="4" t="s">
        <v>250</v>
      </c>
      <c r="AH99" s="4">
        <v>24</v>
      </c>
      <c r="AI99" s="4">
        <v>370</v>
      </c>
    </row>
    <row r="100" spans="1:35" x14ac:dyDescent="0.25">
      <c r="A100" s="4"/>
      <c r="B100" s="5" t="s">
        <v>251</v>
      </c>
      <c r="C100" s="4" t="s">
        <v>59</v>
      </c>
      <c r="D100" s="4">
        <v>1</v>
      </c>
      <c r="E100" s="4"/>
      <c r="F100" s="4">
        <v>3</v>
      </c>
      <c r="G100" s="4">
        <v>699</v>
      </c>
      <c r="H100" s="4">
        <v>343</v>
      </c>
      <c r="I100" s="4">
        <v>63</v>
      </c>
      <c r="J100" s="4">
        <v>35.1</v>
      </c>
      <c r="K100" s="4">
        <v>2.72</v>
      </c>
      <c r="L100" s="4">
        <v>16.3</v>
      </c>
      <c r="M100" s="4">
        <v>85</v>
      </c>
      <c r="N100" s="4">
        <v>38</v>
      </c>
      <c r="O100" s="4">
        <v>610</v>
      </c>
      <c r="P100" s="4">
        <v>498</v>
      </c>
      <c r="Q100" s="4">
        <v>63500</v>
      </c>
      <c r="R100" s="4">
        <v>4950</v>
      </c>
      <c r="S100" s="4">
        <v>14200</v>
      </c>
      <c r="T100" s="4">
        <v>279</v>
      </c>
      <c r="U100" s="4">
        <v>16700</v>
      </c>
      <c r="V100" s="4">
        <v>426</v>
      </c>
      <c r="W100" s="4">
        <v>2480</v>
      </c>
      <c r="X100" s="4">
        <v>81.900000000000006</v>
      </c>
      <c r="Y100" s="4">
        <v>3890</v>
      </c>
      <c r="Z100" s="4">
        <v>63200</v>
      </c>
      <c r="AA100" s="4">
        <v>43100</v>
      </c>
      <c r="AB100" s="4">
        <v>54500</v>
      </c>
      <c r="AC100" s="4">
        <v>295</v>
      </c>
      <c r="AD100" s="4">
        <v>3080</v>
      </c>
      <c r="AE100" s="4">
        <v>8310</v>
      </c>
      <c r="AF100" s="4">
        <v>2.7</v>
      </c>
      <c r="AG100" s="4" t="s">
        <v>252</v>
      </c>
      <c r="AH100" s="4">
        <v>24</v>
      </c>
      <c r="AI100" s="4">
        <v>335</v>
      </c>
    </row>
    <row r="101" spans="1:35" x14ac:dyDescent="0.25">
      <c r="A101" s="4"/>
      <c r="B101" s="5" t="s">
        <v>253</v>
      </c>
      <c r="C101" s="4" t="s">
        <v>59</v>
      </c>
      <c r="D101" s="4">
        <v>1</v>
      </c>
      <c r="E101" s="4"/>
      <c r="F101" s="4">
        <v>3</v>
      </c>
      <c r="G101" s="4">
        <v>689</v>
      </c>
      <c r="H101" s="4">
        <v>340</v>
      </c>
      <c r="I101" s="4">
        <v>57.9</v>
      </c>
      <c r="J101" s="4">
        <v>32</v>
      </c>
      <c r="K101" s="4">
        <v>2.94</v>
      </c>
      <c r="L101" s="4">
        <v>17.899999999999999</v>
      </c>
      <c r="M101" s="4">
        <v>80</v>
      </c>
      <c r="N101" s="4">
        <v>36</v>
      </c>
      <c r="O101" s="4">
        <v>610</v>
      </c>
      <c r="P101" s="4">
        <v>455</v>
      </c>
      <c r="Q101" s="4">
        <v>57900</v>
      </c>
      <c r="R101" s="4">
        <v>4440</v>
      </c>
      <c r="S101" s="4">
        <v>12900</v>
      </c>
      <c r="T101" s="4">
        <v>277</v>
      </c>
      <c r="U101" s="4">
        <v>15100</v>
      </c>
      <c r="V101" s="4">
        <v>381</v>
      </c>
      <c r="W101" s="4">
        <v>2240</v>
      </c>
      <c r="X101" s="4">
        <v>81.099999999999994</v>
      </c>
      <c r="Y101" s="4">
        <v>3500</v>
      </c>
      <c r="Z101" s="4">
        <v>48800</v>
      </c>
      <c r="AA101" s="4">
        <v>37900</v>
      </c>
      <c r="AB101" s="4">
        <v>53600</v>
      </c>
      <c r="AC101" s="4">
        <v>264</v>
      </c>
      <c r="AD101" s="4">
        <v>2810</v>
      </c>
      <c r="AE101" s="4">
        <v>7530</v>
      </c>
      <c r="AF101" s="4">
        <v>2.67</v>
      </c>
      <c r="AG101" s="4" t="s">
        <v>254</v>
      </c>
      <c r="AH101" s="4">
        <v>24</v>
      </c>
      <c r="AI101" s="4">
        <v>306</v>
      </c>
    </row>
    <row r="102" spans="1:35" x14ac:dyDescent="0.25">
      <c r="A102" s="4"/>
      <c r="B102" s="5" t="s">
        <v>255</v>
      </c>
      <c r="C102" s="4" t="s">
        <v>59</v>
      </c>
      <c r="D102" s="4">
        <v>1</v>
      </c>
      <c r="E102" s="4"/>
      <c r="F102" s="4">
        <v>3</v>
      </c>
      <c r="G102" s="4">
        <v>679</v>
      </c>
      <c r="H102" s="4">
        <v>338</v>
      </c>
      <c r="I102" s="4">
        <v>53.1</v>
      </c>
      <c r="J102" s="4">
        <v>29.5</v>
      </c>
      <c r="K102" s="4">
        <v>3.18</v>
      </c>
      <c r="L102" s="4">
        <v>19.399999999999999</v>
      </c>
      <c r="M102" s="4">
        <v>75</v>
      </c>
      <c r="N102" s="4">
        <v>35</v>
      </c>
      <c r="O102" s="4">
        <v>610</v>
      </c>
      <c r="P102" s="4">
        <v>415</v>
      </c>
      <c r="Q102" s="4">
        <v>52900</v>
      </c>
      <c r="R102" s="4">
        <v>4000</v>
      </c>
      <c r="S102" s="4">
        <v>11800</v>
      </c>
      <c r="T102" s="4">
        <v>275</v>
      </c>
      <c r="U102" s="4">
        <v>13700</v>
      </c>
      <c r="V102" s="4">
        <v>343</v>
      </c>
      <c r="W102" s="4">
        <v>2030</v>
      </c>
      <c r="X102" s="4">
        <v>80.5</v>
      </c>
      <c r="Y102" s="4">
        <v>3160</v>
      </c>
      <c r="Z102" s="4">
        <v>37700</v>
      </c>
      <c r="AA102" s="4">
        <v>33600</v>
      </c>
      <c r="AB102" s="4">
        <v>52900</v>
      </c>
      <c r="AC102" s="4">
        <v>237</v>
      </c>
      <c r="AD102" s="4">
        <v>2560</v>
      </c>
      <c r="AE102" s="4">
        <v>6830</v>
      </c>
      <c r="AF102" s="4">
        <v>2.65</v>
      </c>
      <c r="AG102" s="4" t="s">
        <v>256</v>
      </c>
      <c r="AH102" s="4">
        <v>24</v>
      </c>
      <c r="AI102" s="4">
        <v>279</v>
      </c>
    </row>
    <row r="103" spans="1:35" x14ac:dyDescent="0.25">
      <c r="A103" s="4"/>
      <c r="B103" s="5" t="s">
        <v>257</v>
      </c>
      <c r="C103" s="4" t="s">
        <v>59</v>
      </c>
      <c r="D103" s="4">
        <v>1</v>
      </c>
      <c r="E103" s="4"/>
      <c r="F103" s="4">
        <v>3</v>
      </c>
      <c r="G103" s="4">
        <v>669</v>
      </c>
      <c r="H103" s="4">
        <v>335</v>
      </c>
      <c r="I103" s="4">
        <v>48</v>
      </c>
      <c r="J103" s="4">
        <v>26.4</v>
      </c>
      <c r="K103" s="4">
        <v>3.49</v>
      </c>
      <c r="L103" s="4">
        <v>21.7</v>
      </c>
      <c r="M103" s="4">
        <v>70</v>
      </c>
      <c r="N103" s="4">
        <v>34</v>
      </c>
      <c r="O103" s="4">
        <v>610</v>
      </c>
      <c r="P103" s="4">
        <v>372</v>
      </c>
      <c r="Q103" s="4">
        <v>47400</v>
      </c>
      <c r="R103" s="4">
        <v>3530</v>
      </c>
      <c r="S103" s="4">
        <v>10600</v>
      </c>
      <c r="T103" s="4">
        <v>273</v>
      </c>
      <c r="U103" s="4">
        <v>12200</v>
      </c>
      <c r="V103" s="4">
        <v>302</v>
      </c>
      <c r="W103" s="4">
        <v>1800</v>
      </c>
      <c r="X103" s="4">
        <v>79.8</v>
      </c>
      <c r="Y103" s="4">
        <v>2800</v>
      </c>
      <c r="Z103" s="4">
        <v>27700</v>
      </c>
      <c r="AA103" s="4">
        <v>29100</v>
      </c>
      <c r="AB103" s="4">
        <v>52000</v>
      </c>
      <c r="AC103" s="4">
        <v>209</v>
      </c>
      <c r="AD103" s="4">
        <v>2300</v>
      </c>
      <c r="AE103" s="4">
        <v>6080</v>
      </c>
      <c r="AF103" s="4">
        <v>2.63</v>
      </c>
      <c r="AG103" s="4" t="s">
        <v>258</v>
      </c>
      <c r="AH103" s="4">
        <v>24</v>
      </c>
      <c r="AI103" s="4">
        <v>250</v>
      </c>
    </row>
    <row r="104" spans="1:35" x14ac:dyDescent="0.25">
      <c r="A104" s="4"/>
      <c r="B104" s="5" t="s">
        <v>259</v>
      </c>
      <c r="C104" s="4" t="s">
        <v>59</v>
      </c>
      <c r="D104" s="4">
        <v>1</v>
      </c>
      <c r="E104" s="4"/>
      <c r="F104" s="4">
        <v>3</v>
      </c>
      <c r="G104" s="4">
        <v>661</v>
      </c>
      <c r="H104" s="4">
        <v>333</v>
      </c>
      <c r="I104" s="4">
        <v>43.9</v>
      </c>
      <c r="J104" s="4">
        <v>24.4</v>
      </c>
      <c r="K104" s="4">
        <v>3.79</v>
      </c>
      <c r="L104" s="4">
        <v>23.5</v>
      </c>
      <c r="M104" s="4">
        <v>66</v>
      </c>
      <c r="N104" s="4">
        <v>33</v>
      </c>
      <c r="O104" s="4">
        <v>610</v>
      </c>
      <c r="P104" s="4">
        <v>341</v>
      </c>
      <c r="Q104" s="4">
        <v>43400</v>
      </c>
      <c r="R104" s="4">
        <v>3180</v>
      </c>
      <c r="S104" s="4">
        <v>9630</v>
      </c>
      <c r="T104" s="4">
        <v>271</v>
      </c>
      <c r="U104" s="4">
        <v>11100</v>
      </c>
      <c r="V104" s="4">
        <v>271</v>
      </c>
      <c r="W104" s="4">
        <v>1630</v>
      </c>
      <c r="X104" s="4">
        <v>79</v>
      </c>
      <c r="Y104" s="4">
        <v>2520</v>
      </c>
      <c r="Z104" s="4">
        <v>21300</v>
      </c>
      <c r="AA104" s="4">
        <v>25800</v>
      </c>
      <c r="AB104" s="4">
        <v>51400</v>
      </c>
      <c r="AC104" s="4">
        <v>188</v>
      </c>
      <c r="AD104" s="4">
        <v>2090</v>
      </c>
      <c r="AE104" s="4">
        <v>5510</v>
      </c>
      <c r="AF104" s="4">
        <v>2.61</v>
      </c>
      <c r="AG104" s="4" t="s">
        <v>7</v>
      </c>
      <c r="AH104" s="4">
        <v>24</v>
      </c>
      <c r="AI104" s="4">
        <v>229</v>
      </c>
    </row>
    <row r="105" spans="1:35" x14ac:dyDescent="0.25">
      <c r="A105" s="4"/>
      <c r="B105" s="5" t="s">
        <v>260</v>
      </c>
      <c r="C105" s="4" t="s">
        <v>59</v>
      </c>
      <c r="D105" s="4">
        <v>1</v>
      </c>
      <c r="E105" s="4"/>
      <c r="F105" s="4">
        <v>3</v>
      </c>
      <c r="G105" s="4">
        <v>653</v>
      </c>
      <c r="H105" s="4">
        <v>330</v>
      </c>
      <c r="I105" s="4">
        <v>39.9</v>
      </c>
      <c r="J105" s="4">
        <v>22.1</v>
      </c>
      <c r="K105" s="4">
        <v>4.1399999999999997</v>
      </c>
      <c r="L105" s="4">
        <v>25.9</v>
      </c>
      <c r="M105" s="4">
        <v>62</v>
      </c>
      <c r="N105" s="4">
        <v>31</v>
      </c>
      <c r="O105" s="4">
        <v>610</v>
      </c>
      <c r="P105" s="4">
        <v>307</v>
      </c>
      <c r="Q105" s="4">
        <v>39100</v>
      </c>
      <c r="R105" s="4">
        <v>2840</v>
      </c>
      <c r="S105" s="4">
        <v>8690</v>
      </c>
      <c r="T105" s="4">
        <v>269</v>
      </c>
      <c r="U105" s="4">
        <v>9930</v>
      </c>
      <c r="V105" s="4">
        <v>240</v>
      </c>
      <c r="W105" s="4">
        <v>1450</v>
      </c>
      <c r="X105" s="4">
        <v>78.2</v>
      </c>
      <c r="Y105" s="4">
        <v>2240</v>
      </c>
      <c r="Z105" s="4">
        <v>15900</v>
      </c>
      <c r="AA105" s="4">
        <v>22500</v>
      </c>
      <c r="AB105" s="4">
        <v>50600</v>
      </c>
      <c r="AC105" s="4">
        <v>166</v>
      </c>
      <c r="AD105" s="4">
        <v>1880</v>
      </c>
      <c r="AE105" s="4">
        <v>4940</v>
      </c>
      <c r="AF105" s="4">
        <v>2.58</v>
      </c>
      <c r="AG105" s="4" t="s">
        <v>261</v>
      </c>
      <c r="AH105" s="4">
        <v>24</v>
      </c>
      <c r="AI105" s="4">
        <v>207</v>
      </c>
    </row>
    <row r="106" spans="1:35" x14ac:dyDescent="0.25">
      <c r="A106" s="4"/>
      <c r="B106" s="5" t="s">
        <v>262</v>
      </c>
      <c r="C106" s="4" t="s">
        <v>59</v>
      </c>
      <c r="D106" s="4">
        <v>1</v>
      </c>
      <c r="E106" s="4"/>
      <c r="F106" s="4">
        <v>3</v>
      </c>
      <c r="G106" s="4">
        <v>647</v>
      </c>
      <c r="H106" s="4">
        <v>329</v>
      </c>
      <c r="I106" s="4">
        <v>37.1</v>
      </c>
      <c r="J106" s="4">
        <v>20.6</v>
      </c>
      <c r="K106" s="4">
        <v>4.43</v>
      </c>
      <c r="L106" s="4">
        <v>27.8</v>
      </c>
      <c r="M106" s="4">
        <v>59</v>
      </c>
      <c r="N106" s="4">
        <v>31</v>
      </c>
      <c r="O106" s="4">
        <v>610</v>
      </c>
      <c r="P106" s="4">
        <v>285</v>
      </c>
      <c r="Q106" s="4">
        <v>36300</v>
      </c>
      <c r="R106" s="4">
        <v>2610</v>
      </c>
      <c r="S106" s="4">
        <v>8060</v>
      </c>
      <c r="T106" s="4">
        <v>268</v>
      </c>
      <c r="U106" s="4">
        <v>9170</v>
      </c>
      <c r="V106" s="4">
        <v>221</v>
      </c>
      <c r="W106" s="4">
        <v>1340</v>
      </c>
      <c r="X106" s="4">
        <v>77.900000000000006</v>
      </c>
      <c r="Y106" s="4">
        <v>2070</v>
      </c>
      <c r="Z106" s="4">
        <v>12800</v>
      </c>
      <c r="AA106" s="4">
        <v>20500</v>
      </c>
      <c r="AB106" s="4">
        <v>50200</v>
      </c>
      <c r="AC106" s="4">
        <v>153</v>
      </c>
      <c r="AD106" s="4">
        <v>1740</v>
      </c>
      <c r="AE106" s="4">
        <v>4570</v>
      </c>
      <c r="AF106" s="4">
        <v>2.57</v>
      </c>
      <c r="AG106" s="4" t="s">
        <v>263</v>
      </c>
      <c r="AH106" s="4">
        <v>24</v>
      </c>
      <c r="AI106" s="4">
        <v>192</v>
      </c>
    </row>
    <row r="107" spans="1:35" x14ac:dyDescent="0.25">
      <c r="A107" s="4"/>
      <c r="B107" s="5" t="s">
        <v>264</v>
      </c>
      <c r="C107" s="4" t="s">
        <v>59</v>
      </c>
      <c r="D107" s="4">
        <v>1</v>
      </c>
      <c r="E107" s="4"/>
      <c r="F107" s="4">
        <v>3</v>
      </c>
      <c r="G107" s="4">
        <v>641</v>
      </c>
      <c r="H107" s="4">
        <v>327</v>
      </c>
      <c r="I107" s="4">
        <v>34</v>
      </c>
      <c r="J107" s="4">
        <v>19</v>
      </c>
      <c r="K107" s="4">
        <v>4.8099999999999996</v>
      </c>
      <c r="L107" s="4">
        <v>30.2</v>
      </c>
      <c r="M107" s="4">
        <v>56</v>
      </c>
      <c r="N107" s="4">
        <v>30</v>
      </c>
      <c r="O107" s="4">
        <v>610</v>
      </c>
      <c r="P107" s="4">
        <v>262</v>
      </c>
      <c r="Q107" s="4">
        <v>33300</v>
      </c>
      <c r="R107" s="4">
        <v>2360</v>
      </c>
      <c r="S107" s="4">
        <v>7360</v>
      </c>
      <c r="T107" s="4">
        <v>266</v>
      </c>
      <c r="U107" s="4">
        <v>8350</v>
      </c>
      <c r="V107" s="4">
        <v>198</v>
      </c>
      <c r="W107" s="4">
        <v>1210</v>
      </c>
      <c r="X107" s="4">
        <v>77.2</v>
      </c>
      <c r="Y107" s="4">
        <v>1870</v>
      </c>
      <c r="Z107" s="4">
        <v>9900</v>
      </c>
      <c r="AA107" s="4">
        <v>18300</v>
      </c>
      <c r="AB107" s="4">
        <v>49600</v>
      </c>
      <c r="AC107" s="4">
        <v>138</v>
      </c>
      <c r="AD107" s="4">
        <v>1590</v>
      </c>
      <c r="AE107" s="4">
        <v>4150</v>
      </c>
      <c r="AF107" s="4">
        <v>2.5499999999999998</v>
      </c>
      <c r="AG107" s="4" t="s">
        <v>265</v>
      </c>
      <c r="AH107" s="4">
        <v>24</v>
      </c>
      <c r="AI107" s="4">
        <v>176</v>
      </c>
    </row>
    <row r="108" spans="1:35" x14ac:dyDescent="0.25">
      <c r="A108" s="4"/>
      <c r="B108" s="5" t="s">
        <v>266</v>
      </c>
      <c r="C108" s="4" t="s">
        <v>59</v>
      </c>
      <c r="D108" s="4">
        <v>1</v>
      </c>
      <c r="E108" s="4"/>
      <c r="F108" s="4">
        <v>3</v>
      </c>
      <c r="G108" s="4">
        <v>635</v>
      </c>
      <c r="H108" s="4">
        <v>329</v>
      </c>
      <c r="I108" s="4">
        <v>31</v>
      </c>
      <c r="J108" s="4">
        <v>17.899999999999999</v>
      </c>
      <c r="K108" s="4">
        <v>5.31</v>
      </c>
      <c r="L108" s="4">
        <v>32</v>
      </c>
      <c r="M108" s="4">
        <v>53</v>
      </c>
      <c r="N108" s="4">
        <v>29</v>
      </c>
      <c r="O108" s="4">
        <v>610</v>
      </c>
      <c r="P108" s="4">
        <v>241</v>
      </c>
      <c r="Q108" s="4">
        <v>30800</v>
      </c>
      <c r="R108" s="4">
        <v>2150</v>
      </c>
      <c r="S108" s="4">
        <v>6780</v>
      </c>
      <c r="T108" s="4">
        <v>264</v>
      </c>
      <c r="U108" s="4">
        <v>7670</v>
      </c>
      <c r="V108" s="4">
        <v>184</v>
      </c>
      <c r="W108" s="4">
        <v>1120</v>
      </c>
      <c r="X108" s="4">
        <v>77.400000000000006</v>
      </c>
      <c r="Y108" s="4">
        <v>1730</v>
      </c>
      <c r="Z108" s="4">
        <v>7700</v>
      </c>
      <c r="AA108" s="4">
        <v>16800</v>
      </c>
      <c r="AB108" s="4">
        <v>49700</v>
      </c>
      <c r="AC108" s="4">
        <v>127</v>
      </c>
      <c r="AD108" s="4">
        <v>1460</v>
      </c>
      <c r="AE108" s="4">
        <v>3810</v>
      </c>
      <c r="AF108" s="4">
        <v>2.5499999999999998</v>
      </c>
      <c r="AG108" s="4" t="s">
        <v>267</v>
      </c>
      <c r="AH108" s="4">
        <v>24</v>
      </c>
      <c r="AI108" s="4">
        <v>162</v>
      </c>
    </row>
    <row r="109" spans="1:35" x14ac:dyDescent="0.25">
      <c r="A109" s="4"/>
      <c r="B109" s="5" t="s">
        <v>268</v>
      </c>
      <c r="C109" s="4" t="s">
        <v>59</v>
      </c>
      <c r="D109" s="4">
        <v>1</v>
      </c>
      <c r="E109" s="4"/>
      <c r="F109" s="4">
        <v>3</v>
      </c>
      <c r="G109" s="4">
        <v>628</v>
      </c>
      <c r="H109" s="4">
        <v>328</v>
      </c>
      <c r="I109" s="4">
        <v>27.7</v>
      </c>
      <c r="J109" s="4">
        <v>16.5</v>
      </c>
      <c r="K109" s="4">
        <v>5.92</v>
      </c>
      <c r="L109" s="4">
        <v>34.700000000000003</v>
      </c>
      <c r="M109" s="4">
        <v>50</v>
      </c>
      <c r="N109" s="4">
        <v>29</v>
      </c>
      <c r="O109" s="4">
        <v>610</v>
      </c>
      <c r="P109" s="4">
        <v>217</v>
      </c>
      <c r="Q109" s="4">
        <v>27800</v>
      </c>
      <c r="R109" s="4">
        <v>1910</v>
      </c>
      <c r="S109" s="4">
        <v>6070</v>
      </c>
      <c r="T109" s="4">
        <v>262</v>
      </c>
      <c r="U109" s="4">
        <v>6850</v>
      </c>
      <c r="V109" s="4">
        <v>163</v>
      </c>
      <c r="W109" s="4">
        <v>995</v>
      </c>
      <c r="X109" s="4">
        <v>76.7</v>
      </c>
      <c r="Y109" s="4">
        <v>1530</v>
      </c>
      <c r="Z109" s="4">
        <v>5600</v>
      </c>
      <c r="AA109" s="4">
        <v>14700</v>
      </c>
      <c r="AB109" s="4">
        <v>49200</v>
      </c>
      <c r="AC109" s="4">
        <v>112</v>
      </c>
      <c r="AD109" s="4">
        <v>1290</v>
      </c>
      <c r="AE109" s="4">
        <v>3400</v>
      </c>
      <c r="AF109" s="4">
        <v>2.54</v>
      </c>
      <c r="AG109" s="4" t="s">
        <v>269</v>
      </c>
      <c r="AH109" s="4">
        <v>24</v>
      </c>
      <c r="AI109" s="4">
        <v>146</v>
      </c>
    </row>
    <row r="110" spans="1:35" x14ac:dyDescent="0.25">
      <c r="A110" s="4"/>
      <c r="B110" s="6" t="s">
        <v>270</v>
      </c>
      <c r="C110" s="4" t="s">
        <v>59</v>
      </c>
      <c r="D110" s="4">
        <v>1</v>
      </c>
      <c r="E110" s="4"/>
      <c r="F110" s="4">
        <v>3</v>
      </c>
      <c r="G110" s="4">
        <v>622</v>
      </c>
      <c r="H110" s="4">
        <v>327</v>
      </c>
      <c r="I110" s="4">
        <v>24.4</v>
      </c>
      <c r="J110" s="4">
        <v>15.4</v>
      </c>
      <c r="K110" s="4">
        <v>6.7</v>
      </c>
      <c r="L110" s="4">
        <v>37.200000000000003</v>
      </c>
      <c r="M110" s="4">
        <v>46</v>
      </c>
      <c r="N110" s="4">
        <v>28</v>
      </c>
      <c r="O110" s="4">
        <v>610</v>
      </c>
      <c r="P110" s="4">
        <v>195</v>
      </c>
      <c r="Q110" s="4">
        <v>24900</v>
      </c>
      <c r="R110" s="4">
        <v>1680</v>
      </c>
      <c r="S110" s="4">
        <v>5400</v>
      </c>
      <c r="T110" s="4">
        <v>260</v>
      </c>
      <c r="U110" s="4">
        <v>6070</v>
      </c>
      <c r="V110" s="4">
        <v>142</v>
      </c>
      <c r="W110" s="4">
        <v>871</v>
      </c>
      <c r="X110" s="4">
        <v>75.599999999999994</v>
      </c>
      <c r="Y110" s="4">
        <v>1340</v>
      </c>
      <c r="Z110" s="4">
        <v>3970</v>
      </c>
      <c r="AA110" s="4">
        <v>12700</v>
      </c>
      <c r="AB110" s="4">
        <v>48900</v>
      </c>
      <c r="AC110" s="4">
        <v>97.4</v>
      </c>
      <c r="AD110" s="4">
        <v>1140</v>
      </c>
      <c r="AE110" s="4">
        <v>3020</v>
      </c>
      <c r="AF110" s="4">
        <v>2.52</v>
      </c>
      <c r="AG110" s="4" t="s">
        <v>271</v>
      </c>
      <c r="AH110" s="4">
        <v>24</v>
      </c>
      <c r="AI110" s="4">
        <v>131</v>
      </c>
    </row>
    <row r="111" spans="1:35" x14ac:dyDescent="0.25">
      <c r="A111" s="4"/>
      <c r="B111" s="6" t="s">
        <v>272</v>
      </c>
      <c r="C111" s="4" t="s">
        <v>59</v>
      </c>
      <c r="D111" s="4">
        <v>1</v>
      </c>
      <c r="E111" s="4"/>
      <c r="F111" s="4">
        <v>3</v>
      </c>
      <c r="G111" s="4">
        <v>616</v>
      </c>
      <c r="H111" s="4">
        <v>325</v>
      </c>
      <c r="I111" s="4">
        <v>21.6</v>
      </c>
      <c r="J111" s="4">
        <v>14</v>
      </c>
      <c r="K111" s="4">
        <v>7.52</v>
      </c>
      <c r="L111" s="4">
        <v>40.9</v>
      </c>
      <c r="M111" s="4">
        <v>43</v>
      </c>
      <c r="N111" s="4">
        <v>27</v>
      </c>
      <c r="O111" s="4">
        <v>610</v>
      </c>
      <c r="P111" s="4">
        <v>174</v>
      </c>
      <c r="Q111" s="4">
        <v>22200</v>
      </c>
      <c r="R111" s="4">
        <v>1470</v>
      </c>
      <c r="S111" s="4">
        <v>4780</v>
      </c>
      <c r="T111" s="4">
        <v>257</v>
      </c>
      <c r="U111" s="4">
        <v>5360</v>
      </c>
      <c r="V111" s="4">
        <v>124</v>
      </c>
      <c r="W111" s="4">
        <v>761</v>
      </c>
      <c r="X111" s="4">
        <v>74.7</v>
      </c>
      <c r="Y111" s="4">
        <v>1170</v>
      </c>
      <c r="Z111" s="4">
        <v>2800</v>
      </c>
      <c r="AA111" s="4">
        <v>10900</v>
      </c>
      <c r="AB111" s="4">
        <v>48300</v>
      </c>
      <c r="AC111" s="4">
        <v>84.8</v>
      </c>
      <c r="AD111" s="4">
        <v>998</v>
      </c>
      <c r="AE111" s="4">
        <v>2660</v>
      </c>
      <c r="AF111" s="4">
        <v>2.5</v>
      </c>
      <c r="AG111" s="4" t="s">
        <v>273</v>
      </c>
      <c r="AH111" s="4">
        <v>24</v>
      </c>
      <c r="AI111" s="4">
        <v>117</v>
      </c>
    </row>
    <row r="112" spans="1:35" x14ac:dyDescent="0.25">
      <c r="A112" s="4"/>
      <c r="B112" s="6" t="s">
        <v>274</v>
      </c>
      <c r="C112" s="4" t="s">
        <v>59</v>
      </c>
      <c r="D112" s="4">
        <v>1</v>
      </c>
      <c r="E112" s="4"/>
      <c r="F112" s="4">
        <v>3</v>
      </c>
      <c r="G112" s="4">
        <v>611</v>
      </c>
      <c r="H112" s="4">
        <v>324</v>
      </c>
      <c r="I112" s="4">
        <v>19</v>
      </c>
      <c r="J112" s="4">
        <v>12.7</v>
      </c>
      <c r="K112" s="4">
        <v>8.5299999999999994</v>
      </c>
      <c r="L112" s="4">
        <v>45.1</v>
      </c>
      <c r="M112" s="4">
        <v>41</v>
      </c>
      <c r="N112" s="4">
        <v>27</v>
      </c>
      <c r="O112" s="4">
        <v>610</v>
      </c>
      <c r="P112" s="4">
        <v>155</v>
      </c>
      <c r="Q112" s="4">
        <v>19700</v>
      </c>
      <c r="R112" s="4">
        <v>1290</v>
      </c>
      <c r="S112" s="4">
        <v>4220</v>
      </c>
      <c r="T112" s="4">
        <v>256</v>
      </c>
      <c r="U112" s="4">
        <v>4730</v>
      </c>
      <c r="V112" s="4">
        <v>108</v>
      </c>
      <c r="W112" s="4">
        <v>666</v>
      </c>
      <c r="X112" s="4">
        <v>73.900000000000006</v>
      </c>
      <c r="Y112" s="4">
        <v>1020</v>
      </c>
      <c r="Z112" s="4">
        <v>1950</v>
      </c>
      <c r="AA112" s="4">
        <v>9450</v>
      </c>
      <c r="AB112" s="4">
        <v>48000</v>
      </c>
      <c r="AC112" s="4">
        <v>73.8</v>
      </c>
      <c r="AD112" s="4">
        <v>875</v>
      </c>
      <c r="AE112" s="4">
        <v>2340</v>
      </c>
      <c r="AF112" s="4">
        <v>2.4900000000000002</v>
      </c>
      <c r="AG112" s="4" t="s">
        <v>275</v>
      </c>
      <c r="AH112" s="4">
        <v>24</v>
      </c>
      <c r="AI112" s="4">
        <v>104</v>
      </c>
    </row>
    <row r="113" spans="1:35" x14ac:dyDescent="0.25">
      <c r="A113" s="4" t="s">
        <v>59</v>
      </c>
      <c r="B113" s="5" t="s">
        <v>276</v>
      </c>
      <c r="C113" s="4" t="s">
        <v>59</v>
      </c>
      <c r="D113" s="4">
        <v>1</v>
      </c>
      <c r="E113" s="4"/>
      <c r="F113" s="4">
        <v>3</v>
      </c>
      <c r="G113" s="4">
        <v>623</v>
      </c>
      <c r="H113" s="4">
        <v>229</v>
      </c>
      <c r="I113" s="4">
        <v>24.9</v>
      </c>
      <c r="J113" s="4">
        <v>14</v>
      </c>
      <c r="K113" s="4">
        <v>4.5999999999999996</v>
      </c>
      <c r="L113" s="4">
        <v>40.9</v>
      </c>
      <c r="M113" s="4">
        <v>47</v>
      </c>
      <c r="N113" s="4">
        <v>27</v>
      </c>
      <c r="O113" s="4">
        <v>610</v>
      </c>
      <c r="P113" s="4">
        <v>153</v>
      </c>
      <c r="Q113" s="4">
        <v>19600</v>
      </c>
      <c r="R113" s="4">
        <v>1250</v>
      </c>
      <c r="S113" s="4">
        <v>4020</v>
      </c>
      <c r="T113" s="4">
        <v>253</v>
      </c>
      <c r="U113" s="4">
        <v>4600</v>
      </c>
      <c r="V113" s="4">
        <v>50</v>
      </c>
      <c r="W113" s="4">
        <v>437</v>
      </c>
      <c r="X113" s="4">
        <v>50.5</v>
      </c>
      <c r="Y113" s="4">
        <v>682</v>
      </c>
      <c r="Z113" s="4">
        <v>2950</v>
      </c>
      <c r="AA113" s="4">
        <v>4470</v>
      </c>
      <c r="AB113" s="4">
        <v>34200</v>
      </c>
      <c r="AC113" s="4">
        <v>48.8</v>
      </c>
      <c r="AD113" s="4">
        <v>800</v>
      </c>
      <c r="AE113" s="4">
        <v>2280</v>
      </c>
      <c r="AF113" s="4">
        <v>2.13</v>
      </c>
      <c r="AG113" s="4" t="s">
        <v>9</v>
      </c>
      <c r="AH113" s="4">
        <v>24</v>
      </c>
      <c r="AI113" s="4">
        <v>103</v>
      </c>
    </row>
    <row r="114" spans="1:35" x14ac:dyDescent="0.25">
      <c r="A114" s="4"/>
      <c r="B114" s="6" t="s">
        <v>277</v>
      </c>
      <c r="C114" s="4" t="s">
        <v>59</v>
      </c>
      <c r="D114" s="4">
        <v>1</v>
      </c>
      <c r="E114" s="4"/>
      <c r="F114" s="4">
        <v>3</v>
      </c>
      <c r="G114" s="4">
        <v>617</v>
      </c>
      <c r="H114" s="4">
        <v>230</v>
      </c>
      <c r="I114" s="4">
        <v>22.2</v>
      </c>
      <c r="J114" s="4">
        <v>13.1</v>
      </c>
      <c r="K114" s="4">
        <v>5.18</v>
      </c>
      <c r="L114" s="4">
        <v>43.7</v>
      </c>
      <c r="M114" s="4">
        <v>44</v>
      </c>
      <c r="N114" s="4">
        <v>27</v>
      </c>
      <c r="O114" s="4">
        <v>610</v>
      </c>
      <c r="P114" s="4">
        <v>140</v>
      </c>
      <c r="Q114" s="4">
        <v>17900</v>
      </c>
      <c r="R114" s="4">
        <v>1120</v>
      </c>
      <c r="S114" s="4">
        <v>3630</v>
      </c>
      <c r="T114" s="4">
        <v>250</v>
      </c>
      <c r="U114" s="4">
        <v>4150</v>
      </c>
      <c r="V114" s="4">
        <v>45.1</v>
      </c>
      <c r="W114" s="4">
        <v>392</v>
      </c>
      <c r="X114" s="4">
        <v>50.3</v>
      </c>
      <c r="Y114" s="4">
        <v>613</v>
      </c>
      <c r="Z114" s="4">
        <v>2180</v>
      </c>
      <c r="AA114" s="4">
        <v>3990</v>
      </c>
      <c r="AB114" s="4">
        <v>34200</v>
      </c>
      <c r="AC114" s="4">
        <v>43.7</v>
      </c>
      <c r="AD114" s="4">
        <v>716</v>
      </c>
      <c r="AE114" s="4">
        <v>2060</v>
      </c>
      <c r="AF114" s="4">
        <v>2.13</v>
      </c>
      <c r="AG114" s="4" t="s">
        <v>10</v>
      </c>
      <c r="AH114" s="4">
        <v>24</v>
      </c>
      <c r="AI114" s="4">
        <v>94</v>
      </c>
    </row>
    <row r="115" spans="1:35" x14ac:dyDescent="0.25">
      <c r="A115" s="4"/>
      <c r="B115" s="6" t="s">
        <v>278</v>
      </c>
      <c r="C115" s="4" t="s">
        <v>59</v>
      </c>
      <c r="D115" s="4">
        <v>1</v>
      </c>
      <c r="E115" s="4"/>
      <c r="F115" s="4">
        <v>3</v>
      </c>
      <c r="G115" s="4">
        <v>612</v>
      </c>
      <c r="H115" s="4">
        <v>229</v>
      </c>
      <c r="I115" s="4">
        <v>19.600000000000001</v>
      </c>
      <c r="J115" s="4">
        <v>11.9</v>
      </c>
      <c r="K115" s="4">
        <v>5.84</v>
      </c>
      <c r="L115" s="4">
        <v>48.1</v>
      </c>
      <c r="M115" s="4">
        <v>41</v>
      </c>
      <c r="N115" s="4">
        <v>26</v>
      </c>
      <c r="O115" s="4">
        <v>610</v>
      </c>
      <c r="P115" s="4">
        <v>125</v>
      </c>
      <c r="Q115" s="4">
        <v>15900</v>
      </c>
      <c r="R115" s="4">
        <v>985</v>
      </c>
      <c r="S115" s="4">
        <v>3220</v>
      </c>
      <c r="T115" s="4">
        <v>249</v>
      </c>
      <c r="U115" s="4">
        <v>3670</v>
      </c>
      <c r="V115" s="4">
        <v>39.299999999999997</v>
      </c>
      <c r="W115" s="4">
        <v>343</v>
      </c>
      <c r="X115" s="4">
        <v>49.7</v>
      </c>
      <c r="Y115" s="4">
        <v>535</v>
      </c>
      <c r="Z115" s="4">
        <v>1540</v>
      </c>
      <c r="AA115" s="4">
        <v>3450</v>
      </c>
      <c r="AB115" s="4">
        <v>33900</v>
      </c>
      <c r="AC115" s="4">
        <v>38.1</v>
      </c>
      <c r="AD115" s="4">
        <v>630</v>
      </c>
      <c r="AE115" s="4">
        <v>1820</v>
      </c>
      <c r="AF115" s="4">
        <v>2.12</v>
      </c>
      <c r="AG115" s="4" t="s">
        <v>279</v>
      </c>
      <c r="AH115" s="4">
        <v>24</v>
      </c>
      <c r="AI115" s="4">
        <v>84</v>
      </c>
    </row>
    <row r="116" spans="1:35" x14ac:dyDescent="0.25">
      <c r="A116" s="4"/>
      <c r="B116" s="6" t="s">
        <v>280</v>
      </c>
      <c r="C116" s="4" t="s">
        <v>59</v>
      </c>
      <c r="D116" s="4">
        <v>1</v>
      </c>
      <c r="E116" s="4"/>
      <c r="F116" s="4">
        <v>3</v>
      </c>
      <c r="G116" s="4">
        <v>608</v>
      </c>
      <c r="H116" s="4">
        <v>228</v>
      </c>
      <c r="I116" s="4">
        <v>17.3</v>
      </c>
      <c r="J116" s="4">
        <v>11.2</v>
      </c>
      <c r="K116" s="4">
        <v>6.59</v>
      </c>
      <c r="L116" s="4">
        <v>51.2</v>
      </c>
      <c r="M116" s="4">
        <v>39</v>
      </c>
      <c r="N116" s="4">
        <v>26</v>
      </c>
      <c r="O116" s="4">
        <v>610</v>
      </c>
      <c r="P116" s="4">
        <v>113</v>
      </c>
      <c r="Q116" s="4">
        <v>14400</v>
      </c>
      <c r="R116" s="4">
        <v>875</v>
      </c>
      <c r="S116" s="4">
        <v>2880</v>
      </c>
      <c r="T116" s="4">
        <v>246</v>
      </c>
      <c r="U116" s="4">
        <v>3290</v>
      </c>
      <c r="V116" s="4">
        <v>34.299999999999997</v>
      </c>
      <c r="W116" s="4">
        <v>300</v>
      </c>
      <c r="X116" s="4">
        <v>48.7</v>
      </c>
      <c r="Y116" s="4">
        <v>469</v>
      </c>
      <c r="Z116" s="4">
        <v>1120</v>
      </c>
      <c r="AA116" s="4">
        <v>2990</v>
      </c>
      <c r="AB116" s="4">
        <v>33700</v>
      </c>
      <c r="AC116" s="4">
        <v>33.200000000000003</v>
      </c>
      <c r="AD116" s="4">
        <v>554</v>
      </c>
      <c r="AE116" s="4">
        <v>1630</v>
      </c>
      <c r="AF116" s="4">
        <v>2.11</v>
      </c>
      <c r="AG116" s="4" t="s">
        <v>11</v>
      </c>
      <c r="AH116" s="4">
        <v>24</v>
      </c>
      <c r="AI116" s="4">
        <v>76</v>
      </c>
    </row>
    <row r="117" spans="1:35" x14ac:dyDescent="0.25">
      <c r="A117" s="4"/>
      <c r="B117" s="6" t="s">
        <v>281</v>
      </c>
      <c r="C117" s="4" t="s">
        <v>59</v>
      </c>
      <c r="D117" s="4">
        <v>1</v>
      </c>
      <c r="E117" s="4"/>
      <c r="F117" s="4">
        <v>3</v>
      </c>
      <c r="G117" s="4">
        <v>603</v>
      </c>
      <c r="H117" s="4">
        <v>228</v>
      </c>
      <c r="I117" s="4">
        <v>14.9</v>
      </c>
      <c r="J117" s="4">
        <v>10.5</v>
      </c>
      <c r="K117" s="4">
        <v>7.65</v>
      </c>
      <c r="L117" s="4">
        <v>54.6</v>
      </c>
      <c r="M117" s="4">
        <v>37</v>
      </c>
      <c r="N117" s="4">
        <v>26</v>
      </c>
      <c r="O117" s="4">
        <v>610</v>
      </c>
      <c r="P117" s="4">
        <v>101</v>
      </c>
      <c r="Q117" s="4">
        <v>13000</v>
      </c>
      <c r="R117" s="4">
        <v>764</v>
      </c>
      <c r="S117" s="4">
        <v>2530</v>
      </c>
      <c r="T117" s="4">
        <v>243</v>
      </c>
      <c r="U117" s="4">
        <v>2900</v>
      </c>
      <c r="V117" s="4">
        <v>29.5</v>
      </c>
      <c r="W117" s="4">
        <v>259</v>
      </c>
      <c r="X117" s="4">
        <v>47.7</v>
      </c>
      <c r="Y117" s="4">
        <v>404</v>
      </c>
      <c r="Z117" s="4">
        <v>781</v>
      </c>
      <c r="AA117" s="4">
        <v>2550</v>
      </c>
      <c r="AB117" s="4">
        <v>33500</v>
      </c>
      <c r="AC117" s="4">
        <v>28.5</v>
      </c>
      <c r="AD117" s="4">
        <v>476</v>
      </c>
      <c r="AE117" s="4">
        <v>1430</v>
      </c>
      <c r="AF117" s="4">
        <v>2.1</v>
      </c>
      <c r="AG117" s="4" t="s">
        <v>282</v>
      </c>
      <c r="AH117" s="4">
        <v>24</v>
      </c>
      <c r="AI117" s="4">
        <v>68</v>
      </c>
    </row>
    <row r="118" spans="1:35" x14ac:dyDescent="0.25">
      <c r="A118" s="4"/>
      <c r="B118" s="5" t="s">
        <v>283</v>
      </c>
      <c r="C118" s="4" t="s">
        <v>284</v>
      </c>
      <c r="D118" s="4">
        <v>1</v>
      </c>
      <c r="E118" s="4"/>
      <c r="F118" s="4">
        <v>3</v>
      </c>
      <c r="G118" s="4">
        <v>598</v>
      </c>
      <c r="H118" s="4">
        <v>227</v>
      </c>
      <c r="I118" s="4">
        <v>12.7</v>
      </c>
      <c r="J118" s="4">
        <v>9.6999999999999993</v>
      </c>
      <c r="K118" s="4">
        <v>8.94</v>
      </c>
      <c r="L118" s="4">
        <v>59</v>
      </c>
      <c r="M118" s="4">
        <v>35</v>
      </c>
      <c r="N118" s="4">
        <v>25</v>
      </c>
      <c r="O118" s="4">
        <v>610</v>
      </c>
      <c r="P118" s="4">
        <v>91</v>
      </c>
      <c r="Q118" s="4">
        <v>11500</v>
      </c>
      <c r="R118" s="4">
        <v>657</v>
      </c>
      <c r="S118" s="4">
        <v>2200</v>
      </c>
      <c r="T118" s="4">
        <v>239</v>
      </c>
      <c r="U118" s="4">
        <v>2520</v>
      </c>
      <c r="V118" s="4">
        <v>24.8</v>
      </c>
      <c r="W118" s="4">
        <v>219</v>
      </c>
      <c r="X118" s="4">
        <v>46.5</v>
      </c>
      <c r="Y118" s="4">
        <v>342</v>
      </c>
      <c r="Z118" s="4">
        <v>531</v>
      </c>
      <c r="AA118" s="4">
        <v>2120</v>
      </c>
      <c r="AB118" s="4">
        <v>33200</v>
      </c>
      <c r="AC118" s="4">
        <v>23.9</v>
      </c>
      <c r="AD118" s="4">
        <v>404</v>
      </c>
      <c r="AE118" s="4">
        <v>1240</v>
      </c>
      <c r="AF118" s="4">
        <v>2.08</v>
      </c>
      <c r="AG118" s="4" t="s">
        <v>285</v>
      </c>
      <c r="AH118" s="4">
        <v>24</v>
      </c>
      <c r="AI118" s="4">
        <v>61</v>
      </c>
    </row>
    <row r="119" spans="1:35" x14ac:dyDescent="0.25">
      <c r="A119" s="4"/>
      <c r="B119" s="5" t="s">
        <v>286</v>
      </c>
      <c r="C119" s="4" t="s">
        <v>284</v>
      </c>
      <c r="D119" s="4">
        <v>1</v>
      </c>
      <c r="E119" s="4"/>
      <c r="F119" s="4">
        <v>3</v>
      </c>
      <c r="G119" s="4">
        <v>596</v>
      </c>
      <c r="H119" s="4">
        <v>226</v>
      </c>
      <c r="I119" s="4">
        <v>11.7</v>
      </c>
      <c r="J119" s="4">
        <v>9</v>
      </c>
      <c r="K119" s="4">
        <v>9.66</v>
      </c>
      <c r="L119" s="4">
        <v>63.6</v>
      </c>
      <c r="M119" s="4">
        <v>34</v>
      </c>
      <c r="N119" s="4">
        <v>25</v>
      </c>
      <c r="O119" s="4">
        <v>610</v>
      </c>
      <c r="P119" s="4">
        <v>84</v>
      </c>
      <c r="Q119" s="4">
        <v>10600</v>
      </c>
      <c r="R119" s="4">
        <v>603</v>
      </c>
      <c r="S119" s="4">
        <v>2020</v>
      </c>
      <c r="T119" s="4">
        <v>239</v>
      </c>
      <c r="U119" s="4">
        <v>2320</v>
      </c>
      <c r="V119" s="4">
        <v>22.6</v>
      </c>
      <c r="W119" s="4">
        <v>200</v>
      </c>
      <c r="X119" s="4">
        <v>46.2</v>
      </c>
      <c r="Y119" s="4">
        <v>311</v>
      </c>
      <c r="Z119" s="4">
        <v>420</v>
      </c>
      <c r="AA119" s="4">
        <v>1920</v>
      </c>
      <c r="AB119" s="4">
        <v>33000</v>
      </c>
      <c r="AC119" s="4">
        <v>21.8</v>
      </c>
      <c r="AD119" s="4">
        <v>371</v>
      </c>
      <c r="AE119" s="4">
        <v>1140</v>
      </c>
      <c r="AF119" s="4">
        <v>2.08</v>
      </c>
      <c r="AG119" s="4" t="s">
        <v>287</v>
      </c>
      <c r="AH119" s="4">
        <v>24</v>
      </c>
      <c r="AI119" s="4">
        <v>56</v>
      </c>
    </row>
    <row r="120" spans="1:35" x14ac:dyDescent="0.25">
      <c r="A120" s="4" t="s">
        <v>59</v>
      </c>
      <c r="B120" s="6" t="s">
        <v>288</v>
      </c>
      <c r="C120" s="4" t="s">
        <v>59</v>
      </c>
      <c r="D120" s="4">
        <v>1</v>
      </c>
      <c r="E120" s="4"/>
      <c r="F120" s="4">
        <v>3</v>
      </c>
      <c r="G120" s="4">
        <v>603</v>
      </c>
      <c r="H120" s="4">
        <v>179</v>
      </c>
      <c r="I120" s="4">
        <v>15</v>
      </c>
      <c r="J120" s="4">
        <v>10.9</v>
      </c>
      <c r="K120" s="4">
        <v>5.97</v>
      </c>
      <c r="L120" s="4">
        <v>52.6</v>
      </c>
      <c r="M120" s="4">
        <v>37</v>
      </c>
      <c r="N120" s="4">
        <v>25</v>
      </c>
      <c r="O120" s="4">
        <v>610</v>
      </c>
      <c r="P120" s="4">
        <v>92</v>
      </c>
      <c r="Q120" s="4">
        <v>11800</v>
      </c>
      <c r="R120" s="4">
        <v>651</v>
      </c>
      <c r="S120" s="4">
        <v>2160</v>
      </c>
      <c r="T120" s="4">
        <v>235</v>
      </c>
      <c r="U120" s="4">
        <v>2530</v>
      </c>
      <c r="V120" s="4">
        <v>14.4</v>
      </c>
      <c r="W120" s="4">
        <v>161</v>
      </c>
      <c r="X120" s="4">
        <v>34.9</v>
      </c>
      <c r="Y120" s="4">
        <v>259</v>
      </c>
      <c r="Z120" s="4">
        <v>738</v>
      </c>
      <c r="AA120" s="4">
        <v>1250</v>
      </c>
      <c r="AB120" s="4">
        <v>26300</v>
      </c>
      <c r="AC120" s="4">
        <v>17.7</v>
      </c>
      <c r="AD120" s="4">
        <v>371</v>
      </c>
      <c r="AE120" s="4">
        <v>1240</v>
      </c>
      <c r="AF120" s="4">
        <v>1.9</v>
      </c>
      <c r="AG120" s="4" t="s">
        <v>289</v>
      </c>
      <c r="AH120" s="4">
        <v>24</v>
      </c>
      <c r="AI120" s="4">
        <v>62</v>
      </c>
    </row>
    <row r="121" spans="1:35" x14ac:dyDescent="0.25">
      <c r="A121" s="4"/>
      <c r="B121" s="6" t="s">
        <v>290</v>
      </c>
      <c r="C121" s="4" t="s">
        <v>59</v>
      </c>
      <c r="D121" s="4">
        <v>1</v>
      </c>
      <c r="E121" s="4"/>
      <c r="F121" s="4">
        <v>3</v>
      </c>
      <c r="G121" s="4">
        <v>599</v>
      </c>
      <c r="H121" s="4">
        <v>178</v>
      </c>
      <c r="I121" s="4">
        <v>12.8</v>
      </c>
      <c r="J121" s="4">
        <v>10</v>
      </c>
      <c r="K121" s="4">
        <v>6.95</v>
      </c>
      <c r="L121" s="4">
        <v>57.3</v>
      </c>
      <c r="M121" s="4">
        <v>34</v>
      </c>
      <c r="N121" s="4">
        <v>25</v>
      </c>
      <c r="O121" s="4">
        <v>610</v>
      </c>
      <c r="P121" s="4">
        <v>82</v>
      </c>
      <c r="Q121" s="4">
        <v>10500</v>
      </c>
      <c r="R121" s="4">
        <v>565</v>
      </c>
      <c r="S121" s="4">
        <v>1880</v>
      </c>
      <c r="T121" s="4">
        <v>232</v>
      </c>
      <c r="U121" s="4">
        <v>2210</v>
      </c>
      <c r="V121" s="4">
        <v>12.1</v>
      </c>
      <c r="W121" s="4">
        <v>136</v>
      </c>
      <c r="X121" s="4">
        <v>34</v>
      </c>
      <c r="Y121" s="4">
        <v>219</v>
      </c>
      <c r="Z121" s="4">
        <v>510</v>
      </c>
      <c r="AA121" s="4">
        <v>1040</v>
      </c>
      <c r="AB121" s="4">
        <v>26100</v>
      </c>
      <c r="AC121" s="4">
        <v>14.9</v>
      </c>
      <c r="AD121" s="4">
        <v>315</v>
      </c>
      <c r="AE121" s="4">
        <v>1080</v>
      </c>
      <c r="AF121" s="4">
        <v>1.89</v>
      </c>
      <c r="AG121" s="4" t="s">
        <v>291</v>
      </c>
      <c r="AH121" s="4">
        <v>24</v>
      </c>
      <c r="AI121" s="4">
        <v>55</v>
      </c>
    </row>
    <row r="122" spans="1:35" x14ac:dyDescent="0.25">
      <c r="A122" s="4" t="s">
        <v>59</v>
      </c>
      <c r="B122" s="5" t="s">
        <v>292</v>
      </c>
      <c r="C122" s="4" t="s">
        <v>59</v>
      </c>
      <c r="D122" s="4">
        <v>1</v>
      </c>
      <c r="E122" s="4"/>
      <c r="F122" s="4">
        <v>3</v>
      </c>
      <c r="G122" s="4">
        <v>585</v>
      </c>
      <c r="H122" s="4">
        <v>319</v>
      </c>
      <c r="I122" s="4">
        <v>41.4</v>
      </c>
      <c r="J122" s="4">
        <v>23.1</v>
      </c>
      <c r="K122" s="4">
        <v>3.85</v>
      </c>
      <c r="L122" s="4">
        <v>21.7</v>
      </c>
      <c r="M122" s="4">
        <v>63</v>
      </c>
      <c r="N122" s="4">
        <v>32</v>
      </c>
      <c r="O122" s="4">
        <v>530</v>
      </c>
      <c r="P122" s="4">
        <v>300</v>
      </c>
      <c r="Q122" s="4">
        <v>38200</v>
      </c>
      <c r="R122" s="4">
        <v>2210</v>
      </c>
      <c r="S122" s="4">
        <v>7550</v>
      </c>
      <c r="T122" s="4">
        <v>241</v>
      </c>
      <c r="U122" s="4">
        <v>8670</v>
      </c>
      <c r="V122" s="4">
        <v>225</v>
      </c>
      <c r="W122" s="4">
        <v>1410</v>
      </c>
      <c r="X122" s="4">
        <v>76.7</v>
      </c>
      <c r="Y122" s="4">
        <v>2180</v>
      </c>
      <c r="Z122" s="4">
        <v>17000</v>
      </c>
      <c r="AA122" s="4">
        <v>16600</v>
      </c>
      <c r="AB122" s="4">
        <v>43400</v>
      </c>
      <c r="AC122" s="4">
        <v>143</v>
      </c>
      <c r="AD122" s="4">
        <v>1660</v>
      </c>
      <c r="AE122" s="4">
        <v>4320</v>
      </c>
      <c r="AF122" s="4">
        <v>2.4</v>
      </c>
      <c r="AG122" s="4" t="s">
        <v>293</v>
      </c>
      <c r="AH122" s="4">
        <v>21</v>
      </c>
      <c r="AI122" s="4">
        <v>201</v>
      </c>
    </row>
    <row r="123" spans="1:35" x14ac:dyDescent="0.25">
      <c r="A123" s="4"/>
      <c r="B123" s="5" t="s">
        <v>294</v>
      </c>
      <c r="C123" s="4" t="s">
        <v>59</v>
      </c>
      <c r="D123" s="4">
        <v>1</v>
      </c>
      <c r="E123" s="4"/>
      <c r="F123" s="4">
        <v>3</v>
      </c>
      <c r="G123" s="4">
        <v>577</v>
      </c>
      <c r="H123" s="4">
        <v>318</v>
      </c>
      <c r="I123" s="4">
        <v>37.6</v>
      </c>
      <c r="J123" s="4">
        <v>21.1</v>
      </c>
      <c r="K123" s="4">
        <v>4.2300000000000004</v>
      </c>
      <c r="L123" s="4">
        <v>23.8</v>
      </c>
      <c r="M123" s="4">
        <v>59</v>
      </c>
      <c r="N123" s="4">
        <v>31</v>
      </c>
      <c r="O123" s="4">
        <v>530</v>
      </c>
      <c r="P123" s="4">
        <v>272</v>
      </c>
      <c r="Q123" s="4">
        <v>34600</v>
      </c>
      <c r="R123" s="4">
        <v>1970</v>
      </c>
      <c r="S123" s="4">
        <v>6840</v>
      </c>
      <c r="T123" s="4">
        <v>239</v>
      </c>
      <c r="U123" s="4">
        <v>7810</v>
      </c>
      <c r="V123" s="4">
        <v>202</v>
      </c>
      <c r="W123" s="4">
        <v>1270</v>
      </c>
      <c r="X123" s="4">
        <v>76.400000000000006</v>
      </c>
      <c r="Y123" s="4">
        <v>1960</v>
      </c>
      <c r="Z123" s="4">
        <v>12800</v>
      </c>
      <c r="AA123" s="4">
        <v>14700</v>
      </c>
      <c r="AB123" s="4">
        <v>42900</v>
      </c>
      <c r="AC123" s="4">
        <v>128</v>
      </c>
      <c r="AD123" s="4">
        <v>1510</v>
      </c>
      <c r="AE123" s="4">
        <v>3890</v>
      </c>
      <c r="AF123" s="4">
        <v>2.38</v>
      </c>
      <c r="AG123" s="4" t="s">
        <v>295</v>
      </c>
      <c r="AH123" s="4">
        <v>21</v>
      </c>
      <c r="AI123" s="4">
        <v>182</v>
      </c>
    </row>
    <row r="124" spans="1:35" x14ac:dyDescent="0.25">
      <c r="A124" s="4"/>
      <c r="B124" s="5" t="s">
        <v>296</v>
      </c>
      <c r="C124" s="4" t="s">
        <v>59</v>
      </c>
      <c r="D124" s="4">
        <v>1</v>
      </c>
      <c r="E124" s="4"/>
      <c r="F124" s="4">
        <v>3</v>
      </c>
      <c r="G124" s="4">
        <v>571</v>
      </c>
      <c r="H124" s="4">
        <v>315</v>
      </c>
      <c r="I124" s="4">
        <v>34.5</v>
      </c>
      <c r="J124" s="4">
        <v>19</v>
      </c>
      <c r="K124" s="4">
        <v>4.57</v>
      </c>
      <c r="L124" s="4">
        <v>26.4</v>
      </c>
      <c r="M124" s="4">
        <v>56</v>
      </c>
      <c r="N124" s="4">
        <v>30</v>
      </c>
      <c r="O124" s="4">
        <v>530</v>
      </c>
      <c r="P124" s="4">
        <v>248</v>
      </c>
      <c r="Q124" s="4">
        <v>31400</v>
      </c>
      <c r="R124" s="4">
        <v>1770</v>
      </c>
      <c r="S124" s="4">
        <v>6220</v>
      </c>
      <c r="T124" s="4">
        <v>238</v>
      </c>
      <c r="U124" s="4">
        <v>7060</v>
      </c>
      <c r="V124" s="4">
        <v>180</v>
      </c>
      <c r="W124" s="4">
        <v>1140</v>
      </c>
      <c r="X124" s="4">
        <v>75.7</v>
      </c>
      <c r="Y124" s="4">
        <v>1760</v>
      </c>
      <c r="Z124" s="4">
        <v>9770</v>
      </c>
      <c r="AA124" s="4">
        <v>13000</v>
      </c>
      <c r="AB124" s="4">
        <v>42200</v>
      </c>
      <c r="AC124" s="4">
        <v>115</v>
      </c>
      <c r="AD124" s="4">
        <v>1370</v>
      </c>
      <c r="AE124" s="4">
        <v>3510</v>
      </c>
      <c r="AF124" s="4">
        <v>2.36</v>
      </c>
      <c r="AG124" s="4" t="s">
        <v>297</v>
      </c>
      <c r="AH124" s="4">
        <v>21</v>
      </c>
      <c r="AI124" s="4">
        <v>166</v>
      </c>
    </row>
    <row r="125" spans="1:35" x14ac:dyDescent="0.25">
      <c r="A125" s="4"/>
      <c r="B125" s="5" t="s">
        <v>298</v>
      </c>
      <c r="C125" s="4" t="s">
        <v>59</v>
      </c>
      <c r="D125" s="4">
        <v>1</v>
      </c>
      <c r="E125" s="4"/>
      <c r="F125" s="4">
        <v>3</v>
      </c>
      <c r="G125" s="4">
        <v>560</v>
      </c>
      <c r="H125" s="4">
        <v>318</v>
      </c>
      <c r="I125" s="4">
        <v>29.2</v>
      </c>
      <c r="J125" s="4">
        <v>18.3</v>
      </c>
      <c r="K125" s="4">
        <v>5.45</v>
      </c>
      <c r="L125" s="4">
        <v>27.4</v>
      </c>
      <c r="M125" s="4">
        <v>51</v>
      </c>
      <c r="N125" s="4">
        <v>29</v>
      </c>
      <c r="O125" s="4">
        <v>530</v>
      </c>
      <c r="P125" s="4">
        <v>219</v>
      </c>
      <c r="Q125" s="4">
        <v>27900</v>
      </c>
      <c r="R125" s="4">
        <v>1510</v>
      </c>
      <c r="S125" s="4">
        <v>5390</v>
      </c>
      <c r="T125" s="4">
        <v>233</v>
      </c>
      <c r="U125" s="4">
        <v>6110</v>
      </c>
      <c r="V125" s="4">
        <v>157</v>
      </c>
      <c r="W125" s="4">
        <v>986</v>
      </c>
      <c r="X125" s="4">
        <v>75</v>
      </c>
      <c r="Y125" s="4">
        <v>1520</v>
      </c>
      <c r="Z125" s="4">
        <v>6420</v>
      </c>
      <c r="AA125" s="4">
        <v>11000</v>
      </c>
      <c r="AB125" s="4">
        <v>42200</v>
      </c>
      <c r="AC125" s="4">
        <v>98</v>
      </c>
      <c r="AD125" s="4">
        <v>1160</v>
      </c>
      <c r="AE125" s="4">
        <v>3040</v>
      </c>
      <c r="AF125" s="4">
        <v>2.36</v>
      </c>
      <c r="AG125" s="4" t="s">
        <v>299</v>
      </c>
      <c r="AH125" s="4">
        <v>21</v>
      </c>
      <c r="AI125" s="4">
        <v>147</v>
      </c>
    </row>
    <row r="126" spans="1:35" x14ac:dyDescent="0.25">
      <c r="A126" s="4"/>
      <c r="B126" s="5" t="s">
        <v>300</v>
      </c>
      <c r="C126" s="4" t="s">
        <v>59</v>
      </c>
      <c r="D126" s="4">
        <v>1</v>
      </c>
      <c r="E126" s="4"/>
      <c r="F126" s="4">
        <v>3</v>
      </c>
      <c r="G126" s="4">
        <v>554</v>
      </c>
      <c r="H126" s="4">
        <v>316</v>
      </c>
      <c r="I126" s="4">
        <v>26.3</v>
      </c>
      <c r="J126" s="4">
        <v>16.5</v>
      </c>
      <c r="K126" s="4">
        <v>6.01</v>
      </c>
      <c r="L126" s="4">
        <v>30.4</v>
      </c>
      <c r="M126" s="4">
        <v>48</v>
      </c>
      <c r="N126" s="4">
        <v>29</v>
      </c>
      <c r="O126" s="4">
        <v>530</v>
      </c>
      <c r="P126" s="4">
        <v>196</v>
      </c>
      <c r="Q126" s="4">
        <v>25000</v>
      </c>
      <c r="R126" s="4">
        <v>1340</v>
      </c>
      <c r="S126" s="4">
        <v>4840</v>
      </c>
      <c r="T126" s="4">
        <v>231</v>
      </c>
      <c r="U126" s="4">
        <v>5460</v>
      </c>
      <c r="V126" s="4">
        <v>139</v>
      </c>
      <c r="W126" s="4">
        <v>877</v>
      </c>
      <c r="X126" s="4">
        <v>74.400000000000006</v>
      </c>
      <c r="Y126" s="4">
        <v>1350</v>
      </c>
      <c r="Z126" s="4">
        <v>4700</v>
      </c>
      <c r="AA126" s="4">
        <v>9640</v>
      </c>
      <c r="AB126" s="4">
        <v>41700</v>
      </c>
      <c r="AC126" s="4">
        <v>86.6</v>
      </c>
      <c r="AD126" s="4">
        <v>1040</v>
      </c>
      <c r="AE126" s="4">
        <v>2710</v>
      </c>
      <c r="AF126" s="4">
        <v>2.34</v>
      </c>
      <c r="AG126" s="4" t="s">
        <v>301</v>
      </c>
      <c r="AH126" s="4">
        <v>21</v>
      </c>
      <c r="AI126" s="4">
        <v>132</v>
      </c>
    </row>
    <row r="127" spans="1:35" x14ac:dyDescent="0.25">
      <c r="A127" s="4"/>
      <c r="B127" s="5" t="s">
        <v>302</v>
      </c>
      <c r="C127" s="4" t="s">
        <v>59</v>
      </c>
      <c r="D127" s="4">
        <v>1</v>
      </c>
      <c r="E127" s="4"/>
      <c r="F127" s="4">
        <v>3</v>
      </c>
      <c r="G127" s="4">
        <v>551</v>
      </c>
      <c r="H127" s="4">
        <v>315</v>
      </c>
      <c r="I127" s="4">
        <v>24.4</v>
      </c>
      <c r="J127" s="4">
        <v>15.2</v>
      </c>
      <c r="K127" s="4">
        <v>6.45</v>
      </c>
      <c r="L127" s="4">
        <v>33</v>
      </c>
      <c r="M127" s="4">
        <v>46</v>
      </c>
      <c r="N127" s="4">
        <v>28</v>
      </c>
      <c r="O127" s="4">
        <v>530</v>
      </c>
      <c r="P127" s="4">
        <v>182</v>
      </c>
      <c r="Q127" s="4">
        <v>23100</v>
      </c>
      <c r="R127" s="4">
        <v>1240</v>
      </c>
      <c r="S127" s="4">
        <v>4480</v>
      </c>
      <c r="T127" s="4">
        <v>231</v>
      </c>
      <c r="U127" s="4">
        <v>5040</v>
      </c>
      <c r="V127" s="4">
        <v>127</v>
      </c>
      <c r="W127" s="4">
        <v>808</v>
      </c>
      <c r="X127" s="4">
        <v>74.2</v>
      </c>
      <c r="Y127" s="4">
        <v>1240</v>
      </c>
      <c r="Z127" s="4">
        <v>3740</v>
      </c>
      <c r="AA127" s="4">
        <v>8820</v>
      </c>
      <c r="AB127" s="4">
        <v>41500</v>
      </c>
      <c r="AC127" s="4">
        <v>79.7</v>
      </c>
      <c r="AD127" s="4">
        <v>963</v>
      </c>
      <c r="AE127" s="4">
        <v>2500</v>
      </c>
      <c r="AF127" s="4">
        <v>2.33</v>
      </c>
      <c r="AG127" s="4" t="s">
        <v>303</v>
      </c>
      <c r="AH127" s="4">
        <v>21</v>
      </c>
      <c r="AI127" s="4">
        <v>122</v>
      </c>
    </row>
    <row r="128" spans="1:35" x14ac:dyDescent="0.25">
      <c r="A128" s="4"/>
      <c r="B128" s="5" t="s">
        <v>304</v>
      </c>
      <c r="C128" s="4" t="s">
        <v>59</v>
      </c>
      <c r="D128" s="4">
        <v>1</v>
      </c>
      <c r="E128" s="4"/>
      <c r="F128" s="4">
        <v>3</v>
      </c>
      <c r="G128" s="4">
        <v>546</v>
      </c>
      <c r="H128" s="4">
        <v>313</v>
      </c>
      <c r="I128" s="4">
        <v>22.2</v>
      </c>
      <c r="J128" s="4">
        <v>14</v>
      </c>
      <c r="K128" s="4">
        <v>7.05</v>
      </c>
      <c r="L128" s="4">
        <v>35.799999999999997</v>
      </c>
      <c r="M128" s="4">
        <v>44</v>
      </c>
      <c r="N128" s="4">
        <v>27</v>
      </c>
      <c r="O128" s="4">
        <v>530</v>
      </c>
      <c r="P128" s="4">
        <v>165</v>
      </c>
      <c r="Q128" s="4">
        <v>21100</v>
      </c>
      <c r="R128" s="4">
        <v>1110</v>
      </c>
      <c r="S128" s="4">
        <v>4060</v>
      </c>
      <c r="T128" s="4">
        <v>230</v>
      </c>
      <c r="U128" s="4">
        <v>4550</v>
      </c>
      <c r="V128" s="4">
        <v>114</v>
      </c>
      <c r="W128" s="4">
        <v>726</v>
      </c>
      <c r="X128" s="4">
        <v>73.400000000000006</v>
      </c>
      <c r="Y128" s="4">
        <v>1110</v>
      </c>
      <c r="Z128" s="4">
        <v>2830</v>
      </c>
      <c r="AA128" s="4">
        <v>7790</v>
      </c>
      <c r="AB128" s="4">
        <v>41000</v>
      </c>
      <c r="AC128" s="4">
        <v>71.2</v>
      </c>
      <c r="AD128" s="4">
        <v>869</v>
      </c>
      <c r="AE128" s="4">
        <v>2260</v>
      </c>
      <c r="AF128" s="4">
        <v>2.3199999999999998</v>
      </c>
      <c r="AG128" s="4" t="s">
        <v>305</v>
      </c>
      <c r="AH128" s="4">
        <v>21</v>
      </c>
      <c r="AI128" s="4">
        <v>111</v>
      </c>
    </row>
    <row r="129" spans="1:35" x14ac:dyDescent="0.25">
      <c r="A129" s="4"/>
      <c r="B129" s="5" t="s">
        <v>306</v>
      </c>
      <c r="C129" s="4" t="s">
        <v>59</v>
      </c>
      <c r="D129" s="4">
        <v>1</v>
      </c>
      <c r="E129" s="4"/>
      <c r="F129" s="4">
        <v>3</v>
      </c>
      <c r="G129" s="4">
        <v>543</v>
      </c>
      <c r="H129" s="4">
        <v>312</v>
      </c>
      <c r="I129" s="4">
        <v>20.3</v>
      </c>
      <c r="J129" s="4">
        <v>12.7</v>
      </c>
      <c r="K129" s="4">
        <v>7.68</v>
      </c>
      <c r="L129" s="4">
        <v>39.6</v>
      </c>
      <c r="M129" s="4">
        <v>42</v>
      </c>
      <c r="N129" s="4">
        <v>27</v>
      </c>
      <c r="O129" s="4">
        <v>530</v>
      </c>
      <c r="P129" s="4">
        <v>150</v>
      </c>
      <c r="Q129" s="4">
        <v>19200</v>
      </c>
      <c r="R129" s="4">
        <v>1010</v>
      </c>
      <c r="S129" s="4">
        <v>3710</v>
      </c>
      <c r="T129" s="4">
        <v>229</v>
      </c>
      <c r="U129" s="4">
        <v>4150</v>
      </c>
      <c r="V129" s="4">
        <v>103</v>
      </c>
      <c r="W129" s="4">
        <v>659</v>
      </c>
      <c r="X129" s="4">
        <v>73.2</v>
      </c>
      <c r="Y129" s="4">
        <v>1010</v>
      </c>
      <c r="Z129" s="4">
        <v>2160</v>
      </c>
      <c r="AA129" s="4">
        <v>7030</v>
      </c>
      <c r="AB129" s="4">
        <v>40800</v>
      </c>
      <c r="AC129" s="4">
        <v>64.599999999999994</v>
      </c>
      <c r="AD129" s="4">
        <v>794</v>
      </c>
      <c r="AE129" s="4">
        <v>2060</v>
      </c>
      <c r="AF129" s="4">
        <v>2.31</v>
      </c>
      <c r="AG129" s="4" t="s">
        <v>307</v>
      </c>
      <c r="AH129" s="4">
        <v>21</v>
      </c>
      <c r="AI129" s="4">
        <v>101</v>
      </c>
    </row>
    <row r="130" spans="1:35" x14ac:dyDescent="0.25">
      <c r="A130" s="4" t="s">
        <v>59</v>
      </c>
      <c r="B130" s="6" t="s">
        <v>308</v>
      </c>
      <c r="C130" s="4" t="s">
        <v>59</v>
      </c>
      <c r="D130" s="4">
        <v>1</v>
      </c>
      <c r="E130" s="4"/>
      <c r="F130" s="4">
        <v>3</v>
      </c>
      <c r="G130" s="4">
        <v>549</v>
      </c>
      <c r="H130" s="4">
        <v>214</v>
      </c>
      <c r="I130" s="4">
        <v>23.6</v>
      </c>
      <c r="J130" s="4">
        <v>14.7</v>
      </c>
      <c r="K130" s="4">
        <v>4.53</v>
      </c>
      <c r="L130" s="4">
        <v>34.1</v>
      </c>
      <c r="M130" s="4">
        <v>40</v>
      </c>
      <c r="N130" s="4">
        <v>23</v>
      </c>
      <c r="O130" s="4">
        <v>530</v>
      </c>
      <c r="P130" s="4">
        <v>138</v>
      </c>
      <c r="Q130" s="4">
        <v>17600</v>
      </c>
      <c r="R130" s="4">
        <v>861</v>
      </c>
      <c r="S130" s="4">
        <v>3140</v>
      </c>
      <c r="T130" s="4">
        <v>221</v>
      </c>
      <c r="U130" s="4">
        <v>3610</v>
      </c>
      <c r="V130" s="4">
        <v>38.700000000000003</v>
      </c>
      <c r="W130" s="4">
        <v>362</v>
      </c>
      <c r="X130" s="4">
        <v>46.9</v>
      </c>
      <c r="Y130" s="4">
        <v>569</v>
      </c>
      <c r="Z130" s="4">
        <v>2500</v>
      </c>
      <c r="AA130" s="4">
        <v>2670</v>
      </c>
      <c r="AB130" s="4">
        <v>28100</v>
      </c>
      <c r="AC130" s="4">
        <v>35.5</v>
      </c>
      <c r="AD130" s="4">
        <v>618</v>
      </c>
      <c r="AE130" s="4">
        <v>1790</v>
      </c>
      <c r="AF130" s="4">
        <v>1.92</v>
      </c>
      <c r="AG130" s="4" t="s">
        <v>309</v>
      </c>
      <c r="AH130" s="4">
        <v>21</v>
      </c>
      <c r="AI130" s="4">
        <v>93</v>
      </c>
    </row>
    <row r="131" spans="1:35" x14ac:dyDescent="0.25">
      <c r="A131" s="4"/>
      <c r="B131" s="6" t="s">
        <v>310</v>
      </c>
      <c r="C131" s="4" t="s">
        <v>59</v>
      </c>
      <c r="D131" s="4">
        <v>1</v>
      </c>
      <c r="E131" s="4"/>
      <c r="F131" s="4">
        <v>3</v>
      </c>
      <c r="G131" s="4">
        <v>544</v>
      </c>
      <c r="H131" s="4">
        <v>212</v>
      </c>
      <c r="I131" s="4">
        <v>21.2</v>
      </c>
      <c r="J131" s="4">
        <v>13.1</v>
      </c>
      <c r="K131" s="4">
        <v>5</v>
      </c>
      <c r="L131" s="4">
        <v>38.299999999999997</v>
      </c>
      <c r="M131" s="4">
        <v>38</v>
      </c>
      <c r="N131" s="4">
        <v>22</v>
      </c>
      <c r="O131" s="4">
        <v>530</v>
      </c>
      <c r="P131" s="4">
        <v>123</v>
      </c>
      <c r="Q131" s="4">
        <v>15700</v>
      </c>
      <c r="R131" s="4">
        <v>761</v>
      </c>
      <c r="S131" s="4">
        <v>2800</v>
      </c>
      <c r="T131" s="4">
        <v>220</v>
      </c>
      <c r="U131" s="4">
        <v>3210</v>
      </c>
      <c r="V131" s="4">
        <v>33.799999999999997</v>
      </c>
      <c r="W131" s="4">
        <v>319</v>
      </c>
      <c r="X131" s="4">
        <v>46.4</v>
      </c>
      <c r="Y131" s="4">
        <v>499</v>
      </c>
      <c r="Z131" s="4">
        <v>1800</v>
      </c>
      <c r="AA131" s="4">
        <v>2310</v>
      </c>
      <c r="AB131" s="4">
        <v>27700</v>
      </c>
      <c r="AC131" s="4">
        <v>31.1</v>
      </c>
      <c r="AD131" s="4">
        <v>551</v>
      </c>
      <c r="AE131" s="4">
        <v>1590</v>
      </c>
      <c r="AF131" s="4">
        <v>1.91</v>
      </c>
      <c r="AG131" s="4" t="s">
        <v>311</v>
      </c>
      <c r="AH131" s="4">
        <v>21</v>
      </c>
      <c r="AI131" s="4">
        <v>83</v>
      </c>
    </row>
    <row r="132" spans="1:35" x14ac:dyDescent="0.25">
      <c r="A132" s="4"/>
      <c r="B132" s="6" t="s">
        <v>312</v>
      </c>
      <c r="C132" s="4" t="s">
        <v>59</v>
      </c>
      <c r="D132" s="4">
        <v>1</v>
      </c>
      <c r="E132" s="4"/>
      <c r="F132" s="4">
        <v>3</v>
      </c>
      <c r="G132" s="4">
        <v>539</v>
      </c>
      <c r="H132" s="4">
        <v>211</v>
      </c>
      <c r="I132" s="4">
        <v>18.8</v>
      </c>
      <c r="J132" s="4">
        <v>11.6</v>
      </c>
      <c r="K132" s="4">
        <v>5.61</v>
      </c>
      <c r="L132" s="4">
        <v>43.2</v>
      </c>
      <c r="M132" s="4">
        <v>36</v>
      </c>
      <c r="N132" s="4">
        <v>21</v>
      </c>
      <c r="O132" s="4">
        <v>530</v>
      </c>
      <c r="P132" s="4">
        <v>109</v>
      </c>
      <c r="Q132" s="4">
        <v>13900</v>
      </c>
      <c r="R132" s="4">
        <v>667</v>
      </c>
      <c r="S132" s="4">
        <v>2480</v>
      </c>
      <c r="T132" s="4">
        <v>219</v>
      </c>
      <c r="U132" s="4">
        <v>2830</v>
      </c>
      <c r="V132" s="4">
        <v>29.5</v>
      </c>
      <c r="W132" s="4">
        <v>280</v>
      </c>
      <c r="X132" s="4">
        <v>46.1</v>
      </c>
      <c r="Y132" s="4">
        <v>437</v>
      </c>
      <c r="Z132" s="4">
        <v>1260</v>
      </c>
      <c r="AA132" s="4">
        <v>2000</v>
      </c>
      <c r="AB132" s="4">
        <v>27400</v>
      </c>
      <c r="AC132" s="4">
        <v>27.2</v>
      </c>
      <c r="AD132" s="4">
        <v>488</v>
      </c>
      <c r="AE132" s="4">
        <v>1400</v>
      </c>
      <c r="AF132" s="4">
        <v>1.9</v>
      </c>
      <c r="AG132" s="4" t="s">
        <v>313</v>
      </c>
      <c r="AH132" s="4">
        <v>21</v>
      </c>
      <c r="AI132" s="4">
        <v>73</v>
      </c>
    </row>
    <row r="133" spans="1:35" x14ac:dyDescent="0.25">
      <c r="A133" s="4"/>
      <c r="B133" s="6" t="s">
        <v>314</v>
      </c>
      <c r="C133" s="4" t="s">
        <v>59</v>
      </c>
      <c r="D133" s="4">
        <v>1</v>
      </c>
      <c r="E133" s="4"/>
      <c r="F133" s="4">
        <v>3</v>
      </c>
      <c r="G133" s="4">
        <v>537</v>
      </c>
      <c r="H133" s="4">
        <v>210</v>
      </c>
      <c r="I133" s="4">
        <v>17.399999999999999</v>
      </c>
      <c r="J133" s="4">
        <v>10.9</v>
      </c>
      <c r="K133" s="4">
        <v>6.03</v>
      </c>
      <c r="L133" s="4">
        <v>46.1</v>
      </c>
      <c r="M133" s="4">
        <v>34</v>
      </c>
      <c r="N133" s="4">
        <v>21</v>
      </c>
      <c r="O133" s="4">
        <v>530</v>
      </c>
      <c r="P133" s="4">
        <v>101</v>
      </c>
      <c r="Q133" s="4">
        <v>12900</v>
      </c>
      <c r="R133" s="4">
        <v>617</v>
      </c>
      <c r="S133" s="4">
        <v>2300</v>
      </c>
      <c r="T133" s="4">
        <v>219</v>
      </c>
      <c r="U133" s="4">
        <v>2620</v>
      </c>
      <c r="V133" s="4">
        <v>26.9</v>
      </c>
      <c r="W133" s="4">
        <v>256</v>
      </c>
      <c r="X133" s="4">
        <v>45.6</v>
      </c>
      <c r="Y133" s="4">
        <v>400</v>
      </c>
      <c r="Z133" s="4">
        <v>1020</v>
      </c>
      <c r="AA133" s="4">
        <v>1820</v>
      </c>
      <c r="AB133" s="4">
        <v>27300</v>
      </c>
      <c r="AC133" s="4">
        <v>24.9</v>
      </c>
      <c r="AD133" s="4">
        <v>450</v>
      </c>
      <c r="AE133" s="4">
        <v>1290</v>
      </c>
      <c r="AF133" s="4">
        <v>1.89</v>
      </c>
      <c r="AG133" s="4" t="s">
        <v>315</v>
      </c>
      <c r="AH133" s="4">
        <v>21</v>
      </c>
      <c r="AI133" s="4">
        <v>68</v>
      </c>
    </row>
    <row r="134" spans="1:35" x14ac:dyDescent="0.25">
      <c r="A134" s="4"/>
      <c r="B134" s="6" t="s">
        <v>316</v>
      </c>
      <c r="C134" s="4" t="s">
        <v>59</v>
      </c>
      <c r="D134" s="4">
        <v>1</v>
      </c>
      <c r="E134" s="4"/>
      <c r="F134" s="4">
        <v>3</v>
      </c>
      <c r="G134" s="4">
        <v>533</v>
      </c>
      <c r="H134" s="4">
        <v>209</v>
      </c>
      <c r="I134" s="4">
        <v>15.6</v>
      </c>
      <c r="J134" s="4">
        <v>10.199999999999999</v>
      </c>
      <c r="K134" s="4">
        <v>6.7</v>
      </c>
      <c r="L134" s="4">
        <v>49.2</v>
      </c>
      <c r="M134" s="4">
        <v>32</v>
      </c>
      <c r="N134" s="4">
        <v>20</v>
      </c>
      <c r="O134" s="4">
        <v>530</v>
      </c>
      <c r="P134" s="4">
        <v>92</v>
      </c>
      <c r="Q134" s="4">
        <v>11800</v>
      </c>
      <c r="R134" s="4">
        <v>552</v>
      </c>
      <c r="S134" s="4">
        <v>2070</v>
      </c>
      <c r="T134" s="4">
        <v>217</v>
      </c>
      <c r="U134" s="4">
        <v>2360</v>
      </c>
      <c r="V134" s="4">
        <v>23.8</v>
      </c>
      <c r="W134" s="4">
        <v>228</v>
      </c>
      <c r="X134" s="4">
        <v>44.9</v>
      </c>
      <c r="Y134" s="4">
        <v>355</v>
      </c>
      <c r="Z134" s="4">
        <v>762</v>
      </c>
      <c r="AA134" s="4">
        <v>1590</v>
      </c>
      <c r="AB134" s="4">
        <v>27000</v>
      </c>
      <c r="AC134" s="4">
        <v>22</v>
      </c>
      <c r="AD134" s="4">
        <v>401</v>
      </c>
      <c r="AE134" s="4">
        <v>1160</v>
      </c>
      <c r="AF134" s="4">
        <v>1.88</v>
      </c>
      <c r="AG134" s="4" t="s">
        <v>12</v>
      </c>
      <c r="AH134" s="4">
        <v>21</v>
      </c>
      <c r="AI134" s="4">
        <v>62</v>
      </c>
    </row>
    <row r="135" spans="1:35" x14ac:dyDescent="0.25">
      <c r="A135" s="4"/>
      <c r="B135" s="5" t="s">
        <v>317</v>
      </c>
      <c r="C135" s="4" t="s">
        <v>284</v>
      </c>
      <c r="D135" s="4">
        <v>1</v>
      </c>
      <c r="E135" s="4"/>
      <c r="F135" s="4">
        <v>3</v>
      </c>
      <c r="G135" s="4">
        <v>528</v>
      </c>
      <c r="H135" s="4">
        <v>209</v>
      </c>
      <c r="I135" s="4">
        <v>13.3</v>
      </c>
      <c r="J135" s="4">
        <v>9.5</v>
      </c>
      <c r="K135" s="4">
        <v>7.86</v>
      </c>
      <c r="L135" s="4">
        <v>52.8</v>
      </c>
      <c r="M135" s="4">
        <v>30</v>
      </c>
      <c r="N135" s="4">
        <v>20</v>
      </c>
      <c r="O135" s="4">
        <v>530</v>
      </c>
      <c r="P135" s="4">
        <v>82</v>
      </c>
      <c r="Q135" s="4">
        <v>10500</v>
      </c>
      <c r="R135" s="4">
        <v>477</v>
      </c>
      <c r="S135" s="4">
        <v>1810</v>
      </c>
      <c r="T135" s="4">
        <v>213</v>
      </c>
      <c r="U135" s="4">
        <v>2060</v>
      </c>
      <c r="V135" s="4">
        <v>20.3</v>
      </c>
      <c r="W135" s="4">
        <v>194</v>
      </c>
      <c r="X135" s="4">
        <v>44</v>
      </c>
      <c r="Y135" s="4">
        <v>303</v>
      </c>
      <c r="Z135" s="4">
        <v>518</v>
      </c>
      <c r="AA135" s="4">
        <v>1340</v>
      </c>
      <c r="AB135" s="4">
        <v>26900</v>
      </c>
      <c r="AC135" s="4">
        <v>18.7</v>
      </c>
      <c r="AD135" s="4">
        <v>341</v>
      </c>
      <c r="AE135" s="4">
        <v>1010</v>
      </c>
      <c r="AF135" s="4">
        <v>1.87</v>
      </c>
      <c r="AG135" s="4" t="s">
        <v>318</v>
      </c>
      <c r="AH135" s="4">
        <v>21</v>
      </c>
      <c r="AI135" s="4">
        <v>55</v>
      </c>
    </row>
    <row r="136" spans="1:35" x14ac:dyDescent="0.25">
      <c r="A136" s="4"/>
      <c r="B136" s="5" t="s">
        <v>319</v>
      </c>
      <c r="C136" s="4" t="s">
        <v>284</v>
      </c>
      <c r="D136" s="4">
        <v>1</v>
      </c>
      <c r="E136" s="4"/>
      <c r="F136" s="4">
        <v>3</v>
      </c>
      <c r="G136" s="4">
        <v>524</v>
      </c>
      <c r="H136" s="4">
        <v>207</v>
      </c>
      <c r="I136" s="4">
        <v>10.9</v>
      </c>
      <c r="J136" s="4">
        <v>8.9</v>
      </c>
      <c r="K136" s="4">
        <v>9.5</v>
      </c>
      <c r="L136" s="4">
        <v>56.4</v>
      </c>
      <c r="M136" s="4">
        <v>28</v>
      </c>
      <c r="N136" s="4">
        <v>20</v>
      </c>
      <c r="O136" s="4">
        <v>530</v>
      </c>
      <c r="P136" s="4">
        <v>72</v>
      </c>
      <c r="Q136" s="4">
        <v>9120</v>
      </c>
      <c r="R136" s="4">
        <v>400</v>
      </c>
      <c r="S136" s="4">
        <v>1520</v>
      </c>
      <c r="T136" s="4">
        <v>209</v>
      </c>
      <c r="U136" s="4">
        <v>1750</v>
      </c>
      <c r="V136" s="4">
        <v>16.2</v>
      </c>
      <c r="W136" s="4">
        <v>156</v>
      </c>
      <c r="X136" s="4">
        <v>42.1</v>
      </c>
      <c r="Y136" s="4">
        <v>244</v>
      </c>
      <c r="Z136" s="4">
        <v>334</v>
      </c>
      <c r="AA136" s="4">
        <v>1060</v>
      </c>
      <c r="AB136" s="4">
        <v>26600</v>
      </c>
      <c r="AC136" s="4">
        <v>15</v>
      </c>
      <c r="AD136" s="4">
        <v>277</v>
      </c>
      <c r="AE136" s="4">
        <v>859</v>
      </c>
      <c r="AF136" s="4">
        <v>1.86</v>
      </c>
      <c r="AG136" s="4" t="s">
        <v>320</v>
      </c>
      <c r="AH136" s="4">
        <v>21</v>
      </c>
      <c r="AI136" s="4">
        <v>48</v>
      </c>
    </row>
    <row r="137" spans="1:35" x14ac:dyDescent="0.25">
      <c r="A137" s="4" t="s">
        <v>59</v>
      </c>
      <c r="B137" s="5" t="s">
        <v>321</v>
      </c>
      <c r="C137" s="4" t="s">
        <v>59</v>
      </c>
      <c r="D137" s="4">
        <v>1</v>
      </c>
      <c r="E137" s="4"/>
      <c r="F137" s="4">
        <v>3</v>
      </c>
      <c r="G137" s="4">
        <v>535</v>
      </c>
      <c r="H137" s="4">
        <v>166</v>
      </c>
      <c r="I137" s="4">
        <v>16.5</v>
      </c>
      <c r="J137" s="4">
        <v>10.3</v>
      </c>
      <c r="K137" s="4">
        <v>5.03</v>
      </c>
      <c r="L137" s="4">
        <v>48.7</v>
      </c>
      <c r="M137" s="4">
        <v>33</v>
      </c>
      <c r="N137" s="4">
        <v>20</v>
      </c>
      <c r="O137" s="4">
        <v>530</v>
      </c>
      <c r="P137" s="4">
        <v>85</v>
      </c>
      <c r="Q137" s="4">
        <v>10800</v>
      </c>
      <c r="R137" s="4">
        <v>485</v>
      </c>
      <c r="S137" s="4">
        <v>1810</v>
      </c>
      <c r="T137" s="4">
        <v>212</v>
      </c>
      <c r="U137" s="4">
        <v>2100</v>
      </c>
      <c r="V137" s="4">
        <v>12.6</v>
      </c>
      <c r="W137" s="4">
        <v>152</v>
      </c>
      <c r="X137" s="4">
        <v>34.200000000000003</v>
      </c>
      <c r="Y137" s="4">
        <v>242</v>
      </c>
      <c r="Z137" s="4">
        <v>737</v>
      </c>
      <c r="AA137" s="4">
        <v>849</v>
      </c>
      <c r="AB137" s="4">
        <v>21500</v>
      </c>
      <c r="AC137" s="4">
        <v>14.7</v>
      </c>
      <c r="AD137" s="4">
        <v>333</v>
      </c>
      <c r="AE137" s="4">
        <v>1030</v>
      </c>
      <c r="AF137" s="4">
        <v>1.71</v>
      </c>
      <c r="AG137" s="4" t="s">
        <v>322</v>
      </c>
      <c r="AH137" s="4">
        <v>21</v>
      </c>
      <c r="AI137" s="4">
        <v>57</v>
      </c>
    </row>
    <row r="138" spans="1:35" x14ac:dyDescent="0.25">
      <c r="A138" s="4"/>
      <c r="B138" s="6" t="s">
        <v>323</v>
      </c>
      <c r="C138" s="4" t="s">
        <v>59</v>
      </c>
      <c r="D138" s="4">
        <v>1</v>
      </c>
      <c r="E138" s="4"/>
      <c r="F138" s="4">
        <v>3</v>
      </c>
      <c r="G138" s="4">
        <v>529</v>
      </c>
      <c r="H138" s="4">
        <v>166</v>
      </c>
      <c r="I138" s="4">
        <v>13.6</v>
      </c>
      <c r="J138" s="4">
        <v>9.6999999999999993</v>
      </c>
      <c r="K138" s="4">
        <v>6.1</v>
      </c>
      <c r="L138" s="4">
        <v>51.7</v>
      </c>
      <c r="M138" s="4">
        <v>30</v>
      </c>
      <c r="N138" s="4">
        <v>20</v>
      </c>
      <c r="O138" s="4">
        <v>530</v>
      </c>
      <c r="P138" s="4">
        <v>74</v>
      </c>
      <c r="Q138" s="4">
        <v>9520</v>
      </c>
      <c r="R138" s="4">
        <v>411</v>
      </c>
      <c r="S138" s="4">
        <v>1550</v>
      </c>
      <c r="T138" s="4">
        <v>208</v>
      </c>
      <c r="U138" s="4">
        <v>1810</v>
      </c>
      <c r="V138" s="4">
        <v>10.4</v>
      </c>
      <c r="W138" s="4">
        <v>125</v>
      </c>
      <c r="X138" s="4">
        <v>33.1</v>
      </c>
      <c r="Y138" s="4">
        <v>200</v>
      </c>
      <c r="Z138" s="4">
        <v>480</v>
      </c>
      <c r="AA138" s="4">
        <v>692</v>
      </c>
      <c r="AB138" s="4">
        <v>21400</v>
      </c>
      <c r="AC138" s="4">
        <v>12.1</v>
      </c>
      <c r="AD138" s="4">
        <v>274</v>
      </c>
      <c r="AE138" s="4">
        <v>887</v>
      </c>
      <c r="AF138" s="4">
        <v>1.7</v>
      </c>
      <c r="AG138" s="4" t="s">
        <v>324</v>
      </c>
      <c r="AH138" s="4">
        <v>21</v>
      </c>
      <c r="AI138" s="4">
        <v>50</v>
      </c>
    </row>
    <row r="139" spans="1:35" x14ac:dyDescent="0.25">
      <c r="A139" s="4"/>
      <c r="B139" s="6" t="s">
        <v>325</v>
      </c>
      <c r="C139" s="4" t="s">
        <v>59</v>
      </c>
      <c r="D139" s="4">
        <v>1</v>
      </c>
      <c r="E139" s="4"/>
      <c r="F139" s="4">
        <v>3</v>
      </c>
      <c r="G139" s="4">
        <v>525</v>
      </c>
      <c r="H139" s="4">
        <v>165</v>
      </c>
      <c r="I139" s="4">
        <v>11.4</v>
      </c>
      <c r="J139" s="4">
        <v>8.9</v>
      </c>
      <c r="K139" s="4">
        <v>7.24</v>
      </c>
      <c r="L139" s="4">
        <v>56.4</v>
      </c>
      <c r="M139" s="4">
        <v>28</v>
      </c>
      <c r="N139" s="4">
        <v>20</v>
      </c>
      <c r="O139" s="4">
        <v>530</v>
      </c>
      <c r="P139" s="4">
        <v>66</v>
      </c>
      <c r="Q139" s="4">
        <v>8370</v>
      </c>
      <c r="R139" s="4">
        <v>351</v>
      </c>
      <c r="S139" s="4">
        <v>1340</v>
      </c>
      <c r="T139" s="4">
        <v>205</v>
      </c>
      <c r="U139" s="4">
        <v>1560</v>
      </c>
      <c r="V139" s="4">
        <v>8.57</v>
      </c>
      <c r="W139" s="4">
        <v>104</v>
      </c>
      <c r="X139" s="4">
        <v>32</v>
      </c>
      <c r="Y139" s="4">
        <v>166</v>
      </c>
      <c r="Z139" s="4">
        <v>320</v>
      </c>
      <c r="AA139" s="4">
        <v>565</v>
      </c>
      <c r="AB139" s="4">
        <v>21200</v>
      </c>
      <c r="AC139" s="4">
        <v>9.9600000000000009</v>
      </c>
      <c r="AD139" s="4">
        <v>228</v>
      </c>
      <c r="AE139" s="4">
        <v>764</v>
      </c>
      <c r="AF139" s="4">
        <v>1.69</v>
      </c>
      <c r="AG139" s="4" t="s">
        <v>326</v>
      </c>
      <c r="AH139" s="4">
        <v>21</v>
      </c>
      <c r="AI139" s="4">
        <v>44</v>
      </c>
    </row>
    <row r="140" spans="1:35" x14ac:dyDescent="0.25">
      <c r="A140" s="4" t="s">
        <v>59</v>
      </c>
      <c r="B140" s="5" t="s">
        <v>327</v>
      </c>
      <c r="C140" s="4" t="s">
        <v>59</v>
      </c>
      <c r="D140" s="4">
        <v>1</v>
      </c>
      <c r="E140" s="4"/>
      <c r="F140" s="4">
        <v>3</v>
      </c>
      <c r="G140" s="4">
        <v>567</v>
      </c>
      <c r="H140" s="4">
        <v>305</v>
      </c>
      <c r="I140" s="4">
        <v>69.599999999999994</v>
      </c>
      <c r="J140" s="4">
        <v>38.6</v>
      </c>
      <c r="K140" s="4">
        <v>2.19</v>
      </c>
      <c r="L140" s="4">
        <v>11.1</v>
      </c>
      <c r="M140" s="4">
        <v>86</v>
      </c>
      <c r="N140" s="4">
        <v>35</v>
      </c>
      <c r="O140" s="4">
        <v>460</v>
      </c>
      <c r="P140" s="4">
        <v>464</v>
      </c>
      <c r="Q140" s="4">
        <v>59100</v>
      </c>
      <c r="R140" s="4">
        <v>2900</v>
      </c>
      <c r="S140" s="4">
        <v>10200</v>
      </c>
      <c r="T140" s="4">
        <v>222</v>
      </c>
      <c r="U140" s="4">
        <v>12400</v>
      </c>
      <c r="V140" s="4">
        <v>331</v>
      </c>
      <c r="W140" s="4">
        <v>2170</v>
      </c>
      <c r="X140" s="4">
        <v>74.900000000000006</v>
      </c>
      <c r="Y140" s="4">
        <v>3400</v>
      </c>
      <c r="Z140" s="4">
        <v>73100</v>
      </c>
      <c r="AA140" s="4">
        <v>20500</v>
      </c>
      <c r="AB140" s="4">
        <v>37900</v>
      </c>
      <c r="AC140" s="4">
        <v>201</v>
      </c>
      <c r="AD140" s="4">
        <v>2310</v>
      </c>
      <c r="AE140" s="4">
        <v>6160</v>
      </c>
      <c r="AF140" s="4">
        <v>2.2799999999999998</v>
      </c>
      <c r="AG140" s="4" t="s">
        <v>328</v>
      </c>
      <c r="AH140" s="4">
        <v>18</v>
      </c>
      <c r="AI140" s="4">
        <v>311</v>
      </c>
    </row>
    <row r="141" spans="1:35" x14ac:dyDescent="0.25">
      <c r="A141" s="4"/>
      <c r="B141" s="5" t="s">
        <v>329</v>
      </c>
      <c r="C141" s="4" t="s">
        <v>59</v>
      </c>
      <c r="D141" s="4">
        <v>1</v>
      </c>
      <c r="E141" s="4"/>
      <c r="F141" s="4">
        <v>3</v>
      </c>
      <c r="G141" s="4">
        <v>555</v>
      </c>
      <c r="H141" s="4">
        <v>302</v>
      </c>
      <c r="I141" s="4">
        <v>63.5</v>
      </c>
      <c r="J141" s="4">
        <v>35.6</v>
      </c>
      <c r="K141" s="4">
        <v>2.38</v>
      </c>
      <c r="L141" s="4">
        <v>12</v>
      </c>
      <c r="M141" s="4">
        <v>80</v>
      </c>
      <c r="N141" s="4">
        <v>33</v>
      </c>
      <c r="O141" s="4">
        <v>460</v>
      </c>
      <c r="P141" s="4">
        <v>421</v>
      </c>
      <c r="Q141" s="4">
        <v>53700</v>
      </c>
      <c r="R141" s="4">
        <v>2570</v>
      </c>
      <c r="S141" s="4">
        <v>9250</v>
      </c>
      <c r="T141" s="4">
        <v>219</v>
      </c>
      <c r="U141" s="4">
        <v>11100</v>
      </c>
      <c r="V141" s="4">
        <v>293</v>
      </c>
      <c r="W141" s="4">
        <v>1940</v>
      </c>
      <c r="X141" s="4">
        <v>73.900000000000006</v>
      </c>
      <c r="Y141" s="4">
        <v>3030</v>
      </c>
      <c r="Z141" s="4">
        <v>55700</v>
      </c>
      <c r="AA141" s="4">
        <v>17700</v>
      </c>
      <c r="AB141" s="4">
        <v>37100</v>
      </c>
      <c r="AC141" s="4">
        <v>178</v>
      </c>
      <c r="AD141" s="4">
        <v>2080</v>
      </c>
      <c r="AE141" s="4">
        <v>5530</v>
      </c>
      <c r="AF141" s="4">
        <v>2.25</v>
      </c>
      <c r="AG141" s="4" t="s">
        <v>330</v>
      </c>
      <c r="AH141" s="4">
        <v>18</v>
      </c>
      <c r="AI141" s="4">
        <v>283</v>
      </c>
    </row>
    <row r="142" spans="1:35" x14ac:dyDescent="0.25">
      <c r="A142" s="4"/>
      <c r="B142" s="5" t="s">
        <v>331</v>
      </c>
      <c r="C142" s="4" t="s">
        <v>59</v>
      </c>
      <c r="D142" s="4">
        <v>1</v>
      </c>
      <c r="E142" s="4"/>
      <c r="F142" s="4">
        <v>3</v>
      </c>
      <c r="G142" s="4">
        <v>545</v>
      </c>
      <c r="H142" s="4">
        <v>299</v>
      </c>
      <c r="I142" s="4">
        <v>58.4</v>
      </c>
      <c r="J142" s="4">
        <v>32.5</v>
      </c>
      <c r="K142" s="4">
        <v>2.56</v>
      </c>
      <c r="L142" s="4">
        <v>13.2</v>
      </c>
      <c r="M142" s="4">
        <v>75</v>
      </c>
      <c r="N142" s="4">
        <v>31</v>
      </c>
      <c r="O142" s="4">
        <v>460</v>
      </c>
      <c r="P142" s="4">
        <v>384</v>
      </c>
      <c r="Q142" s="4">
        <v>48900</v>
      </c>
      <c r="R142" s="4">
        <v>2290</v>
      </c>
      <c r="S142" s="4">
        <v>8420</v>
      </c>
      <c r="T142" s="4">
        <v>217</v>
      </c>
      <c r="U142" s="4">
        <v>10000</v>
      </c>
      <c r="V142" s="4">
        <v>261</v>
      </c>
      <c r="W142" s="4">
        <v>1750</v>
      </c>
      <c r="X142" s="4">
        <v>73.099999999999994</v>
      </c>
      <c r="Y142" s="4">
        <v>2730</v>
      </c>
      <c r="Z142" s="4">
        <v>42700</v>
      </c>
      <c r="AA142" s="4">
        <v>15500</v>
      </c>
      <c r="AB142" s="4">
        <v>36400</v>
      </c>
      <c r="AC142" s="4">
        <v>159</v>
      </c>
      <c r="AD142" s="4">
        <v>1890</v>
      </c>
      <c r="AE142" s="4">
        <v>4990</v>
      </c>
      <c r="AF142" s="4">
        <v>2.2200000000000002</v>
      </c>
      <c r="AG142" s="4" t="s">
        <v>332</v>
      </c>
      <c r="AH142" s="4">
        <v>18</v>
      </c>
      <c r="AI142" s="4">
        <v>258</v>
      </c>
    </row>
    <row r="143" spans="1:35" x14ac:dyDescent="0.25">
      <c r="A143" s="4"/>
      <c r="B143" s="5" t="s">
        <v>333</v>
      </c>
      <c r="C143" s="4" t="s">
        <v>59</v>
      </c>
      <c r="D143" s="4">
        <v>1</v>
      </c>
      <c r="E143" s="4"/>
      <c r="F143" s="4">
        <v>3</v>
      </c>
      <c r="G143" s="4">
        <v>535</v>
      </c>
      <c r="H143" s="4">
        <v>296</v>
      </c>
      <c r="I143" s="4">
        <v>53.6</v>
      </c>
      <c r="J143" s="4">
        <v>29.5</v>
      </c>
      <c r="K143" s="4">
        <v>2.76</v>
      </c>
      <c r="L143" s="4">
        <v>14.5</v>
      </c>
      <c r="M143" s="4">
        <v>70</v>
      </c>
      <c r="N143" s="4">
        <v>30</v>
      </c>
      <c r="O143" s="4">
        <v>460</v>
      </c>
      <c r="P143" s="4">
        <v>349</v>
      </c>
      <c r="Q143" s="4">
        <v>44400</v>
      </c>
      <c r="R143" s="4">
        <v>2040</v>
      </c>
      <c r="S143" s="4">
        <v>7640</v>
      </c>
      <c r="T143" s="4">
        <v>214</v>
      </c>
      <c r="U143" s="4">
        <v>9010</v>
      </c>
      <c r="V143" s="4">
        <v>233</v>
      </c>
      <c r="W143" s="4">
        <v>1570</v>
      </c>
      <c r="X143" s="4">
        <v>72.3</v>
      </c>
      <c r="Y143" s="4">
        <v>2440</v>
      </c>
      <c r="Z143" s="4">
        <v>32800</v>
      </c>
      <c r="AA143" s="4">
        <v>13500</v>
      </c>
      <c r="AB143" s="4">
        <v>35600</v>
      </c>
      <c r="AC143" s="4">
        <v>141</v>
      </c>
      <c r="AD143" s="4">
        <v>1720</v>
      </c>
      <c r="AE143" s="4">
        <v>4490</v>
      </c>
      <c r="AF143" s="4">
        <v>2.2000000000000002</v>
      </c>
      <c r="AG143" s="4" t="s">
        <v>334</v>
      </c>
      <c r="AH143" s="4">
        <v>18</v>
      </c>
      <c r="AI143" s="4">
        <v>234</v>
      </c>
    </row>
    <row r="144" spans="1:35" x14ac:dyDescent="0.25">
      <c r="A144" s="4"/>
      <c r="B144" s="5" t="s">
        <v>335</v>
      </c>
      <c r="C144" s="4" t="s">
        <v>59</v>
      </c>
      <c r="D144" s="4">
        <v>1</v>
      </c>
      <c r="E144" s="4"/>
      <c r="F144" s="4">
        <v>3</v>
      </c>
      <c r="G144" s="4">
        <v>525</v>
      </c>
      <c r="H144" s="4">
        <v>293</v>
      </c>
      <c r="I144" s="4">
        <v>48.5</v>
      </c>
      <c r="J144" s="4">
        <v>26.9</v>
      </c>
      <c r="K144" s="4">
        <v>3.02</v>
      </c>
      <c r="L144" s="4">
        <v>15.9</v>
      </c>
      <c r="M144" s="4">
        <v>65</v>
      </c>
      <c r="N144" s="4">
        <v>29</v>
      </c>
      <c r="O144" s="4">
        <v>460</v>
      </c>
      <c r="P144" s="4">
        <v>315</v>
      </c>
      <c r="Q144" s="4">
        <v>40000</v>
      </c>
      <c r="R144" s="4">
        <v>1800</v>
      </c>
      <c r="S144" s="4">
        <v>6850</v>
      </c>
      <c r="T144" s="4">
        <v>212</v>
      </c>
      <c r="U144" s="4">
        <v>8020</v>
      </c>
      <c r="V144" s="4">
        <v>204</v>
      </c>
      <c r="W144" s="4">
        <v>1390</v>
      </c>
      <c r="X144" s="4">
        <v>71.400000000000006</v>
      </c>
      <c r="Y144" s="4">
        <v>2160</v>
      </c>
      <c r="Z144" s="4">
        <v>24300</v>
      </c>
      <c r="AA144" s="4">
        <v>11600</v>
      </c>
      <c r="AB144" s="4">
        <v>34900</v>
      </c>
      <c r="AC144" s="4">
        <v>124</v>
      </c>
      <c r="AD144" s="4">
        <v>1540</v>
      </c>
      <c r="AE144" s="4">
        <v>4000</v>
      </c>
      <c r="AF144" s="4">
        <v>2.17</v>
      </c>
      <c r="AG144" s="4" t="s">
        <v>336</v>
      </c>
      <c r="AH144" s="4">
        <v>18</v>
      </c>
      <c r="AI144" s="4">
        <v>211</v>
      </c>
    </row>
    <row r="145" spans="1:35" x14ac:dyDescent="0.25">
      <c r="A145" s="4"/>
      <c r="B145" s="5" t="s">
        <v>337</v>
      </c>
      <c r="C145" s="4" t="s">
        <v>59</v>
      </c>
      <c r="D145" s="4">
        <v>1</v>
      </c>
      <c r="E145" s="4"/>
      <c r="F145" s="4">
        <v>3</v>
      </c>
      <c r="G145" s="4">
        <v>517</v>
      </c>
      <c r="H145" s="4">
        <v>291</v>
      </c>
      <c r="I145" s="4">
        <v>44.4</v>
      </c>
      <c r="J145" s="4">
        <v>24.4</v>
      </c>
      <c r="K145" s="4">
        <v>3.28</v>
      </c>
      <c r="L145" s="4">
        <v>17.5</v>
      </c>
      <c r="M145" s="4">
        <v>61</v>
      </c>
      <c r="N145" s="4">
        <v>27</v>
      </c>
      <c r="O145" s="4">
        <v>460</v>
      </c>
      <c r="P145" s="4">
        <v>286</v>
      </c>
      <c r="Q145" s="4">
        <v>36400</v>
      </c>
      <c r="R145" s="4">
        <v>1610</v>
      </c>
      <c r="S145" s="4">
        <v>6230</v>
      </c>
      <c r="T145" s="4">
        <v>210</v>
      </c>
      <c r="U145" s="4">
        <v>7240</v>
      </c>
      <c r="V145" s="4">
        <v>183</v>
      </c>
      <c r="W145" s="4">
        <v>1260</v>
      </c>
      <c r="X145" s="4">
        <v>70.900000000000006</v>
      </c>
      <c r="Y145" s="4">
        <v>1940</v>
      </c>
      <c r="Z145" s="4">
        <v>18600</v>
      </c>
      <c r="AA145" s="4">
        <v>10200</v>
      </c>
      <c r="AB145" s="4">
        <v>34400</v>
      </c>
      <c r="AC145" s="4">
        <v>111</v>
      </c>
      <c r="AD145" s="4">
        <v>1400</v>
      </c>
      <c r="AE145" s="4">
        <v>3610</v>
      </c>
      <c r="AF145" s="4">
        <v>2.15</v>
      </c>
      <c r="AG145" s="4" t="s">
        <v>338</v>
      </c>
      <c r="AH145" s="4">
        <v>18</v>
      </c>
      <c r="AI145" s="4">
        <v>192</v>
      </c>
    </row>
    <row r="146" spans="1:35" x14ac:dyDescent="0.25">
      <c r="A146" s="4"/>
      <c r="B146" s="5" t="s">
        <v>339</v>
      </c>
      <c r="C146" s="4" t="s">
        <v>59</v>
      </c>
      <c r="D146" s="4">
        <v>1</v>
      </c>
      <c r="E146" s="4"/>
      <c r="F146" s="4">
        <v>3</v>
      </c>
      <c r="G146" s="4">
        <v>509</v>
      </c>
      <c r="H146" s="4">
        <v>289</v>
      </c>
      <c r="I146" s="4">
        <v>40.4</v>
      </c>
      <c r="J146" s="4">
        <v>22.6</v>
      </c>
      <c r="K146" s="4">
        <v>3.58</v>
      </c>
      <c r="L146" s="4">
        <v>18.899999999999999</v>
      </c>
      <c r="M146" s="4">
        <v>62</v>
      </c>
      <c r="N146" s="4">
        <v>32</v>
      </c>
      <c r="O146" s="4">
        <v>460</v>
      </c>
      <c r="P146" s="4">
        <v>260</v>
      </c>
      <c r="Q146" s="4">
        <v>33100</v>
      </c>
      <c r="R146" s="4">
        <v>1440</v>
      </c>
      <c r="S146" s="4">
        <v>5650</v>
      </c>
      <c r="T146" s="4">
        <v>208</v>
      </c>
      <c r="U146" s="4">
        <v>6530</v>
      </c>
      <c r="V146" s="4">
        <v>163</v>
      </c>
      <c r="W146" s="4">
        <v>1130</v>
      </c>
      <c r="X146" s="4">
        <v>70.099999999999994</v>
      </c>
      <c r="Y146" s="4">
        <v>1740</v>
      </c>
      <c r="Z146" s="4">
        <v>14100</v>
      </c>
      <c r="AA146" s="4">
        <v>8950</v>
      </c>
      <c r="AB146" s="4">
        <v>33900</v>
      </c>
      <c r="AC146" s="4">
        <v>98.8</v>
      </c>
      <c r="AD146" s="4">
        <v>1260</v>
      </c>
      <c r="AE146" s="4">
        <v>3250</v>
      </c>
      <c r="AF146" s="4">
        <v>2.13</v>
      </c>
      <c r="AG146" s="4" t="s">
        <v>340</v>
      </c>
      <c r="AH146" s="4">
        <v>18</v>
      </c>
      <c r="AI146" s="4">
        <v>175</v>
      </c>
    </row>
    <row r="147" spans="1:35" x14ac:dyDescent="0.25">
      <c r="A147" s="4"/>
      <c r="B147" s="5" t="s">
        <v>341</v>
      </c>
      <c r="C147" s="4" t="s">
        <v>59</v>
      </c>
      <c r="D147" s="4">
        <v>1</v>
      </c>
      <c r="E147" s="4"/>
      <c r="F147" s="4">
        <v>3</v>
      </c>
      <c r="G147" s="4">
        <v>501</v>
      </c>
      <c r="H147" s="4">
        <v>287</v>
      </c>
      <c r="I147" s="4">
        <v>36.6</v>
      </c>
      <c r="J147" s="4">
        <v>20.6</v>
      </c>
      <c r="K147" s="4">
        <v>3.92</v>
      </c>
      <c r="L147" s="4">
        <v>20.8</v>
      </c>
      <c r="M147" s="4">
        <v>58</v>
      </c>
      <c r="N147" s="4">
        <v>31</v>
      </c>
      <c r="O147" s="4">
        <v>460</v>
      </c>
      <c r="P147" s="4">
        <v>235</v>
      </c>
      <c r="Q147" s="4">
        <v>29900</v>
      </c>
      <c r="R147" s="4">
        <v>1270</v>
      </c>
      <c r="S147" s="4">
        <v>5080</v>
      </c>
      <c r="T147" s="4">
        <v>206</v>
      </c>
      <c r="U147" s="4">
        <v>5840</v>
      </c>
      <c r="V147" s="4">
        <v>145</v>
      </c>
      <c r="W147" s="4">
        <v>1010</v>
      </c>
      <c r="X147" s="4">
        <v>69.5</v>
      </c>
      <c r="Y147" s="4">
        <v>1550</v>
      </c>
      <c r="Z147" s="4">
        <v>10500</v>
      </c>
      <c r="AA147" s="4">
        <v>7790</v>
      </c>
      <c r="AB147" s="4">
        <v>33300</v>
      </c>
      <c r="AC147" s="4">
        <v>87.5</v>
      </c>
      <c r="AD147" s="4">
        <v>1130</v>
      </c>
      <c r="AE147" s="4">
        <v>2910</v>
      </c>
      <c r="AF147" s="4">
        <v>2.11</v>
      </c>
      <c r="AG147" s="4" t="s">
        <v>342</v>
      </c>
      <c r="AH147" s="4">
        <v>18</v>
      </c>
      <c r="AI147" s="4">
        <v>158</v>
      </c>
    </row>
    <row r="148" spans="1:35" x14ac:dyDescent="0.25">
      <c r="A148" s="4"/>
      <c r="B148" s="5" t="s">
        <v>343</v>
      </c>
      <c r="C148" s="4" t="s">
        <v>59</v>
      </c>
      <c r="D148" s="4">
        <v>1</v>
      </c>
      <c r="E148" s="4"/>
      <c r="F148" s="4">
        <v>3</v>
      </c>
      <c r="G148" s="4">
        <v>495</v>
      </c>
      <c r="H148" s="4">
        <v>285</v>
      </c>
      <c r="I148" s="4">
        <v>33.5</v>
      </c>
      <c r="J148" s="4">
        <v>18.5</v>
      </c>
      <c r="K148" s="4">
        <v>4.25</v>
      </c>
      <c r="L148" s="4">
        <v>23.1</v>
      </c>
      <c r="M148" s="4">
        <v>55</v>
      </c>
      <c r="N148" s="4">
        <v>30</v>
      </c>
      <c r="O148" s="4">
        <v>460</v>
      </c>
      <c r="P148" s="4">
        <v>213</v>
      </c>
      <c r="Q148" s="4">
        <v>27100</v>
      </c>
      <c r="R148" s="4">
        <v>1140</v>
      </c>
      <c r="S148" s="4">
        <v>4620</v>
      </c>
      <c r="T148" s="4">
        <v>205</v>
      </c>
      <c r="U148" s="4">
        <v>5270</v>
      </c>
      <c r="V148" s="4">
        <v>129</v>
      </c>
      <c r="W148" s="4">
        <v>909</v>
      </c>
      <c r="X148" s="4">
        <v>69.099999999999994</v>
      </c>
      <c r="Y148" s="4">
        <v>1400</v>
      </c>
      <c r="Z148" s="4">
        <v>7970</v>
      </c>
      <c r="AA148" s="4">
        <v>6890</v>
      </c>
      <c r="AB148" s="4">
        <v>32900</v>
      </c>
      <c r="AC148" s="4">
        <v>78.5</v>
      </c>
      <c r="AD148" s="4">
        <v>1030</v>
      </c>
      <c r="AE148" s="4">
        <v>2630</v>
      </c>
      <c r="AF148" s="4">
        <v>2.09</v>
      </c>
      <c r="AG148" s="4" t="s">
        <v>344</v>
      </c>
      <c r="AH148" s="4">
        <v>18</v>
      </c>
      <c r="AI148" s="4">
        <v>143</v>
      </c>
    </row>
    <row r="149" spans="1:35" x14ac:dyDescent="0.25">
      <c r="A149" s="4"/>
      <c r="B149" s="5" t="s">
        <v>345</v>
      </c>
      <c r="C149" s="4" t="s">
        <v>59</v>
      </c>
      <c r="D149" s="4">
        <v>1</v>
      </c>
      <c r="E149" s="4"/>
      <c r="F149" s="4">
        <v>3</v>
      </c>
      <c r="G149" s="4">
        <v>489</v>
      </c>
      <c r="H149" s="4">
        <v>283</v>
      </c>
      <c r="I149" s="4">
        <v>30.5</v>
      </c>
      <c r="J149" s="4">
        <v>17</v>
      </c>
      <c r="K149" s="4">
        <v>4.6399999999999997</v>
      </c>
      <c r="L149" s="4">
        <v>25.2</v>
      </c>
      <c r="M149" s="4">
        <v>52</v>
      </c>
      <c r="N149" s="4">
        <v>29</v>
      </c>
      <c r="O149" s="4">
        <v>460</v>
      </c>
      <c r="P149" s="4">
        <v>193</v>
      </c>
      <c r="Q149" s="4">
        <v>24600</v>
      </c>
      <c r="R149" s="4">
        <v>1020</v>
      </c>
      <c r="S149" s="4">
        <v>4190</v>
      </c>
      <c r="T149" s="4">
        <v>204</v>
      </c>
      <c r="U149" s="4">
        <v>4750</v>
      </c>
      <c r="V149" s="4">
        <v>115</v>
      </c>
      <c r="W149" s="4">
        <v>816</v>
      </c>
      <c r="X149" s="4">
        <v>68.5</v>
      </c>
      <c r="Y149" s="4">
        <v>1250</v>
      </c>
      <c r="Z149" s="4">
        <v>6030</v>
      </c>
      <c r="AA149" s="4">
        <v>6060</v>
      </c>
      <c r="AB149" s="4">
        <v>32400</v>
      </c>
      <c r="AC149" s="4">
        <v>70</v>
      </c>
      <c r="AD149" s="4">
        <v>930</v>
      </c>
      <c r="AE149" s="4">
        <v>2370</v>
      </c>
      <c r="AF149" s="4">
        <v>2.08</v>
      </c>
      <c r="AG149" s="4" t="s">
        <v>346</v>
      </c>
      <c r="AH149" s="4">
        <v>18</v>
      </c>
      <c r="AI149" s="4">
        <v>130</v>
      </c>
    </row>
    <row r="150" spans="1:35" x14ac:dyDescent="0.25">
      <c r="A150" s="4"/>
      <c r="B150" s="5" t="s">
        <v>347</v>
      </c>
      <c r="C150" s="4" t="s">
        <v>59</v>
      </c>
      <c r="D150" s="4">
        <v>1</v>
      </c>
      <c r="E150" s="4"/>
      <c r="F150" s="4">
        <v>3</v>
      </c>
      <c r="G150" s="4">
        <v>482</v>
      </c>
      <c r="H150" s="4">
        <v>286</v>
      </c>
      <c r="I150" s="4">
        <v>26.9</v>
      </c>
      <c r="J150" s="4">
        <v>16.600000000000001</v>
      </c>
      <c r="K150" s="4">
        <v>5.32</v>
      </c>
      <c r="L150" s="4">
        <v>25.8</v>
      </c>
      <c r="M150" s="4">
        <v>49</v>
      </c>
      <c r="N150" s="4">
        <v>29</v>
      </c>
      <c r="O150" s="4">
        <v>460</v>
      </c>
      <c r="P150" s="4">
        <v>177</v>
      </c>
      <c r="Q150" s="4">
        <v>22600</v>
      </c>
      <c r="R150" s="4">
        <v>910</v>
      </c>
      <c r="S150" s="4">
        <v>3780</v>
      </c>
      <c r="T150" s="4">
        <v>201</v>
      </c>
      <c r="U150" s="4">
        <v>4280</v>
      </c>
      <c r="V150" s="4">
        <v>105</v>
      </c>
      <c r="W150" s="4">
        <v>735</v>
      </c>
      <c r="X150" s="4">
        <v>68.2</v>
      </c>
      <c r="Y150" s="4">
        <v>1130</v>
      </c>
      <c r="Z150" s="4">
        <v>4410</v>
      </c>
      <c r="AA150" s="4">
        <v>5440</v>
      </c>
      <c r="AB150" s="4">
        <v>32500</v>
      </c>
      <c r="AC150" s="4">
        <v>62.6</v>
      </c>
      <c r="AD150" s="4">
        <v>825</v>
      </c>
      <c r="AE150" s="4">
        <v>2130</v>
      </c>
      <c r="AF150" s="4">
        <v>2.0699999999999998</v>
      </c>
      <c r="AG150" s="4" t="s">
        <v>348</v>
      </c>
      <c r="AH150" s="4">
        <v>18</v>
      </c>
      <c r="AI150" s="4">
        <v>119</v>
      </c>
    </row>
    <row r="151" spans="1:35" x14ac:dyDescent="0.25">
      <c r="A151" s="4"/>
      <c r="B151" s="5" t="s">
        <v>349</v>
      </c>
      <c r="C151" s="4" t="s">
        <v>59</v>
      </c>
      <c r="D151" s="4">
        <v>1</v>
      </c>
      <c r="E151" s="4"/>
      <c r="F151" s="4">
        <v>3</v>
      </c>
      <c r="G151" s="4">
        <v>476</v>
      </c>
      <c r="H151" s="4">
        <v>284</v>
      </c>
      <c r="I151" s="4">
        <v>23.9</v>
      </c>
      <c r="J151" s="4">
        <v>15</v>
      </c>
      <c r="K151" s="4">
        <v>5.94</v>
      </c>
      <c r="L151" s="4">
        <v>28.5</v>
      </c>
      <c r="M151" s="4">
        <v>46</v>
      </c>
      <c r="N151" s="4">
        <v>28</v>
      </c>
      <c r="O151" s="4">
        <v>460</v>
      </c>
      <c r="P151" s="4">
        <v>158</v>
      </c>
      <c r="Q151" s="4">
        <v>20100</v>
      </c>
      <c r="R151" s="4">
        <v>796</v>
      </c>
      <c r="S151" s="4">
        <v>3350</v>
      </c>
      <c r="T151" s="4">
        <v>199</v>
      </c>
      <c r="U151" s="4">
        <v>3780</v>
      </c>
      <c r="V151" s="4">
        <v>91.4</v>
      </c>
      <c r="W151" s="4">
        <v>643</v>
      </c>
      <c r="X151" s="4">
        <v>67.400000000000006</v>
      </c>
      <c r="Y151" s="4">
        <v>989</v>
      </c>
      <c r="Z151" s="4">
        <v>3120</v>
      </c>
      <c r="AA151" s="4">
        <v>4670</v>
      </c>
      <c r="AB151" s="4">
        <v>32100</v>
      </c>
      <c r="AC151" s="4">
        <v>54.5</v>
      </c>
      <c r="AD151" s="4">
        <v>727</v>
      </c>
      <c r="AE151" s="4">
        <v>1880</v>
      </c>
      <c r="AF151" s="4">
        <v>2.06</v>
      </c>
      <c r="AG151" s="4" t="s">
        <v>350</v>
      </c>
      <c r="AH151" s="4">
        <v>18</v>
      </c>
      <c r="AI151" s="4">
        <v>106</v>
      </c>
    </row>
    <row r="152" spans="1:35" x14ac:dyDescent="0.25">
      <c r="A152" s="4"/>
      <c r="B152" s="5" t="s">
        <v>351</v>
      </c>
      <c r="C152" s="4" t="s">
        <v>59</v>
      </c>
      <c r="D152" s="4">
        <v>1</v>
      </c>
      <c r="E152" s="4"/>
      <c r="F152" s="4">
        <v>3</v>
      </c>
      <c r="G152" s="4">
        <v>472</v>
      </c>
      <c r="H152" s="4">
        <v>283</v>
      </c>
      <c r="I152" s="4">
        <v>22.1</v>
      </c>
      <c r="J152" s="4">
        <v>13.6</v>
      </c>
      <c r="K152" s="4">
        <v>6.4</v>
      </c>
      <c r="L152" s="4">
        <v>31.5</v>
      </c>
      <c r="M152" s="4">
        <v>44</v>
      </c>
      <c r="N152" s="4">
        <v>27</v>
      </c>
      <c r="O152" s="4">
        <v>460</v>
      </c>
      <c r="P152" s="4">
        <v>144</v>
      </c>
      <c r="Q152" s="4">
        <v>18400</v>
      </c>
      <c r="R152" s="4">
        <v>726</v>
      </c>
      <c r="S152" s="4">
        <v>3080</v>
      </c>
      <c r="T152" s="4">
        <v>199</v>
      </c>
      <c r="U152" s="4">
        <v>3450</v>
      </c>
      <c r="V152" s="4">
        <v>83.6</v>
      </c>
      <c r="W152" s="4">
        <v>591</v>
      </c>
      <c r="X152" s="4">
        <v>67.400000000000006</v>
      </c>
      <c r="Y152" s="4">
        <v>906</v>
      </c>
      <c r="Z152" s="4">
        <v>2440</v>
      </c>
      <c r="AA152" s="4">
        <v>4230</v>
      </c>
      <c r="AB152" s="4">
        <v>31800</v>
      </c>
      <c r="AC152" s="4">
        <v>49.8</v>
      </c>
      <c r="AD152" s="4">
        <v>670</v>
      </c>
      <c r="AE152" s="4">
        <v>1720</v>
      </c>
      <c r="AF152" s="4">
        <v>2.0499999999999998</v>
      </c>
      <c r="AG152" s="4" t="s">
        <v>352</v>
      </c>
      <c r="AH152" s="4">
        <v>18</v>
      </c>
      <c r="AI152" s="4">
        <v>97</v>
      </c>
    </row>
    <row r="153" spans="1:35" x14ac:dyDescent="0.25">
      <c r="A153" s="4"/>
      <c r="B153" s="5" t="s">
        <v>353</v>
      </c>
      <c r="C153" s="4" t="s">
        <v>59</v>
      </c>
      <c r="D153" s="4">
        <v>1</v>
      </c>
      <c r="E153" s="4"/>
      <c r="F153" s="4">
        <v>3</v>
      </c>
      <c r="G153" s="4">
        <v>467</v>
      </c>
      <c r="H153" s="4">
        <v>282</v>
      </c>
      <c r="I153" s="4">
        <v>19.600000000000001</v>
      </c>
      <c r="J153" s="4">
        <v>12.2</v>
      </c>
      <c r="K153" s="4">
        <v>7.19</v>
      </c>
      <c r="L153" s="4">
        <v>35.1</v>
      </c>
      <c r="M153" s="4">
        <v>41</v>
      </c>
      <c r="N153" s="4">
        <v>26</v>
      </c>
      <c r="O153" s="4">
        <v>460</v>
      </c>
      <c r="P153" s="4">
        <v>128</v>
      </c>
      <c r="Q153" s="4">
        <v>16400</v>
      </c>
      <c r="R153" s="4">
        <v>637</v>
      </c>
      <c r="S153" s="4">
        <v>2730</v>
      </c>
      <c r="T153" s="4">
        <v>197</v>
      </c>
      <c r="U153" s="4">
        <v>3050</v>
      </c>
      <c r="V153" s="4">
        <v>73.3</v>
      </c>
      <c r="W153" s="4">
        <v>520</v>
      </c>
      <c r="X153" s="4">
        <v>66.900000000000006</v>
      </c>
      <c r="Y153" s="4">
        <v>796</v>
      </c>
      <c r="Z153" s="4">
        <v>1720</v>
      </c>
      <c r="AA153" s="4">
        <v>3670</v>
      </c>
      <c r="AB153" s="4">
        <v>31500</v>
      </c>
      <c r="AC153" s="4">
        <v>43.6</v>
      </c>
      <c r="AD153" s="4">
        <v>591</v>
      </c>
      <c r="AE153" s="4">
        <v>1520</v>
      </c>
      <c r="AF153" s="4">
        <v>2.04</v>
      </c>
      <c r="AG153" s="4" t="s">
        <v>354</v>
      </c>
      <c r="AH153" s="4">
        <v>18</v>
      </c>
      <c r="AI153" s="4">
        <v>86</v>
      </c>
    </row>
    <row r="154" spans="1:35" x14ac:dyDescent="0.25">
      <c r="A154" s="4"/>
      <c r="B154" s="5" t="s">
        <v>355</v>
      </c>
      <c r="C154" s="4" t="s">
        <v>59</v>
      </c>
      <c r="D154" s="4">
        <v>1</v>
      </c>
      <c r="E154" s="4"/>
      <c r="F154" s="4">
        <v>3</v>
      </c>
      <c r="G154" s="4">
        <v>463</v>
      </c>
      <c r="H154" s="4">
        <v>280</v>
      </c>
      <c r="I154" s="4">
        <v>17.3</v>
      </c>
      <c r="J154" s="4">
        <v>10.8</v>
      </c>
      <c r="K154" s="4">
        <v>8.09</v>
      </c>
      <c r="L154" s="4">
        <v>39.700000000000003</v>
      </c>
      <c r="M154" s="4">
        <v>39</v>
      </c>
      <c r="N154" s="4">
        <v>26</v>
      </c>
      <c r="O154" s="4">
        <v>460</v>
      </c>
      <c r="P154" s="4">
        <v>113</v>
      </c>
      <c r="Q154" s="4">
        <v>14400</v>
      </c>
      <c r="R154" s="4">
        <v>556</v>
      </c>
      <c r="S154" s="4">
        <v>2400</v>
      </c>
      <c r="T154" s="4">
        <v>196</v>
      </c>
      <c r="U154" s="4">
        <v>2670</v>
      </c>
      <c r="V154" s="4">
        <v>63.3</v>
      </c>
      <c r="W154" s="4">
        <v>452</v>
      </c>
      <c r="X154" s="4">
        <v>66.3</v>
      </c>
      <c r="Y154" s="4">
        <v>691</v>
      </c>
      <c r="Z154" s="4">
        <v>1180</v>
      </c>
      <c r="AA154" s="4">
        <v>3150</v>
      </c>
      <c r="AB154" s="4">
        <v>31200</v>
      </c>
      <c r="AC154" s="4">
        <v>37.799999999999997</v>
      </c>
      <c r="AD154" s="4">
        <v>519</v>
      </c>
      <c r="AE154" s="4">
        <v>1330</v>
      </c>
      <c r="AF154" s="4">
        <v>2.02</v>
      </c>
      <c r="AG154" s="4" t="s">
        <v>356</v>
      </c>
      <c r="AH154" s="4">
        <v>18</v>
      </c>
      <c r="AI154" s="4">
        <v>76</v>
      </c>
    </row>
    <row r="155" spans="1:35" x14ac:dyDescent="0.25">
      <c r="A155" s="4" t="s">
        <v>59</v>
      </c>
      <c r="B155" s="6" t="s">
        <v>357</v>
      </c>
      <c r="C155" s="4" t="s">
        <v>59</v>
      </c>
      <c r="D155" s="4">
        <v>1</v>
      </c>
      <c r="E155" s="4"/>
      <c r="F155" s="4">
        <v>3</v>
      </c>
      <c r="G155" s="4">
        <v>469</v>
      </c>
      <c r="H155" s="4">
        <v>194</v>
      </c>
      <c r="I155" s="4">
        <v>20.6</v>
      </c>
      <c r="J155" s="4">
        <v>12.6</v>
      </c>
      <c r="K155" s="4">
        <v>4.71</v>
      </c>
      <c r="L155" s="4">
        <v>34</v>
      </c>
      <c r="M155" s="4">
        <v>37</v>
      </c>
      <c r="N155" s="4">
        <v>22</v>
      </c>
      <c r="O155" s="4">
        <v>460</v>
      </c>
      <c r="P155" s="4">
        <v>106</v>
      </c>
      <c r="Q155" s="4">
        <v>13500</v>
      </c>
      <c r="R155" s="4">
        <v>488</v>
      </c>
      <c r="S155" s="4">
        <v>2080</v>
      </c>
      <c r="T155" s="4">
        <v>190</v>
      </c>
      <c r="U155" s="4">
        <v>2390</v>
      </c>
      <c r="V155" s="4">
        <v>25.1</v>
      </c>
      <c r="W155" s="4">
        <v>259</v>
      </c>
      <c r="X155" s="4">
        <v>43.2</v>
      </c>
      <c r="Y155" s="4">
        <v>405</v>
      </c>
      <c r="Z155" s="4">
        <v>1460</v>
      </c>
      <c r="AA155" s="4">
        <v>1260</v>
      </c>
      <c r="AB155" s="4">
        <v>21700</v>
      </c>
      <c r="AC155" s="4">
        <v>21.7</v>
      </c>
      <c r="AD155" s="4">
        <v>419</v>
      </c>
      <c r="AE155" s="4">
        <v>1180</v>
      </c>
      <c r="AF155" s="4">
        <v>1.69</v>
      </c>
      <c r="AG155" s="4" t="s">
        <v>358</v>
      </c>
      <c r="AH155" s="4">
        <v>18</v>
      </c>
      <c r="AI155" s="4">
        <v>71</v>
      </c>
    </row>
    <row r="156" spans="1:35" x14ac:dyDescent="0.25">
      <c r="A156" s="4"/>
      <c r="B156" s="6" t="s">
        <v>359</v>
      </c>
      <c r="C156" s="4" t="s">
        <v>59</v>
      </c>
      <c r="D156" s="4">
        <v>1</v>
      </c>
      <c r="E156" s="4"/>
      <c r="F156" s="4">
        <v>3</v>
      </c>
      <c r="G156" s="4">
        <v>466</v>
      </c>
      <c r="H156" s="4">
        <v>193</v>
      </c>
      <c r="I156" s="4">
        <v>19</v>
      </c>
      <c r="J156" s="4">
        <v>11.4</v>
      </c>
      <c r="K156" s="4">
        <v>5.08</v>
      </c>
      <c r="L156" s="4">
        <v>37.5</v>
      </c>
      <c r="M156" s="4">
        <v>36</v>
      </c>
      <c r="N156" s="4">
        <v>21</v>
      </c>
      <c r="O156" s="4">
        <v>460</v>
      </c>
      <c r="P156" s="4">
        <v>97</v>
      </c>
      <c r="Q156" s="4">
        <v>12300</v>
      </c>
      <c r="R156" s="4">
        <v>445</v>
      </c>
      <c r="S156" s="4">
        <v>1910</v>
      </c>
      <c r="T156" s="4">
        <v>190</v>
      </c>
      <c r="U156" s="4">
        <v>2180</v>
      </c>
      <c r="V156" s="4">
        <v>22.8</v>
      </c>
      <c r="W156" s="4">
        <v>237</v>
      </c>
      <c r="X156" s="4">
        <v>43.1</v>
      </c>
      <c r="Y156" s="4">
        <v>368</v>
      </c>
      <c r="Z156" s="4">
        <v>1130</v>
      </c>
      <c r="AA156" s="4">
        <v>1140</v>
      </c>
      <c r="AB156" s="4">
        <v>21600</v>
      </c>
      <c r="AC156" s="4">
        <v>19.8</v>
      </c>
      <c r="AD156" s="4">
        <v>386</v>
      </c>
      <c r="AE156" s="4">
        <v>1080</v>
      </c>
      <c r="AF156" s="4">
        <v>1.68</v>
      </c>
      <c r="AG156" s="4" t="s">
        <v>360</v>
      </c>
      <c r="AH156" s="4">
        <v>18</v>
      </c>
      <c r="AI156" s="4">
        <v>65</v>
      </c>
    </row>
    <row r="157" spans="1:35" x14ac:dyDescent="0.25">
      <c r="A157" s="4"/>
      <c r="B157" s="6" t="s">
        <v>361</v>
      </c>
      <c r="C157" s="4" t="s">
        <v>59</v>
      </c>
      <c r="D157" s="4">
        <v>1</v>
      </c>
      <c r="E157" s="4"/>
      <c r="F157" s="4">
        <v>3</v>
      </c>
      <c r="G157" s="4">
        <v>463</v>
      </c>
      <c r="H157" s="4">
        <v>192</v>
      </c>
      <c r="I157" s="4">
        <v>17.7</v>
      </c>
      <c r="J157" s="4">
        <v>10.5</v>
      </c>
      <c r="K157" s="4">
        <v>5.42</v>
      </c>
      <c r="L157" s="4">
        <v>40.700000000000003</v>
      </c>
      <c r="M157" s="4">
        <v>34</v>
      </c>
      <c r="N157" s="4">
        <v>20</v>
      </c>
      <c r="O157" s="4">
        <v>460</v>
      </c>
      <c r="P157" s="4">
        <v>89</v>
      </c>
      <c r="Q157" s="4">
        <v>11400</v>
      </c>
      <c r="R157" s="4">
        <v>410</v>
      </c>
      <c r="S157" s="4">
        <v>1770</v>
      </c>
      <c r="T157" s="4">
        <v>190</v>
      </c>
      <c r="U157" s="4">
        <v>2010</v>
      </c>
      <c r="V157" s="4">
        <v>20.9</v>
      </c>
      <c r="W157" s="4">
        <v>218</v>
      </c>
      <c r="X157" s="4">
        <v>42.9</v>
      </c>
      <c r="Y157" s="4">
        <v>339</v>
      </c>
      <c r="Z157" s="4">
        <v>907</v>
      </c>
      <c r="AA157" s="4">
        <v>1040</v>
      </c>
      <c r="AB157" s="4">
        <v>21400</v>
      </c>
      <c r="AC157" s="4">
        <v>18.2</v>
      </c>
      <c r="AD157" s="4">
        <v>358</v>
      </c>
      <c r="AE157" s="4">
        <v>997</v>
      </c>
      <c r="AF157" s="4">
        <v>1.67</v>
      </c>
      <c r="AG157" s="4" t="s">
        <v>362</v>
      </c>
      <c r="AH157" s="4">
        <v>18</v>
      </c>
      <c r="AI157" s="4">
        <v>60</v>
      </c>
    </row>
    <row r="158" spans="1:35" x14ac:dyDescent="0.25">
      <c r="A158" s="4"/>
      <c r="B158" s="6" t="s">
        <v>363</v>
      </c>
      <c r="C158" s="4" t="s">
        <v>59</v>
      </c>
      <c r="D158" s="4">
        <v>1</v>
      </c>
      <c r="E158" s="4"/>
      <c r="F158" s="4">
        <v>3</v>
      </c>
      <c r="G158" s="4">
        <v>460</v>
      </c>
      <c r="H158" s="4">
        <v>191</v>
      </c>
      <c r="I158" s="4">
        <v>16</v>
      </c>
      <c r="J158" s="4">
        <v>9.9</v>
      </c>
      <c r="K158" s="4">
        <v>5.97</v>
      </c>
      <c r="L158" s="4">
        <v>43.2</v>
      </c>
      <c r="M158" s="4">
        <v>33</v>
      </c>
      <c r="N158" s="4">
        <v>20</v>
      </c>
      <c r="O158" s="4">
        <v>460</v>
      </c>
      <c r="P158" s="4">
        <v>82</v>
      </c>
      <c r="Q158" s="4">
        <v>10400</v>
      </c>
      <c r="R158" s="4">
        <v>370</v>
      </c>
      <c r="S158" s="4">
        <v>1610</v>
      </c>
      <c r="T158" s="4">
        <v>188</v>
      </c>
      <c r="U158" s="4">
        <v>1830</v>
      </c>
      <c r="V158" s="4">
        <v>18.600000000000001</v>
      </c>
      <c r="W158" s="4">
        <v>195</v>
      </c>
      <c r="X158" s="4">
        <v>42.2</v>
      </c>
      <c r="Y158" s="4">
        <v>303</v>
      </c>
      <c r="Z158" s="4">
        <v>691</v>
      </c>
      <c r="AA158" s="4">
        <v>918</v>
      </c>
      <c r="AB158" s="4">
        <v>21200</v>
      </c>
      <c r="AC158" s="4">
        <v>16.2</v>
      </c>
      <c r="AD158" s="4">
        <v>322</v>
      </c>
      <c r="AE158" s="4">
        <v>905</v>
      </c>
      <c r="AF158" s="4">
        <v>1.66</v>
      </c>
      <c r="AG158" s="4" t="s">
        <v>364</v>
      </c>
      <c r="AH158" s="4">
        <v>18</v>
      </c>
      <c r="AI158" s="4">
        <v>55</v>
      </c>
    </row>
    <row r="159" spans="1:35" x14ac:dyDescent="0.25">
      <c r="A159" s="4"/>
      <c r="B159" s="6" t="s">
        <v>365</v>
      </c>
      <c r="C159" s="4" t="s">
        <v>59</v>
      </c>
      <c r="D159" s="4">
        <v>1</v>
      </c>
      <c r="E159" s="4"/>
      <c r="F159" s="4">
        <v>3</v>
      </c>
      <c r="G159" s="4">
        <v>457</v>
      </c>
      <c r="H159" s="4">
        <v>190</v>
      </c>
      <c r="I159" s="4">
        <v>14.5</v>
      </c>
      <c r="J159" s="4">
        <v>9</v>
      </c>
      <c r="K159" s="4">
        <v>6.55</v>
      </c>
      <c r="L159" s="4">
        <v>47.6</v>
      </c>
      <c r="M159" s="4">
        <v>31</v>
      </c>
      <c r="N159" s="4">
        <v>20</v>
      </c>
      <c r="O159" s="4">
        <v>460</v>
      </c>
      <c r="P159" s="4">
        <v>74</v>
      </c>
      <c r="Q159" s="4">
        <v>9450</v>
      </c>
      <c r="R159" s="4">
        <v>333</v>
      </c>
      <c r="S159" s="4">
        <v>1460</v>
      </c>
      <c r="T159" s="4">
        <v>188</v>
      </c>
      <c r="U159" s="4">
        <v>1650</v>
      </c>
      <c r="V159" s="4">
        <v>16.600000000000001</v>
      </c>
      <c r="W159" s="4">
        <v>175</v>
      </c>
      <c r="X159" s="4">
        <v>41.9</v>
      </c>
      <c r="Y159" s="4">
        <v>271</v>
      </c>
      <c r="Z159" s="4">
        <v>517</v>
      </c>
      <c r="AA159" s="4">
        <v>813</v>
      </c>
      <c r="AB159" s="4">
        <v>21000</v>
      </c>
      <c r="AC159" s="4">
        <v>14.5</v>
      </c>
      <c r="AD159" s="4">
        <v>290</v>
      </c>
      <c r="AE159" s="4">
        <v>816</v>
      </c>
      <c r="AF159" s="4">
        <v>1.66</v>
      </c>
      <c r="AG159" s="4" t="s">
        <v>366</v>
      </c>
      <c r="AH159" s="4">
        <v>18</v>
      </c>
      <c r="AI159" s="4">
        <v>50</v>
      </c>
    </row>
    <row r="160" spans="1:35" x14ac:dyDescent="0.25">
      <c r="A160" s="4"/>
      <c r="B160" s="5" t="s">
        <v>367</v>
      </c>
      <c r="C160" s="4" t="s">
        <v>284</v>
      </c>
      <c r="D160" s="4">
        <v>1</v>
      </c>
      <c r="E160" s="4"/>
      <c r="F160" s="4">
        <v>3</v>
      </c>
      <c r="G160" s="4">
        <v>454</v>
      </c>
      <c r="H160" s="4">
        <v>190</v>
      </c>
      <c r="I160" s="4">
        <v>12.7</v>
      </c>
      <c r="J160" s="4">
        <v>8.5</v>
      </c>
      <c r="K160" s="4">
        <v>7.48</v>
      </c>
      <c r="L160" s="4">
        <v>50.4</v>
      </c>
      <c r="M160" s="4">
        <v>29</v>
      </c>
      <c r="N160" s="4">
        <v>19</v>
      </c>
      <c r="O160" s="4">
        <v>460</v>
      </c>
      <c r="P160" s="4">
        <v>67</v>
      </c>
      <c r="Q160" s="4">
        <v>8560</v>
      </c>
      <c r="R160" s="4">
        <v>295</v>
      </c>
      <c r="S160" s="4">
        <v>1300</v>
      </c>
      <c r="T160" s="4">
        <v>186</v>
      </c>
      <c r="U160" s="4">
        <v>1470</v>
      </c>
      <c r="V160" s="4">
        <v>14.5</v>
      </c>
      <c r="W160" s="4">
        <v>153</v>
      </c>
      <c r="X160" s="4">
        <v>41.2</v>
      </c>
      <c r="Y160" s="4">
        <v>238</v>
      </c>
      <c r="Z160" s="4">
        <v>372</v>
      </c>
      <c r="AA160" s="4">
        <v>708</v>
      </c>
      <c r="AB160" s="4">
        <v>21000</v>
      </c>
      <c r="AC160" s="4">
        <v>12.6</v>
      </c>
      <c r="AD160" s="4">
        <v>254</v>
      </c>
      <c r="AE160" s="4">
        <v>728</v>
      </c>
      <c r="AF160" s="4">
        <v>1.65</v>
      </c>
      <c r="AG160" s="4" t="s">
        <v>368</v>
      </c>
      <c r="AH160" s="4">
        <v>18</v>
      </c>
      <c r="AI160" s="4">
        <v>45</v>
      </c>
    </row>
    <row r="161" spans="1:35" x14ac:dyDescent="0.25">
      <c r="A161" s="4"/>
      <c r="B161" s="5" t="s">
        <v>369</v>
      </c>
      <c r="C161" s="4" t="s">
        <v>284</v>
      </c>
      <c r="D161" s="4">
        <v>1</v>
      </c>
      <c r="E161" s="4"/>
      <c r="F161" s="4">
        <v>3</v>
      </c>
      <c r="G161" s="4">
        <v>450</v>
      </c>
      <c r="H161" s="4">
        <v>189</v>
      </c>
      <c r="I161" s="4">
        <v>10.8</v>
      </c>
      <c r="J161" s="4">
        <v>8.1</v>
      </c>
      <c r="K161" s="4">
        <v>8.75</v>
      </c>
      <c r="L161" s="4">
        <v>52.9</v>
      </c>
      <c r="M161" s="4">
        <v>28</v>
      </c>
      <c r="N161" s="4">
        <v>19</v>
      </c>
      <c r="O161" s="4">
        <v>460</v>
      </c>
      <c r="P161" s="4">
        <v>61</v>
      </c>
      <c r="Q161" s="4">
        <v>7640</v>
      </c>
      <c r="R161" s="4">
        <v>254</v>
      </c>
      <c r="S161" s="4">
        <v>1130</v>
      </c>
      <c r="T161" s="4">
        <v>182</v>
      </c>
      <c r="U161" s="4">
        <v>1290</v>
      </c>
      <c r="V161" s="4">
        <v>12.2</v>
      </c>
      <c r="W161" s="4">
        <v>129</v>
      </c>
      <c r="X161" s="4">
        <v>39.9</v>
      </c>
      <c r="Y161" s="4">
        <v>200</v>
      </c>
      <c r="Z161" s="4">
        <v>256</v>
      </c>
      <c r="AA161" s="4">
        <v>587</v>
      </c>
      <c r="AB161" s="4">
        <v>20800</v>
      </c>
      <c r="AC161" s="4">
        <v>10.6</v>
      </c>
      <c r="AD161" s="4">
        <v>215</v>
      </c>
      <c r="AE161" s="4">
        <v>634</v>
      </c>
      <c r="AF161" s="4">
        <v>1.64</v>
      </c>
      <c r="AG161" s="4" t="s">
        <v>370</v>
      </c>
      <c r="AH161" s="4">
        <v>18</v>
      </c>
      <c r="AI161" s="4">
        <v>41</v>
      </c>
    </row>
    <row r="162" spans="1:35" x14ac:dyDescent="0.25">
      <c r="A162" s="4" t="s">
        <v>59</v>
      </c>
      <c r="B162" s="6" t="s">
        <v>371</v>
      </c>
      <c r="C162" s="4" t="s">
        <v>59</v>
      </c>
      <c r="D162" s="4">
        <v>1</v>
      </c>
      <c r="E162" s="4"/>
      <c r="F162" s="4">
        <v>3</v>
      </c>
      <c r="G162" s="4">
        <v>459</v>
      </c>
      <c r="H162" s="4">
        <v>154</v>
      </c>
      <c r="I162" s="4">
        <v>15.4</v>
      </c>
      <c r="J162" s="4">
        <v>9.1</v>
      </c>
      <c r="K162" s="4">
        <v>5</v>
      </c>
      <c r="L162" s="4">
        <v>47.1</v>
      </c>
      <c r="M162" s="4">
        <v>32</v>
      </c>
      <c r="N162" s="4">
        <v>20</v>
      </c>
      <c r="O162" s="4">
        <v>460</v>
      </c>
      <c r="P162" s="4">
        <v>68</v>
      </c>
      <c r="Q162" s="4">
        <v>8730</v>
      </c>
      <c r="R162" s="4">
        <v>297</v>
      </c>
      <c r="S162" s="4">
        <v>1290</v>
      </c>
      <c r="T162" s="4">
        <v>184</v>
      </c>
      <c r="U162" s="4">
        <v>1490</v>
      </c>
      <c r="V162" s="4">
        <v>9.41</v>
      </c>
      <c r="W162" s="4">
        <v>122</v>
      </c>
      <c r="X162" s="4">
        <v>32.799999999999997</v>
      </c>
      <c r="Y162" s="4">
        <v>192</v>
      </c>
      <c r="Z162" s="4">
        <v>509</v>
      </c>
      <c r="AA162" s="4">
        <v>463</v>
      </c>
      <c r="AB162" s="4">
        <v>17100</v>
      </c>
      <c r="AC162" s="4">
        <v>10.1</v>
      </c>
      <c r="AD162" s="4">
        <v>247</v>
      </c>
      <c r="AE162" s="4">
        <v>735</v>
      </c>
      <c r="AF162" s="4">
        <v>1.52</v>
      </c>
      <c r="AG162" s="4" t="s">
        <v>372</v>
      </c>
      <c r="AH162" s="4">
        <v>18</v>
      </c>
      <c r="AI162" s="4">
        <v>46</v>
      </c>
    </row>
    <row r="163" spans="1:35" x14ac:dyDescent="0.25">
      <c r="A163" s="4"/>
      <c r="B163" s="6" t="s">
        <v>373</v>
      </c>
      <c r="C163" s="4" t="s">
        <v>59</v>
      </c>
      <c r="D163" s="4">
        <v>1</v>
      </c>
      <c r="E163" s="4"/>
      <c r="F163" s="4">
        <v>3</v>
      </c>
      <c r="G163" s="4">
        <v>455</v>
      </c>
      <c r="H163" s="4">
        <v>153</v>
      </c>
      <c r="I163" s="4">
        <v>13.3</v>
      </c>
      <c r="J163" s="4">
        <v>8</v>
      </c>
      <c r="K163" s="4">
        <v>5.75</v>
      </c>
      <c r="L163" s="4">
        <v>53.6</v>
      </c>
      <c r="M163" s="4">
        <v>30</v>
      </c>
      <c r="N163" s="4">
        <v>19</v>
      </c>
      <c r="O163" s="4">
        <v>460</v>
      </c>
      <c r="P163" s="4">
        <v>60</v>
      </c>
      <c r="Q163" s="4">
        <v>7590</v>
      </c>
      <c r="R163" s="4">
        <v>255</v>
      </c>
      <c r="S163" s="4">
        <v>1120</v>
      </c>
      <c r="T163" s="4">
        <v>183</v>
      </c>
      <c r="U163" s="4">
        <v>1280</v>
      </c>
      <c r="V163" s="4">
        <v>7.96</v>
      </c>
      <c r="W163" s="4">
        <v>104</v>
      </c>
      <c r="X163" s="4">
        <v>32.4</v>
      </c>
      <c r="Y163" s="4">
        <v>163</v>
      </c>
      <c r="Z163" s="4">
        <v>335</v>
      </c>
      <c r="AA163" s="4">
        <v>388</v>
      </c>
      <c r="AB163" s="4">
        <v>16900</v>
      </c>
      <c r="AC163" s="4">
        <v>8.59</v>
      </c>
      <c r="AD163" s="4">
        <v>213</v>
      </c>
      <c r="AE163" s="4">
        <v>633</v>
      </c>
      <c r="AF163" s="4">
        <v>1.51</v>
      </c>
      <c r="AG163" s="4" t="s">
        <v>374</v>
      </c>
      <c r="AH163" s="4">
        <v>18</v>
      </c>
      <c r="AI163" s="4">
        <v>40</v>
      </c>
    </row>
    <row r="164" spans="1:35" x14ac:dyDescent="0.25">
      <c r="A164" s="4"/>
      <c r="B164" s="6" t="s">
        <v>375</v>
      </c>
      <c r="C164" s="4" t="s">
        <v>59</v>
      </c>
      <c r="D164" s="4">
        <v>1</v>
      </c>
      <c r="E164" s="4"/>
      <c r="F164" s="4">
        <v>3</v>
      </c>
      <c r="G164" s="4">
        <v>450</v>
      </c>
      <c r="H164" s="4">
        <v>152</v>
      </c>
      <c r="I164" s="4">
        <v>10.8</v>
      </c>
      <c r="J164" s="4">
        <v>7.6</v>
      </c>
      <c r="K164" s="4">
        <v>7.04</v>
      </c>
      <c r="L164" s="4">
        <v>56.4</v>
      </c>
      <c r="M164" s="4">
        <v>28</v>
      </c>
      <c r="N164" s="4">
        <v>19</v>
      </c>
      <c r="O164" s="4">
        <v>460</v>
      </c>
      <c r="P164" s="4">
        <v>52</v>
      </c>
      <c r="Q164" s="4">
        <v>6630</v>
      </c>
      <c r="R164" s="4">
        <v>212</v>
      </c>
      <c r="S164" s="4">
        <v>943</v>
      </c>
      <c r="T164" s="4">
        <v>179</v>
      </c>
      <c r="U164" s="4">
        <v>1090</v>
      </c>
      <c r="V164" s="4">
        <v>6.34</v>
      </c>
      <c r="W164" s="4">
        <v>83.4</v>
      </c>
      <c r="X164" s="4">
        <v>30.9</v>
      </c>
      <c r="Y164" s="4">
        <v>131</v>
      </c>
      <c r="Z164" s="4">
        <v>210</v>
      </c>
      <c r="AA164" s="4">
        <v>306</v>
      </c>
      <c r="AB164" s="4">
        <v>16700</v>
      </c>
      <c r="AC164" s="4">
        <v>6.85</v>
      </c>
      <c r="AD164" s="4">
        <v>171</v>
      </c>
      <c r="AE164" s="4">
        <v>535</v>
      </c>
      <c r="AF164" s="4">
        <v>1.49</v>
      </c>
      <c r="AG164" s="4" t="s">
        <v>376</v>
      </c>
      <c r="AH164" s="4">
        <v>18</v>
      </c>
      <c r="AI164" s="4">
        <v>35</v>
      </c>
    </row>
    <row r="165" spans="1:35" x14ac:dyDescent="0.25">
      <c r="A165" s="4" t="s">
        <v>59</v>
      </c>
      <c r="B165" s="5" t="s">
        <v>377</v>
      </c>
      <c r="C165" s="4" t="s">
        <v>59</v>
      </c>
      <c r="D165" s="4">
        <v>1</v>
      </c>
      <c r="E165" s="4"/>
      <c r="F165" s="4">
        <v>3</v>
      </c>
      <c r="G165" s="4">
        <v>431</v>
      </c>
      <c r="H165" s="4">
        <v>265</v>
      </c>
      <c r="I165" s="4">
        <v>25</v>
      </c>
      <c r="J165" s="4">
        <v>14.9</v>
      </c>
      <c r="K165" s="4">
        <v>5.3</v>
      </c>
      <c r="L165" s="4">
        <v>25.6</v>
      </c>
      <c r="M165" s="4">
        <v>47</v>
      </c>
      <c r="N165" s="4">
        <v>28</v>
      </c>
      <c r="O165" s="4">
        <v>410</v>
      </c>
      <c r="P165" s="4">
        <v>149</v>
      </c>
      <c r="Q165" s="4">
        <v>19200</v>
      </c>
      <c r="R165" s="4">
        <v>625</v>
      </c>
      <c r="S165" s="4">
        <v>2900</v>
      </c>
      <c r="T165" s="4">
        <v>180</v>
      </c>
      <c r="U165" s="4">
        <v>3280</v>
      </c>
      <c r="V165" s="4">
        <v>77.7</v>
      </c>
      <c r="W165" s="4">
        <v>586</v>
      </c>
      <c r="X165" s="4">
        <v>63.6</v>
      </c>
      <c r="Y165" s="4">
        <v>902</v>
      </c>
      <c r="Z165" s="4">
        <v>3420</v>
      </c>
      <c r="AA165" s="4">
        <v>3200</v>
      </c>
      <c r="AB165" s="4">
        <v>26900</v>
      </c>
      <c r="AC165" s="4">
        <v>44.5</v>
      </c>
      <c r="AD165" s="4">
        <v>635</v>
      </c>
      <c r="AE165" s="4">
        <v>1620</v>
      </c>
      <c r="AF165" s="4">
        <v>1.89</v>
      </c>
      <c r="AG165" s="4" t="s">
        <v>378</v>
      </c>
      <c r="AH165" s="4">
        <v>16</v>
      </c>
      <c r="AI165" s="4">
        <v>100</v>
      </c>
    </row>
    <row r="166" spans="1:35" x14ac:dyDescent="0.25">
      <c r="A166" s="4"/>
      <c r="B166" s="5" t="s">
        <v>379</v>
      </c>
      <c r="C166" s="4" t="s">
        <v>59</v>
      </c>
      <c r="D166" s="4">
        <v>1</v>
      </c>
      <c r="E166" s="4"/>
      <c r="F166" s="4">
        <v>3</v>
      </c>
      <c r="G166" s="4">
        <v>425</v>
      </c>
      <c r="H166" s="4">
        <v>263</v>
      </c>
      <c r="I166" s="4">
        <v>22.2</v>
      </c>
      <c r="J166" s="4">
        <v>13.3</v>
      </c>
      <c r="K166" s="4">
        <v>5.92</v>
      </c>
      <c r="L166" s="4">
        <v>28.6</v>
      </c>
      <c r="M166" s="4">
        <v>44</v>
      </c>
      <c r="N166" s="4">
        <v>27</v>
      </c>
      <c r="O166" s="4">
        <v>410</v>
      </c>
      <c r="P166" s="4">
        <v>132</v>
      </c>
      <c r="Q166" s="4">
        <v>17000</v>
      </c>
      <c r="R166" s="4">
        <v>545</v>
      </c>
      <c r="S166" s="4">
        <v>2560</v>
      </c>
      <c r="T166" s="4">
        <v>179</v>
      </c>
      <c r="U166" s="4">
        <v>2890</v>
      </c>
      <c r="V166" s="4">
        <v>67.400000000000006</v>
      </c>
      <c r="W166" s="4">
        <v>513</v>
      </c>
      <c r="X166" s="4">
        <v>62.9</v>
      </c>
      <c r="Y166" s="4">
        <v>788</v>
      </c>
      <c r="Z166" s="4">
        <v>2410</v>
      </c>
      <c r="AA166" s="4">
        <v>2730</v>
      </c>
      <c r="AB166" s="4">
        <v>26500</v>
      </c>
      <c r="AC166" s="4">
        <v>38.700000000000003</v>
      </c>
      <c r="AD166" s="4">
        <v>558</v>
      </c>
      <c r="AE166" s="4">
        <v>1420</v>
      </c>
      <c r="AF166" s="4">
        <v>1.88</v>
      </c>
      <c r="AG166" s="4" t="s">
        <v>380</v>
      </c>
      <c r="AH166" s="4">
        <v>16</v>
      </c>
      <c r="AI166" s="4">
        <v>89</v>
      </c>
    </row>
    <row r="167" spans="1:35" x14ac:dyDescent="0.25">
      <c r="A167" s="4"/>
      <c r="B167" s="5" t="s">
        <v>381</v>
      </c>
      <c r="C167" s="4" t="s">
        <v>59</v>
      </c>
      <c r="D167" s="4">
        <v>1</v>
      </c>
      <c r="E167" s="4"/>
      <c r="F167" s="4">
        <v>3</v>
      </c>
      <c r="G167" s="4">
        <v>420</v>
      </c>
      <c r="H167" s="4">
        <v>261</v>
      </c>
      <c r="I167" s="4">
        <v>19.3</v>
      </c>
      <c r="J167" s="4">
        <v>11.6</v>
      </c>
      <c r="K167" s="4">
        <v>6.76</v>
      </c>
      <c r="L167" s="4">
        <v>32.9</v>
      </c>
      <c r="M167" s="4">
        <v>41</v>
      </c>
      <c r="N167" s="4">
        <v>26</v>
      </c>
      <c r="O167" s="4">
        <v>410</v>
      </c>
      <c r="P167" s="4">
        <v>114</v>
      </c>
      <c r="Q167" s="4">
        <v>14800</v>
      </c>
      <c r="R167" s="4">
        <v>468</v>
      </c>
      <c r="S167" s="4">
        <v>2230</v>
      </c>
      <c r="T167" s="4">
        <v>178</v>
      </c>
      <c r="U167" s="4">
        <v>2490</v>
      </c>
      <c r="V167" s="4">
        <v>57.3</v>
      </c>
      <c r="W167" s="4">
        <v>439</v>
      </c>
      <c r="X167" s="4">
        <v>62.3</v>
      </c>
      <c r="Y167" s="4">
        <v>673</v>
      </c>
      <c r="Z167" s="4">
        <v>1610</v>
      </c>
      <c r="AA167" s="4">
        <v>2300</v>
      </c>
      <c r="AB167" s="4">
        <v>26100</v>
      </c>
      <c r="AC167" s="4">
        <v>32.9</v>
      </c>
      <c r="AD167" s="4">
        <v>482</v>
      </c>
      <c r="AE167" s="4">
        <v>1220</v>
      </c>
      <c r="AF167" s="4">
        <v>1.86</v>
      </c>
      <c r="AG167" s="4" t="s">
        <v>382</v>
      </c>
      <c r="AH167" s="4">
        <v>16</v>
      </c>
      <c r="AI167" s="4">
        <v>77</v>
      </c>
    </row>
    <row r="168" spans="1:35" x14ac:dyDescent="0.25">
      <c r="A168" s="4"/>
      <c r="B168" s="5" t="s">
        <v>383</v>
      </c>
      <c r="C168" s="4" t="s">
        <v>59</v>
      </c>
      <c r="D168" s="4">
        <v>1</v>
      </c>
      <c r="E168" s="4"/>
      <c r="F168" s="4">
        <v>3</v>
      </c>
      <c r="G168" s="4">
        <v>415</v>
      </c>
      <c r="H168" s="4">
        <v>260</v>
      </c>
      <c r="I168" s="4">
        <v>16.899999999999999</v>
      </c>
      <c r="J168" s="4">
        <v>10</v>
      </c>
      <c r="K168" s="4">
        <v>7.69</v>
      </c>
      <c r="L168" s="4">
        <v>38.1</v>
      </c>
      <c r="M168" s="4">
        <v>39</v>
      </c>
      <c r="N168" s="4">
        <v>25</v>
      </c>
      <c r="O168" s="4">
        <v>410</v>
      </c>
      <c r="P168" s="4">
        <v>100</v>
      </c>
      <c r="Q168" s="4">
        <v>12900</v>
      </c>
      <c r="R168" s="4">
        <v>404</v>
      </c>
      <c r="S168" s="4">
        <v>1950</v>
      </c>
      <c r="T168" s="4">
        <v>177</v>
      </c>
      <c r="U168" s="4">
        <v>2160</v>
      </c>
      <c r="V168" s="4">
        <v>49.6</v>
      </c>
      <c r="W168" s="4">
        <v>381</v>
      </c>
      <c r="X168" s="4">
        <v>62</v>
      </c>
      <c r="Y168" s="4">
        <v>583</v>
      </c>
      <c r="Z168" s="4">
        <v>1090</v>
      </c>
      <c r="AA168" s="4">
        <v>1960</v>
      </c>
      <c r="AB168" s="4">
        <v>25900</v>
      </c>
      <c r="AC168" s="4">
        <v>28.4</v>
      </c>
      <c r="AD168" s="4">
        <v>420</v>
      </c>
      <c r="AE168" s="4">
        <v>1060</v>
      </c>
      <c r="AF168" s="4">
        <v>1.85</v>
      </c>
      <c r="AG168" s="4" t="s">
        <v>384</v>
      </c>
      <c r="AH168" s="4">
        <v>16</v>
      </c>
      <c r="AI168" s="4">
        <v>67</v>
      </c>
    </row>
    <row r="169" spans="1:35" x14ac:dyDescent="0.25">
      <c r="A169" s="4" t="s">
        <v>59</v>
      </c>
      <c r="B169" s="6" t="s">
        <v>385</v>
      </c>
      <c r="C169" s="4" t="s">
        <v>59</v>
      </c>
      <c r="D169" s="4">
        <v>1</v>
      </c>
      <c r="E169" s="4"/>
      <c r="F169" s="4">
        <v>3</v>
      </c>
      <c r="G169" s="4">
        <v>417</v>
      </c>
      <c r="H169" s="4">
        <v>181</v>
      </c>
      <c r="I169" s="4">
        <v>18.2</v>
      </c>
      <c r="J169" s="4">
        <v>10.9</v>
      </c>
      <c r="K169" s="4">
        <v>4.97</v>
      </c>
      <c r="L169" s="4">
        <v>34.9</v>
      </c>
      <c r="M169" s="4">
        <v>35</v>
      </c>
      <c r="N169" s="4">
        <v>21</v>
      </c>
      <c r="O169" s="4">
        <v>410</v>
      </c>
      <c r="P169" s="4">
        <v>85</v>
      </c>
      <c r="Q169" s="4">
        <v>10800</v>
      </c>
      <c r="R169" s="4">
        <v>315</v>
      </c>
      <c r="S169" s="4">
        <v>1510</v>
      </c>
      <c r="T169" s="4">
        <v>171</v>
      </c>
      <c r="U169" s="4">
        <v>1730</v>
      </c>
      <c r="V169" s="4">
        <v>18</v>
      </c>
      <c r="W169" s="4">
        <v>199</v>
      </c>
      <c r="X169" s="4">
        <v>40.799999999999997</v>
      </c>
      <c r="Y169" s="4">
        <v>310</v>
      </c>
      <c r="Z169" s="4">
        <v>926</v>
      </c>
      <c r="AA169" s="4">
        <v>717</v>
      </c>
      <c r="AB169" s="4">
        <v>18000</v>
      </c>
      <c r="AC169" s="4">
        <v>14.9</v>
      </c>
      <c r="AD169" s="4">
        <v>309</v>
      </c>
      <c r="AE169" s="4">
        <v>854</v>
      </c>
      <c r="AF169" s="4">
        <v>1.54</v>
      </c>
      <c r="AG169" s="4" t="s">
        <v>386</v>
      </c>
      <c r="AH169" s="4">
        <v>16</v>
      </c>
      <c r="AI169" s="4">
        <v>57</v>
      </c>
    </row>
    <row r="170" spans="1:35" x14ac:dyDescent="0.25">
      <c r="A170" s="4"/>
      <c r="B170" s="6" t="s">
        <v>387</v>
      </c>
      <c r="C170" s="4" t="s">
        <v>59</v>
      </c>
      <c r="D170" s="4">
        <v>1</v>
      </c>
      <c r="E170" s="4"/>
      <c r="F170" s="4">
        <v>3</v>
      </c>
      <c r="G170" s="4">
        <v>413</v>
      </c>
      <c r="H170" s="4">
        <v>180</v>
      </c>
      <c r="I170" s="4">
        <v>16</v>
      </c>
      <c r="J170" s="4">
        <v>9.6999999999999993</v>
      </c>
      <c r="K170" s="4">
        <v>5.63</v>
      </c>
      <c r="L170" s="4">
        <v>39.299999999999997</v>
      </c>
      <c r="M170" s="4">
        <v>33</v>
      </c>
      <c r="N170" s="4">
        <v>20</v>
      </c>
      <c r="O170" s="4">
        <v>410</v>
      </c>
      <c r="P170" s="4">
        <v>74</v>
      </c>
      <c r="Q170" s="4">
        <v>9550</v>
      </c>
      <c r="R170" s="4">
        <v>275</v>
      </c>
      <c r="S170" s="4">
        <v>1330</v>
      </c>
      <c r="T170" s="4">
        <v>170</v>
      </c>
      <c r="U170" s="4">
        <v>1510</v>
      </c>
      <c r="V170" s="4">
        <v>15.6</v>
      </c>
      <c r="W170" s="4">
        <v>173</v>
      </c>
      <c r="X170" s="4">
        <v>40.4</v>
      </c>
      <c r="Y170" s="4">
        <v>269</v>
      </c>
      <c r="Z170" s="4">
        <v>637</v>
      </c>
      <c r="AA170" s="4">
        <v>614</v>
      </c>
      <c r="AB170" s="4">
        <v>17900</v>
      </c>
      <c r="AC170" s="4">
        <v>12.9</v>
      </c>
      <c r="AD170" s="4">
        <v>270</v>
      </c>
      <c r="AE170" s="4">
        <v>748</v>
      </c>
      <c r="AF170" s="4">
        <v>1.53</v>
      </c>
      <c r="AG170" s="4" t="s">
        <v>388</v>
      </c>
      <c r="AH170" s="4">
        <v>16</v>
      </c>
      <c r="AI170" s="4">
        <v>50</v>
      </c>
    </row>
    <row r="171" spans="1:35" x14ac:dyDescent="0.25">
      <c r="A171" s="4"/>
      <c r="B171" s="6" t="s">
        <v>389</v>
      </c>
      <c r="C171" s="4" t="s">
        <v>59</v>
      </c>
      <c r="D171" s="4">
        <v>1</v>
      </c>
      <c r="E171" s="4"/>
      <c r="F171" s="4">
        <v>3</v>
      </c>
      <c r="G171" s="4">
        <v>410</v>
      </c>
      <c r="H171" s="4">
        <v>179</v>
      </c>
      <c r="I171" s="4">
        <v>14.4</v>
      </c>
      <c r="J171" s="4">
        <v>8.8000000000000007</v>
      </c>
      <c r="K171" s="4">
        <v>6.22</v>
      </c>
      <c r="L171" s="4">
        <v>43.3</v>
      </c>
      <c r="M171" s="4">
        <v>31</v>
      </c>
      <c r="N171" s="4">
        <v>20</v>
      </c>
      <c r="O171" s="4">
        <v>410</v>
      </c>
      <c r="P171" s="4">
        <v>67</v>
      </c>
      <c r="Q171" s="4">
        <v>8600</v>
      </c>
      <c r="R171" s="4">
        <v>246</v>
      </c>
      <c r="S171" s="4">
        <v>1200</v>
      </c>
      <c r="T171" s="4">
        <v>169</v>
      </c>
      <c r="U171" s="4">
        <v>1360</v>
      </c>
      <c r="V171" s="4">
        <v>13.8</v>
      </c>
      <c r="W171" s="4">
        <v>154</v>
      </c>
      <c r="X171" s="4">
        <v>40</v>
      </c>
      <c r="Y171" s="4">
        <v>239</v>
      </c>
      <c r="Z171" s="4">
        <v>469</v>
      </c>
      <c r="AA171" s="4">
        <v>540</v>
      </c>
      <c r="AB171" s="4">
        <v>17700</v>
      </c>
      <c r="AC171" s="4">
        <v>11.4</v>
      </c>
      <c r="AD171" s="4">
        <v>242</v>
      </c>
      <c r="AE171" s="4">
        <v>670</v>
      </c>
      <c r="AF171" s="4">
        <v>1.52</v>
      </c>
      <c r="AG171" s="4" t="s">
        <v>390</v>
      </c>
      <c r="AH171" s="4">
        <v>16</v>
      </c>
      <c r="AI171" s="4">
        <v>45</v>
      </c>
    </row>
    <row r="172" spans="1:35" x14ac:dyDescent="0.25">
      <c r="A172" s="4"/>
      <c r="B172" s="6" t="s">
        <v>391</v>
      </c>
      <c r="C172" s="4" t="s">
        <v>59</v>
      </c>
      <c r="D172" s="4">
        <v>1</v>
      </c>
      <c r="E172" s="4"/>
      <c r="F172" s="4">
        <v>3</v>
      </c>
      <c r="G172" s="4">
        <v>407</v>
      </c>
      <c r="H172" s="4">
        <v>178</v>
      </c>
      <c r="I172" s="4">
        <v>12.8</v>
      </c>
      <c r="J172" s="4">
        <v>7.7</v>
      </c>
      <c r="K172" s="4">
        <v>6.95</v>
      </c>
      <c r="L172" s="4">
        <v>49.5</v>
      </c>
      <c r="M172" s="4">
        <v>30</v>
      </c>
      <c r="N172" s="4">
        <v>19</v>
      </c>
      <c r="O172" s="4">
        <v>410</v>
      </c>
      <c r="P172" s="4">
        <v>60</v>
      </c>
      <c r="Q172" s="4">
        <v>7580</v>
      </c>
      <c r="R172" s="4">
        <v>216</v>
      </c>
      <c r="S172" s="4">
        <v>1060</v>
      </c>
      <c r="T172" s="4">
        <v>169</v>
      </c>
      <c r="U172" s="4">
        <v>1190</v>
      </c>
      <c r="V172" s="4">
        <v>12</v>
      </c>
      <c r="W172" s="4">
        <v>135</v>
      </c>
      <c r="X172" s="4">
        <v>39.9</v>
      </c>
      <c r="Y172" s="4">
        <v>209</v>
      </c>
      <c r="Z172" s="4">
        <v>328</v>
      </c>
      <c r="AA172" s="4">
        <v>468</v>
      </c>
      <c r="AB172" s="4">
        <v>17500</v>
      </c>
      <c r="AC172" s="4">
        <v>9.99</v>
      </c>
      <c r="AD172" s="4">
        <v>215</v>
      </c>
      <c r="AE172" s="4">
        <v>589</v>
      </c>
      <c r="AF172" s="4">
        <v>1.51</v>
      </c>
      <c r="AG172" s="4" t="s">
        <v>392</v>
      </c>
      <c r="AH172" s="4">
        <v>16</v>
      </c>
      <c r="AI172" s="4">
        <v>40</v>
      </c>
    </row>
    <row r="173" spans="1:35" x14ac:dyDescent="0.25">
      <c r="A173" s="4"/>
      <c r="B173" s="6" t="s">
        <v>393</v>
      </c>
      <c r="C173" s="4" t="s">
        <v>59</v>
      </c>
      <c r="D173" s="4">
        <v>1</v>
      </c>
      <c r="E173" s="4"/>
      <c r="F173" s="4">
        <v>3</v>
      </c>
      <c r="G173" s="4">
        <v>403</v>
      </c>
      <c r="H173" s="4">
        <v>177</v>
      </c>
      <c r="I173" s="4">
        <v>10.9</v>
      </c>
      <c r="J173" s="4">
        <v>7.5</v>
      </c>
      <c r="K173" s="4">
        <v>8.1199999999999992</v>
      </c>
      <c r="L173" s="4">
        <v>50.8</v>
      </c>
      <c r="M173" s="4">
        <v>28</v>
      </c>
      <c r="N173" s="4">
        <v>19</v>
      </c>
      <c r="O173" s="4">
        <v>410</v>
      </c>
      <c r="P173" s="4">
        <v>54</v>
      </c>
      <c r="Q173" s="4">
        <v>6810</v>
      </c>
      <c r="R173" s="4">
        <v>186</v>
      </c>
      <c r="S173" s="4">
        <v>924</v>
      </c>
      <c r="T173" s="4">
        <v>165</v>
      </c>
      <c r="U173" s="4">
        <v>1050</v>
      </c>
      <c r="V173" s="4">
        <v>10.1</v>
      </c>
      <c r="W173" s="4">
        <v>114</v>
      </c>
      <c r="X173" s="4">
        <v>38.5</v>
      </c>
      <c r="Y173" s="4">
        <v>177</v>
      </c>
      <c r="Z173" s="4">
        <v>226</v>
      </c>
      <c r="AA173" s="4">
        <v>388</v>
      </c>
      <c r="AB173" s="4">
        <v>17400</v>
      </c>
      <c r="AC173" s="4">
        <v>8.3699999999999992</v>
      </c>
      <c r="AD173" s="4">
        <v>181</v>
      </c>
      <c r="AE173" s="4">
        <v>514</v>
      </c>
      <c r="AF173" s="4">
        <v>1.5</v>
      </c>
      <c r="AG173" s="4" t="s">
        <v>394</v>
      </c>
      <c r="AH173" s="4">
        <v>16</v>
      </c>
      <c r="AI173" s="4">
        <v>36</v>
      </c>
    </row>
    <row r="174" spans="1:35" x14ac:dyDescent="0.25">
      <c r="A174" s="4" t="s">
        <v>59</v>
      </c>
      <c r="B174" s="6" t="s">
        <v>395</v>
      </c>
      <c r="C174" s="4" t="s">
        <v>59</v>
      </c>
      <c r="D174" s="4">
        <v>1</v>
      </c>
      <c r="E174" s="4"/>
      <c r="F174" s="4">
        <v>3</v>
      </c>
      <c r="G174" s="4">
        <v>403</v>
      </c>
      <c r="H174" s="4">
        <v>140</v>
      </c>
      <c r="I174" s="4">
        <v>11.2</v>
      </c>
      <c r="J174" s="4">
        <v>7</v>
      </c>
      <c r="K174" s="4">
        <v>6.25</v>
      </c>
      <c r="L174" s="4">
        <v>54.4</v>
      </c>
      <c r="M174" s="4">
        <v>28</v>
      </c>
      <c r="N174" s="4">
        <v>19</v>
      </c>
      <c r="O174" s="4">
        <v>410</v>
      </c>
      <c r="P174" s="4">
        <v>46</v>
      </c>
      <c r="Q174" s="4">
        <v>5890</v>
      </c>
      <c r="R174" s="4">
        <v>156</v>
      </c>
      <c r="S174" s="4">
        <v>773</v>
      </c>
      <c r="T174" s="4">
        <v>163</v>
      </c>
      <c r="U174" s="4">
        <v>885</v>
      </c>
      <c r="V174" s="4">
        <v>5.14</v>
      </c>
      <c r="W174" s="4">
        <v>73.400000000000006</v>
      </c>
      <c r="X174" s="4">
        <v>29.5</v>
      </c>
      <c r="Y174" s="4">
        <v>115</v>
      </c>
      <c r="Z174" s="4">
        <v>192</v>
      </c>
      <c r="AA174" s="4">
        <v>197</v>
      </c>
      <c r="AB174" s="4">
        <v>13700</v>
      </c>
      <c r="AC174" s="4">
        <v>5.38</v>
      </c>
      <c r="AD174" s="4">
        <v>146</v>
      </c>
      <c r="AE174" s="4">
        <v>434</v>
      </c>
      <c r="AF174" s="4">
        <v>1.35</v>
      </c>
      <c r="AG174" s="4" t="s">
        <v>396</v>
      </c>
      <c r="AH174" s="4">
        <v>16</v>
      </c>
      <c r="AI174" s="4">
        <v>31</v>
      </c>
    </row>
    <row r="175" spans="1:35" x14ac:dyDescent="0.25">
      <c r="A175" s="4"/>
      <c r="B175" s="6" t="s">
        <v>397</v>
      </c>
      <c r="C175" s="4" t="s">
        <v>59</v>
      </c>
      <c r="D175" s="4">
        <v>1</v>
      </c>
      <c r="E175" s="4"/>
      <c r="F175" s="4">
        <v>3</v>
      </c>
      <c r="G175" s="4">
        <v>399</v>
      </c>
      <c r="H175" s="4">
        <v>140</v>
      </c>
      <c r="I175" s="4">
        <v>8.8000000000000007</v>
      </c>
      <c r="J175" s="4">
        <v>6.4</v>
      </c>
      <c r="K175" s="4">
        <v>7.95</v>
      </c>
      <c r="L175" s="4">
        <v>59.6</v>
      </c>
      <c r="M175" s="4">
        <v>26</v>
      </c>
      <c r="N175" s="4">
        <v>18</v>
      </c>
      <c r="O175" s="4">
        <v>410</v>
      </c>
      <c r="P175" s="4">
        <v>39</v>
      </c>
      <c r="Q175" s="4">
        <v>4990</v>
      </c>
      <c r="R175" s="4">
        <v>127</v>
      </c>
      <c r="S175" s="4">
        <v>634</v>
      </c>
      <c r="T175" s="4">
        <v>159</v>
      </c>
      <c r="U175" s="4">
        <v>730</v>
      </c>
      <c r="V175" s="4">
        <v>4.04</v>
      </c>
      <c r="W175" s="4">
        <v>57.7</v>
      </c>
      <c r="X175" s="4">
        <v>28.4</v>
      </c>
      <c r="Y175" s="4">
        <v>90.6</v>
      </c>
      <c r="Z175" s="4">
        <v>111</v>
      </c>
      <c r="AA175" s="4">
        <v>154</v>
      </c>
      <c r="AB175" s="4">
        <v>13700</v>
      </c>
      <c r="AC175" s="4">
        <v>4.21</v>
      </c>
      <c r="AD175" s="4">
        <v>115</v>
      </c>
      <c r="AE175" s="4">
        <v>357</v>
      </c>
      <c r="AF175" s="4">
        <v>1.35</v>
      </c>
      <c r="AG175" s="4" t="s">
        <v>398</v>
      </c>
      <c r="AH175" s="4">
        <v>16</v>
      </c>
      <c r="AI175" s="4">
        <v>26</v>
      </c>
    </row>
    <row r="176" spans="1:35" x14ac:dyDescent="0.25">
      <c r="A176" s="4" t="s">
        <v>59</v>
      </c>
      <c r="B176" s="5" t="s">
        <v>399</v>
      </c>
      <c r="C176" s="4" t="s">
        <v>59</v>
      </c>
      <c r="D176" s="4">
        <v>1</v>
      </c>
      <c r="E176" s="4"/>
      <c r="F176" s="4">
        <v>1</v>
      </c>
      <c r="G176" s="4">
        <v>569</v>
      </c>
      <c r="H176" s="4">
        <v>454</v>
      </c>
      <c r="I176" s="4">
        <v>125</v>
      </c>
      <c r="J176" s="4">
        <v>78</v>
      </c>
      <c r="K176" s="4">
        <v>1.82</v>
      </c>
      <c r="L176" s="4">
        <v>4.09</v>
      </c>
      <c r="M176" s="4">
        <v>157</v>
      </c>
      <c r="N176" s="4">
        <v>69</v>
      </c>
      <c r="O176" s="4">
        <v>360</v>
      </c>
      <c r="P176" s="4">
        <v>1086</v>
      </c>
      <c r="Q176" s="4">
        <v>139000</v>
      </c>
      <c r="R176" s="4">
        <v>5960</v>
      </c>
      <c r="S176" s="4">
        <v>20900</v>
      </c>
      <c r="T176" s="4">
        <v>207</v>
      </c>
      <c r="U176" s="4">
        <v>27200</v>
      </c>
      <c r="V176" s="4">
        <v>1960</v>
      </c>
      <c r="W176" s="4">
        <v>8650</v>
      </c>
      <c r="X176" s="4">
        <v>119</v>
      </c>
      <c r="Y176" s="4">
        <v>13400</v>
      </c>
      <c r="Z176" s="4">
        <v>605000</v>
      </c>
      <c r="AA176" s="4">
        <v>96700</v>
      </c>
      <c r="AB176" s="4">
        <v>50400</v>
      </c>
      <c r="AC176" s="4">
        <v>715</v>
      </c>
      <c r="AD176" s="4">
        <v>5220</v>
      </c>
      <c r="AE176" s="4">
        <v>13600</v>
      </c>
      <c r="AF176" s="4">
        <v>2.8</v>
      </c>
      <c r="AG176" s="4" t="s">
        <v>400</v>
      </c>
      <c r="AH176" s="4">
        <v>14</v>
      </c>
      <c r="AI176" s="4">
        <v>730</v>
      </c>
    </row>
    <row r="177" spans="1:35" x14ac:dyDescent="0.25">
      <c r="A177" s="4"/>
      <c r="B177" s="5" t="s">
        <v>401</v>
      </c>
      <c r="C177" s="4" t="s">
        <v>59</v>
      </c>
      <c r="D177" s="4">
        <v>1</v>
      </c>
      <c r="E177" s="4"/>
      <c r="F177" s="4">
        <v>1</v>
      </c>
      <c r="G177" s="4">
        <v>550</v>
      </c>
      <c r="H177" s="4">
        <v>448</v>
      </c>
      <c r="I177" s="4">
        <v>115</v>
      </c>
      <c r="J177" s="4">
        <v>71.900000000000006</v>
      </c>
      <c r="K177" s="4">
        <v>1.95</v>
      </c>
      <c r="L177" s="4">
        <v>4.45</v>
      </c>
      <c r="M177" s="4">
        <v>147</v>
      </c>
      <c r="N177" s="4">
        <v>66</v>
      </c>
      <c r="O177" s="4">
        <v>360</v>
      </c>
      <c r="P177" s="4">
        <v>990</v>
      </c>
      <c r="Q177" s="4">
        <v>126000</v>
      </c>
      <c r="R177" s="4">
        <v>5190</v>
      </c>
      <c r="S177" s="4">
        <v>18900</v>
      </c>
      <c r="T177" s="4">
        <v>203</v>
      </c>
      <c r="U177" s="4">
        <v>24300</v>
      </c>
      <c r="V177" s="4">
        <v>1730</v>
      </c>
      <c r="W177" s="4">
        <v>7740</v>
      </c>
      <c r="X177" s="4">
        <v>117</v>
      </c>
      <c r="Y177" s="4">
        <v>12000</v>
      </c>
      <c r="Z177" s="4">
        <v>469000</v>
      </c>
      <c r="AA177" s="4">
        <v>82000</v>
      </c>
      <c r="AB177" s="4">
        <v>48700</v>
      </c>
      <c r="AC177" s="4">
        <v>628</v>
      </c>
      <c r="AD177" s="4">
        <v>4700</v>
      </c>
      <c r="AE177" s="4">
        <v>12100</v>
      </c>
      <c r="AF177" s="4">
        <v>2.75</v>
      </c>
      <c r="AG177" s="4" t="s">
        <v>402</v>
      </c>
      <c r="AH177" s="4">
        <v>14</v>
      </c>
      <c r="AI177" s="4">
        <v>665</v>
      </c>
    </row>
    <row r="178" spans="1:35" x14ac:dyDescent="0.25">
      <c r="A178" s="4"/>
      <c r="B178" s="5" t="s">
        <v>403</v>
      </c>
      <c r="C178" s="4" t="s">
        <v>59</v>
      </c>
      <c r="D178" s="4">
        <v>1</v>
      </c>
      <c r="E178" s="4"/>
      <c r="F178" s="4">
        <v>1</v>
      </c>
      <c r="G178" s="4">
        <v>531</v>
      </c>
      <c r="H178" s="4">
        <v>442</v>
      </c>
      <c r="I178" s="4">
        <v>106</v>
      </c>
      <c r="J178" s="4">
        <v>65.900000000000006</v>
      </c>
      <c r="K178" s="4">
        <v>2.08</v>
      </c>
      <c r="L178" s="4">
        <v>4.84</v>
      </c>
      <c r="M178" s="4">
        <v>138</v>
      </c>
      <c r="N178" s="4">
        <v>63</v>
      </c>
      <c r="O178" s="4">
        <v>360</v>
      </c>
      <c r="P178" s="4">
        <v>900</v>
      </c>
      <c r="Q178" s="4">
        <v>115000</v>
      </c>
      <c r="R178" s="4">
        <v>4500</v>
      </c>
      <c r="S178" s="4">
        <v>17000</v>
      </c>
      <c r="T178" s="4">
        <v>198</v>
      </c>
      <c r="U178" s="4">
        <v>21600</v>
      </c>
      <c r="V178" s="4">
        <v>1530</v>
      </c>
      <c r="W178" s="4">
        <v>6940</v>
      </c>
      <c r="X178" s="4">
        <v>116</v>
      </c>
      <c r="Y178" s="4">
        <v>10700</v>
      </c>
      <c r="Z178" s="4">
        <v>364000</v>
      </c>
      <c r="AA178" s="4">
        <v>69200</v>
      </c>
      <c r="AB178" s="4">
        <v>47000</v>
      </c>
      <c r="AC178" s="4">
        <v>550</v>
      </c>
      <c r="AD178" s="4">
        <v>4240</v>
      </c>
      <c r="AE178" s="4">
        <v>10800</v>
      </c>
      <c r="AF178" s="4">
        <v>2.7</v>
      </c>
      <c r="AG178" s="4" t="s">
        <v>404</v>
      </c>
      <c r="AH178" s="4">
        <v>14</v>
      </c>
      <c r="AI178" s="4">
        <v>605</v>
      </c>
    </row>
    <row r="179" spans="1:35" x14ac:dyDescent="0.25">
      <c r="A179" s="4"/>
      <c r="B179" s="5" t="s">
        <v>405</v>
      </c>
      <c r="C179" s="4" t="s">
        <v>59</v>
      </c>
      <c r="D179" s="4">
        <v>1</v>
      </c>
      <c r="E179" s="4"/>
      <c r="F179" s="4">
        <v>1</v>
      </c>
      <c r="G179" s="4">
        <v>514</v>
      </c>
      <c r="H179" s="4">
        <v>437</v>
      </c>
      <c r="I179" s="4">
        <v>97</v>
      </c>
      <c r="J179" s="4">
        <v>60.5</v>
      </c>
      <c r="K179" s="4">
        <v>2.25</v>
      </c>
      <c r="L179" s="4">
        <v>5.29</v>
      </c>
      <c r="M179" s="4">
        <v>129</v>
      </c>
      <c r="N179" s="4">
        <v>60</v>
      </c>
      <c r="O179" s="4">
        <v>360</v>
      </c>
      <c r="P179" s="4">
        <v>818</v>
      </c>
      <c r="Q179" s="4">
        <v>104000</v>
      </c>
      <c r="R179" s="4">
        <v>3920</v>
      </c>
      <c r="S179" s="4">
        <v>15300</v>
      </c>
      <c r="T179" s="4">
        <v>194</v>
      </c>
      <c r="U179" s="4">
        <v>19300</v>
      </c>
      <c r="V179" s="4">
        <v>1360</v>
      </c>
      <c r="W179" s="4">
        <v>6200</v>
      </c>
      <c r="X179" s="4">
        <v>114</v>
      </c>
      <c r="Y179" s="4">
        <v>9560</v>
      </c>
      <c r="Z179" s="4">
        <v>279000</v>
      </c>
      <c r="AA179" s="4">
        <v>58900</v>
      </c>
      <c r="AB179" s="4">
        <v>45600</v>
      </c>
      <c r="AC179" s="4">
        <v>483</v>
      </c>
      <c r="AD179" s="4">
        <v>3810</v>
      </c>
      <c r="AE179" s="4">
        <v>9610</v>
      </c>
      <c r="AF179" s="4">
        <v>2.66</v>
      </c>
      <c r="AG179" s="4" t="s">
        <v>406</v>
      </c>
      <c r="AH179" s="4">
        <v>14</v>
      </c>
      <c r="AI179" s="4">
        <v>550</v>
      </c>
    </row>
    <row r="180" spans="1:35" x14ac:dyDescent="0.25">
      <c r="A180" s="4"/>
      <c r="B180" s="5" t="s">
        <v>407</v>
      </c>
      <c r="C180" s="4" t="s">
        <v>59</v>
      </c>
      <c r="D180" s="4">
        <v>1</v>
      </c>
      <c r="E180" s="4"/>
      <c r="F180" s="4">
        <v>1</v>
      </c>
      <c r="G180" s="4">
        <v>498</v>
      </c>
      <c r="H180" s="4">
        <v>432</v>
      </c>
      <c r="I180" s="4">
        <v>88.9</v>
      </c>
      <c r="J180" s="4">
        <v>55.6</v>
      </c>
      <c r="K180" s="4">
        <v>2.4300000000000002</v>
      </c>
      <c r="L180" s="4">
        <v>5.76</v>
      </c>
      <c r="M180" s="4">
        <v>120</v>
      </c>
      <c r="N180" s="4">
        <v>58</v>
      </c>
      <c r="O180" s="4">
        <v>360</v>
      </c>
      <c r="P180" s="4">
        <v>744</v>
      </c>
      <c r="Q180" s="4">
        <v>94800</v>
      </c>
      <c r="R180" s="4">
        <v>3420</v>
      </c>
      <c r="S180" s="4">
        <v>13700</v>
      </c>
      <c r="T180" s="4">
        <v>190</v>
      </c>
      <c r="U180" s="4">
        <v>17200</v>
      </c>
      <c r="V180" s="4">
        <v>1200</v>
      </c>
      <c r="W180" s="4">
        <v>5550</v>
      </c>
      <c r="X180" s="4">
        <v>112</v>
      </c>
      <c r="Y180" s="4">
        <v>8550</v>
      </c>
      <c r="Z180" s="4">
        <v>214000</v>
      </c>
      <c r="AA180" s="4">
        <v>50200</v>
      </c>
      <c r="AB180" s="4">
        <v>44200</v>
      </c>
      <c r="AC180" s="4">
        <v>424</v>
      </c>
      <c r="AD180" s="4">
        <v>3420</v>
      </c>
      <c r="AE180" s="4">
        <v>8570</v>
      </c>
      <c r="AF180" s="4">
        <v>2.61</v>
      </c>
      <c r="AG180" s="4" t="s">
        <v>408</v>
      </c>
      <c r="AH180" s="4">
        <v>14</v>
      </c>
      <c r="AI180" s="4">
        <v>500</v>
      </c>
    </row>
    <row r="181" spans="1:35" x14ac:dyDescent="0.25">
      <c r="A181" s="4"/>
      <c r="B181" s="5" t="s">
        <v>409</v>
      </c>
      <c r="C181" s="4" t="s">
        <v>59</v>
      </c>
      <c r="D181" s="4">
        <v>1</v>
      </c>
      <c r="E181" s="4"/>
      <c r="F181" s="4">
        <v>1</v>
      </c>
      <c r="G181" s="4">
        <v>483</v>
      </c>
      <c r="H181" s="4">
        <v>428</v>
      </c>
      <c r="I181" s="4">
        <v>81.5</v>
      </c>
      <c r="J181" s="4">
        <v>51.2</v>
      </c>
      <c r="K181" s="4">
        <v>2.63</v>
      </c>
      <c r="L181" s="4">
        <v>6.25</v>
      </c>
      <c r="M181" s="4">
        <v>113</v>
      </c>
      <c r="N181" s="4">
        <v>56</v>
      </c>
      <c r="O181" s="4">
        <v>360</v>
      </c>
      <c r="P181" s="4">
        <v>677</v>
      </c>
      <c r="Q181" s="4">
        <v>86300</v>
      </c>
      <c r="R181" s="4">
        <v>2990</v>
      </c>
      <c r="S181" s="4">
        <v>12400</v>
      </c>
      <c r="T181" s="4">
        <v>186</v>
      </c>
      <c r="U181" s="4">
        <v>15300</v>
      </c>
      <c r="V181" s="4">
        <v>1070</v>
      </c>
      <c r="W181" s="4">
        <v>4990</v>
      </c>
      <c r="X181" s="4">
        <v>111</v>
      </c>
      <c r="Y181" s="4">
        <v>7680</v>
      </c>
      <c r="Z181" s="4">
        <v>165000</v>
      </c>
      <c r="AA181" s="4">
        <v>43100</v>
      </c>
      <c r="AB181" s="4">
        <v>43000</v>
      </c>
      <c r="AC181" s="4">
        <v>375</v>
      </c>
      <c r="AD181" s="4">
        <v>3080</v>
      </c>
      <c r="AE181" s="4">
        <v>7660</v>
      </c>
      <c r="AF181" s="4">
        <v>2.58</v>
      </c>
      <c r="AG181" s="4" t="s">
        <v>410</v>
      </c>
      <c r="AH181" s="4">
        <v>14</v>
      </c>
      <c r="AI181" s="4">
        <v>455</v>
      </c>
    </row>
    <row r="182" spans="1:35" x14ac:dyDescent="0.25">
      <c r="A182" s="4" t="s">
        <v>59</v>
      </c>
      <c r="B182" s="5" t="s">
        <v>411</v>
      </c>
      <c r="C182" s="4" t="s">
        <v>59</v>
      </c>
      <c r="D182" s="4">
        <v>1</v>
      </c>
      <c r="E182" s="4"/>
      <c r="F182" s="4">
        <v>1</v>
      </c>
      <c r="G182" s="4">
        <v>474</v>
      </c>
      <c r="H182" s="4">
        <v>424</v>
      </c>
      <c r="I182" s="4">
        <v>77.099999999999994</v>
      </c>
      <c r="J182" s="4">
        <v>47.6</v>
      </c>
      <c r="K182" s="4">
        <v>2.75</v>
      </c>
      <c r="L182" s="4">
        <v>6.72</v>
      </c>
      <c r="M182" s="4">
        <v>109</v>
      </c>
      <c r="N182" s="4">
        <v>54</v>
      </c>
      <c r="O182" s="4">
        <v>360</v>
      </c>
      <c r="P182" s="4">
        <v>634</v>
      </c>
      <c r="Q182" s="4">
        <v>80800</v>
      </c>
      <c r="R182" s="4">
        <v>2740</v>
      </c>
      <c r="S182" s="4">
        <v>11600</v>
      </c>
      <c r="T182" s="4">
        <v>184</v>
      </c>
      <c r="U182" s="4">
        <v>14200</v>
      </c>
      <c r="V182" s="4">
        <v>983</v>
      </c>
      <c r="W182" s="4">
        <v>4630</v>
      </c>
      <c r="X182" s="4">
        <v>110</v>
      </c>
      <c r="Y182" s="4">
        <v>7120</v>
      </c>
      <c r="Z182" s="4">
        <v>138000</v>
      </c>
      <c r="AA182" s="4">
        <v>38700</v>
      </c>
      <c r="AB182" s="4">
        <v>42100</v>
      </c>
      <c r="AC182" s="4">
        <v>344</v>
      </c>
      <c r="AD182" s="4">
        <v>2880</v>
      </c>
      <c r="AE182" s="4">
        <v>7100</v>
      </c>
      <c r="AF182" s="4">
        <v>2.5499999999999998</v>
      </c>
      <c r="AG182" s="4" t="s">
        <v>412</v>
      </c>
      <c r="AH182" s="4">
        <v>14</v>
      </c>
      <c r="AI182" s="4">
        <v>426</v>
      </c>
    </row>
    <row r="183" spans="1:35" x14ac:dyDescent="0.25">
      <c r="A183" s="4"/>
      <c r="B183" s="5" t="s">
        <v>413</v>
      </c>
      <c r="C183" s="4" t="s">
        <v>59</v>
      </c>
      <c r="D183" s="4">
        <v>1</v>
      </c>
      <c r="E183" s="4"/>
      <c r="F183" s="4">
        <v>1</v>
      </c>
      <c r="G183" s="4">
        <v>465</v>
      </c>
      <c r="H183" s="4">
        <v>421</v>
      </c>
      <c r="I183" s="4">
        <v>72.3</v>
      </c>
      <c r="J183" s="4">
        <v>45</v>
      </c>
      <c r="K183" s="4">
        <v>2.91</v>
      </c>
      <c r="L183" s="4">
        <v>7.12</v>
      </c>
      <c r="M183" s="4">
        <v>104</v>
      </c>
      <c r="N183" s="4">
        <v>53</v>
      </c>
      <c r="O183" s="4">
        <v>360</v>
      </c>
      <c r="P183" s="4">
        <v>592</v>
      </c>
      <c r="Q183" s="4">
        <v>75500</v>
      </c>
      <c r="R183" s="4">
        <v>2500</v>
      </c>
      <c r="S183" s="4">
        <v>10800</v>
      </c>
      <c r="T183" s="4">
        <v>182</v>
      </c>
      <c r="U183" s="4">
        <v>13100</v>
      </c>
      <c r="V183" s="4">
        <v>902</v>
      </c>
      <c r="W183" s="4">
        <v>4280</v>
      </c>
      <c r="X183" s="4">
        <v>109</v>
      </c>
      <c r="Y183" s="4">
        <v>6570</v>
      </c>
      <c r="Z183" s="4">
        <v>114000</v>
      </c>
      <c r="AA183" s="4">
        <v>34800</v>
      </c>
      <c r="AB183" s="4">
        <v>41300</v>
      </c>
      <c r="AC183" s="4">
        <v>315</v>
      </c>
      <c r="AD183" s="4">
        <v>2670</v>
      </c>
      <c r="AE183" s="4">
        <v>6550</v>
      </c>
      <c r="AF183" s="4">
        <v>2.52</v>
      </c>
      <c r="AG183" s="4" t="s">
        <v>414</v>
      </c>
      <c r="AH183" s="4">
        <v>14</v>
      </c>
      <c r="AI183" s="4">
        <v>398</v>
      </c>
    </row>
    <row r="184" spans="1:35" x14ac:dyDescent="0.25">
      <c r="A184" s="4"/>
      <c r="B184" s="5" t="s">
        <v>415</v>
      </c>
      <c r="C184" s="4" t="s">
        <v>59</v>
      </c>
      <c r="D184" s="4">
        <v>1</v>
      </c>
      <c r="E184" s="4"/>
      <c r="F184" s="4">
        <v>1</v>
      </c>
      <c r="G184" s="4">
        <v>455</v>
      </c>
      <c r="H184" s="4">
        <v>418</v>
      </c>
      <c r="I184" s="4">
        <v>67.599999999999994</v>
      </c>
      <c r="J184" s="4">
        <v>42</v>
      </c>
      <c r="K184" s="4">
        <v>3.09</v>
      </c>
      <c r="L184" s="4">
        <v>7.61</v>
      </c>
      <c r="M184" s="4">
        <v>99</v>
      </c>
      <c r="N184" s="4">
        <v>51</v>
      </c>
      <c r="O184" s="4">
        <v>360</v>
      </c>
      <c r="P184" s="4">
        <v>551</v>
      </c>
      <c r="Q184" s="4">
        <v>70100</v>
      </c>
      <c r="R184" s="4">
        <v>2260</v>
      </c>
      <c r="S184" s="4">
        <v>9940</v>
      </c>
      <c r="T184" s="4">
        <v>180</v>
      </c>
      <c r="U184" s="4">
        <v>12100</v>
      </c>
      <c r="V184" s="4">
        <v>825</v>
      </c>
      <c r="W184" s="4">
        <v>3950</v>
      </c>
      <c r="X184" s="4">
        <v>108</v>
      </c>
      <c r="Y184" s="4">
        <v>6050</v>
      </c>
      <c r="Z184" s="4">
        <v>92500</v>
      </c>
      <c r="AA184" s="4">
        <v>31000</v>
      </c>
      <c r="AB184" s="4">
        <v>40500</v>
      </c>
      <c r="AC184" s="4">
        <v>286</v>
      </c>
      <c r="AD184" s="4">
        <v>2460</v>
      </c>
      <c r="AE184" s="4">
        <v>6010</v>
      </c>
      <c r="AF184" s="4">
        <v>2.5</v>
      </c>
      <c r="AG184" s="4" t="s">
        <v>416</v>
      </c>
      <c r="AH184" s="4">
        <v>14</v>
      </c>
      <c r="AI184" s="4">
        <v>370</v>
      </c>
    </row>
    <row r="185" spans="1:35" x14ac:dyDescent="0.25">
      <c r="A185" s="4"/>
      <c r="B185" s="5" t="s">
        <v>417</v>
      </c>
      <c r="C185" s="4" t="s">
        <v>59</v>
      </c>
      <c r="D185" s="4">
        <v>1</v>
      </c>
      <c r="E185" s="4"/>
      <c r="F185" s="4">
        <v>1</v>
      </c>
      <c r="G185" s="4">
        <v>446</v>
      </c>
      <c r="H185" s="4">
        <v>416</v>
      </c>
      <c r="I185" s="4">
        <v>62.7</v>
      </c>
      <c r="J185" s="4">
        <v>39.1</v>
      </c>
      <c r="K185" s="4">
        <v>3.32</v>
      </c>
      <c r="L185" s="4">
        <v>8.1999999999999993</v>
      </c>
      <c r="M185" s="4">
        <v>94</v>
      </c>
      <c r="N185" s="4">
        <v>50</v>
      </c>
      <c r="O185" s="4">
        <v>360</v>
      </c>
      <c r="P185" s="4">
        <v>509</v>
      </c>
      <c r="Q185" s="4">
        <v>64900</v>
      </c>
      <c r="R185" s="4">
        <v>2050</v>
      </c>
      <c r="S185" s="4">
        <v>9170</v>
      </c>
      <c r="T185" s="4">
        <v>178</v>
      </c>
      <c r="U185" s="4">
        <v>11000</v>
      </c>
      <c r="V185" s="4">
        <v>754</v>
      </c>
      <c r="W185" s="4">
        <v>3630</v>
      </c>
      <c r="X185" s="4">
        <v>108</v>
      </c>
      <c r="Y185" s="4">
        <v>5550</v>
      </c>
      <c r="Z185" s="4">
        <v>74000</v>
      </c>
      <c r="AA185" s="4">
        <v>27700</v>
      </c>
      <c r="AB185" s="4">
        <v>39900</v>
      </c>
      <c r="AC185" s="4">
        <v>260</v>
      </c>
      <c r="AD185" s="4">
        <v>2260</v>
      </c>
      <c r="AE185" s="4">
        <v>5500</v>
      </c>
      <c r="AF185" s="4">
        <v>2.48</v>
      </c>
      <c r="AG185" s="4" t="s">
        <v>418</v>
      </c>
      <c r="AH185" s="4">
        <v>14</v>
      </c>
      <c r="AI185" s="4">
        <v>342</v>
      </c>
    </row>
    <row r="186" spans="1:35" x14ac:dyDescent="0.25">
      <c r="A186" s="4"/>
      <c r="B186" s="5" t="s">
        <v>419</v>
      </c>
      <c r="C186" s="4" t="s">
        <v>59</v>
      </c>
      <c r="D186" s="4">
        <v>1</v>
      </c>
      <c r="E186" s="4"/>
      <c r="F186" s="4">
        <v>1</v>
      </c>
      <c r="G186" s="4">
        <v>435</v>
      </c>
      <c r="H186" s="4">
        <v>412</v>
      </c>
      <c r="I186" s="4">
        <v>57.4</v>
      </c>
      <c r="J186" s="4">
        <v>35.799999999999997</v>
      </c>
      <c r="K186" s="4">
        <v>3.59</v>
      </c>
      <c r="L186" s="4">
        <v>8.94</v>
      </c>
      <c r="M186" s="4">
        <v>89</v>
      </c>
      <c r="N186" s="4">
        <v>48</v>
      </c>
      <c r="O186" s="4">
        <v>360</v>
      </c>
      <c r="P186" s="4">
        <v>463</v>
      </c>
      <c r="Q186" s="4">
        <v>59000</v>
      </c>
      <c r="R186" s="4">
        <v>1800</v>
      </c>
      <c r="S186" s="4">
        <v>8280</v>
      </c>
      <c r="T186" s="4">
        <v>175</v>
      </c>
      <c r="U186" s="4">
        <v>9880</v>
      </c>
      <c r="V186" s="4">
        <v>670</v>
      </c>
      <c r="W186" s="4">
        <v>3250</v>
      </c>
      <c r="X186" s="4">
        <v>107</v>
      </c>
      <c r="Y186" s="4">
        <v>4980</v>
      </c>
      <c r="Z186" s="4">
        <v>56500</v>
      </c>
      <c r="AA186" s="4">
        <v>23900</v>
      </c>
      <c r="AB186" s="4">
        <v>38900</v>
      </c>
      <c r="AC186" s="4">
        <v>230</v>
      </c>
      <c r="AD186" s="4">
        <v>2040</v>
      </c>
      <c r="AE186" s="4">
        <v>4920</v>
      </c>
      <c r="AF186" s="4">
        <v>2.4500000000000002</v>
      </c>
      <c r="AG186" s="4" t="s">
        <v>420</v>
      </c>
      <c r="AH186" s="4">
        <v>14</v>
      </c>
      <c r="AI186" s="4">
        <v>311</v>
      </c>
    </row>
    <row r="187" spans="1:35" x14ac:dyDescent="0.25">
      <c r="A187" s="4"/>
      <c r="B187" s="5" t="s">
        <v>421</v>
      </c>
      <c r="C187" s="4" t="s">
        <v>59</v>
      </c>
      <c r="D187" s="4">
        <v>1</v>
      </c>
      <c r="E187" s="4"/>
      <c r="F187" s="4">
        <v>1</v>
      </c>
      <c r="G187" s="4">
        <v>425</v>
      </c>
      <c r="H187" s="4">
        <v>409</v>
      </c>
      <c r="I187" s="4">
        <v>52.6</v>
      </c>
      <c r="J187" s="4">
        <v>32.799999999999997</v>
      </c>
      <c r="K187" s="4">
        <v>3.89</v>
      </c>
      <c r="L187" s="4">
        <v>9.75</v>
      </c>
      <c r="M187" s="4">
        <v>84</v>
      </c>
      <c r="N187" s="4">
        <v>46</v>
      </c>
      <c r="O187" s="4">
        <v>360</v>
      </c>
      <c r="P187" s="4">
        <v>421</v>
      </c>
      <c r="Q187" s="4">
        <v>53700</v>
      </c>
      <c r="R187" s="4">
        <v>1600</v>
      </c>
      <c r="S187" s="4">
        <v>7510</v>
      </c>
      <c r="T187" s="4">
        <v>172</v>
      </c>
      <c r="U187" s="4">
        <v>8880</v>
      </c>
      <c r="V187" s="4">
        <v>601</v>
      </c>
      <c r="W187" s="4">
        <v>2940</v>
      </c>
      <c r="X187" s="4">
        <v>106</v>
      </c>
      <c r="Y187" s="4">
        <v>4490</v>
      </c>
      <c r="Z187" s="4">
        <v>43400</v>
      </c>
      <c r="AA187" s="4">
        <v>20800</v>
      </c>
      <c r="AB187" s="4">
        <v>38100</v>
      </c>
      <c r="AC187" s="4">
        <v>205</v>
      </c>
      <c r="AD187" s="4">
        <v>1840</v>
      </c>
      <c r="AE187" s="4">
        <v>4430</v>
      </c>
      <c r="AF187" s="4">
        <v>2.42</v>
      </c>
      <c r="AG187" s="4" t="s">
        <v>422</v>
      </c>
      <c r="AH187" s="4">
        <v>14</v>
      </c>
      <c r="AI187" s="4">
        <v>283</v>
      </c>
    </row>
    <row r="188" spans="1:35" x14ac:dyDescent="0.25">
      <c r="A188" s="4"/>
      <c r="B188" s="5" t="s">
        <v>423</v>
      </c>
      <c r="C188" s="4" t="s">
        <v>59</v>
      </c>
      <c r="D188" s="4">
        <v>1</v>
      </c>
      <c r="E188" s="4"/>
      <c r="F188" s="4">
        <v>1</v>
      </c>
      <c r="G188" s="4">
        <v>416</v>
      </c>
      <c r="H188" s="4">
        <v>406</v>
      </c>
      <c r="I188" s="4">
        <v>48</v>
      </c>
      <c r="J188" s="4">
        <v>29.8</v>
      </c>
      <c r="K188" s="4">
        <v>4.2300000000000004</v>
      </c>
      <c r="L188" s="4">
        <v>10.7</v>
      </c>
      <c r="M188" s="4">
        <v>80</v>
      </c>
      <c r="N188" s="4">
        <v>45</v>
      </c>
      <c r="O188" s="4">
        <v>360</v>
      </c>
      <c r="P188" s="4">
        <v>382</v>
      </c>
      <c r="Q188" s="4">
        <v>48700</v>
      </c>
      <c r="R188" s="4">
        <v>1410</v>
      </c>
      <c r="S188" s="4">
        <v>6790</v>
      </c>
      <c r="T188" s="4">
        <v>170</v>
      </c>
      <c r="U188" s="4">
        <v>7970</v>
      </c>
      <c r="V188" s="4">
        <v>536</v>
      </c>
      <c r="W188" s="4">
        <v>2640</v>
      </c>
      <c r="X188" s="4">
        <v>105</v>
      </c>
      <c r="Y188" s="4">
        <v>4030</v>
      </c>
      <c r="Z188" s="4">
        <v>32900</v>
      </c>
      <c r="AA188" s="4">
        <v>18200</v>
      </c>
      <c r="AB188" s="4">
        <v>37400</v>
      </c>
      <c r="AC188" s="4">
        <v>182</v>
      </c>
      <c r="AD188" s="4">
        <v>1660</v>
      </c>
      <c r="AE188" s="4">
        <v>3970</v>
      </c>
      <c r="AF188" s="4">
        <v>2.4</v>
      </c>
      <c r="AG188" s="4" t="s">
        <v>424</v>
      </c>
      <c r="AH188" s="4">
        <v>14</v>
      </c>
      <c r="AI188" s="4">
        <v>257</v>
      </c>
    </row>
    <row r="189" spans="1:35" x14ac:dyDescent="0.25">
      <c r="A189" s="4"/>
      <c r="B189" s="5" t="s">
        <v>425</v>
      </c>
      <c r="C189" s="4" t="s">
        <v>59</v>
      </c>
      <c r="D189" s="4">
        <v>1</v>
      </c>
      <c r="E189" s="4"/>
      <c r="F189" s="4">
        <v>1</v>
      </c>
      <c r="G189" s="4">
        <v>407</v>
      </c>
      <c r="H189" s="4">
        <v>404</v>
      </c>
      <c r="I189" s="4">
        <v>43.7</v>
      </c>
      <c r="J189" s="4">
        <v>27.2</v>
      </c>
      <c r="K189" s="4">
        <v>4.62</v>
      </c>
      <c r="L189" s="4">
        <v>11.8</v>
      </c>
      <c r="M189" s="4">
        <v>75</v>
      </c>
      <c r="N189" s="4">
        <v>44</v>
      </c>
      <c r="O189" s="4">
        <v>360</v>
      </c>
      <c r="P189" s="4">
        <v>347</v>
      </c>
      <c r="Q189" s="4">
        <v>44200</v>
      </c>
      <c r="R189" s="4">
        <v>1250</v>
      </c>
      <c r="S189" s="4">
        <v>6140</v>
      </c>
      <c r="T189" s="4">
        <v>168</v>
      </c>
      <c r="U189" s="4">
        <v>7140</v>
      </c>
      <c r="V189" s="4">
        <v>481</v>
      </c>
      <c r="W189" s="4">
        <v>2380</v>
      </c>
      <c r="X189" s="4">
        <v>104</v>
      </c>
      <c r="Y189" s="4">
        <v>3630</v>
      </c>
      <c r="Z189" s="4">
        <v>24800</v>
      </c>
      <c r="AA189" s="4">
        <v>15900</v>
      </c>
      <c r="AB189" s="4">
        <v>36700</v>
      </c>
      <c r="AC189" s="4">
        <v>162</v>
      </c>
      <c r="AD189" s="4">
        <v>1500</v>
      </c>
      <c r="AE189" s="4">
        <v>3550</v>
      </c>
      <c r="AF189" s="4">
        <v>2.38</v>
      </c>
      <c r="AG189" s="4" t="s">
        <v>426</v>
      </c>
      <c r="AH189" s="4">
        <v>14</v>
      </c>
      <c r="AI189" s="4">
        <v>233</v>
      </c>
    </row>
    <row r="190" spans="1:35" x14ac:dyDescent="0.25">
      <c r="A190" s="4"/>
      <c r="B190" s="5" t="s">
        <v>427</v>
      </c>
      <c r="C190" s="4" t="s">
        <v>59</v>
      </c>
      <c r="D190" s="4">
        <v>1</v>
      </c>
      <c r="E190" s="4"/>
      <c r="F190" s="4">
        <v>1</v>
      </c>
      <c r="G190" s="4">
        <v>399</v>
      </c>
      <c r="H190" s="4">
        <v>401</v>
      </c>
      <c r="I190" s="4">
        <v>39.6</v>
      </c>
      <c r="J190" s="4">
        <v>24.9</v>
      </c>
      <c r="K190" s="4">
        <v>5.0599999999999996</v>
      </c>
      <c r="L190" s="4">
        <v>12.8</v>
      </c>
      <c r="M190" s="4">
        <v>71</v>
      </c>
      <c r="N190" s="4">
        <v>42</v>
      </c>
      <c r="O190" s="4">
        <v>360</v>
      </c>
      <c r="P190" s="4">
        <v>314</v>
      </c>
      <c r="Q190" s="4">
        <v>39900</v>
      </c>
      <c r="R190" s="4">
        <v>1100</v>
      </c>
      <c r="S190" s="4">
        <v>5530</v>
      </c>
      <c r="T190" s="4">
        <v>166</v>
      </c>
      <c r="U190" s="4">
        <v>6370</v>
      </c>
      <c r="V190" s="4">
        <v>426</v>
      </c>
      <c r="W190" s="4">
        <v>2120</v>
      </c>
      <c r="X190" s="4">
        <v>103</v>
      </c>
      <c r="Y190" s="4">
        <v>3240</v>
      </c>
      <c r="Z190" s="4">
        <v>18500</v>
      </c>
      <c r="AA190" s="4">
        <v>13800</v>
      </c>
      <c r="AB190" s="4">
        <v>36000</v>
      </c>
      <c r="AC190" s="4">
        <v>143</v>
      </c>
      <c r="AD190" s="4">
        <v>1340</v>
      </c>
      <c r="AE190" s="4">
        <v>3170</v>
      </c>
      <c r="AF190" s="4">
        <v>2.35</v>
      </c>
      <c r="AG190" s="4" t="s">
        <v>428</v>
      </c>
      <c r="AH190" s="4">
        <v>14</v>
      </c>
      <c r="AI190" s="4">
        <v>211</v>
      </c>
    </row>
    <row r="191" spans="1:35" x14ac:dyDescent="0.25">
      <c r="A191" s="4"/>
      <c r="B191" s="5" t="s">
        <v>429</v>
      </c>
      <c r="C191" s="4" t="s">
        <v>59</v>
      </c>
      <c r="D191" s="4">
        <v>1</v>
      </c>
      <c r="E191" s="4"/>
      <c r="F191" s="4">
        <v>1</v>
      </c>
      <c r="G191" s="4">
        <v>393</v>
      </c>
      <c r="H191" s="4">
        <v>399</v>
      </c>
      <c r="I191" s="4">
        <v>36.6</v>
      </c>
      <c r="J191" s="4">
        <v>22.6</v>
      </c>
      <c r="K191" s="4">
        <v>5.45</v>
      </c>
      <c r="L191" s="4">
        <v>14.2</v>
      </c>
      <c r="M191" s="4">
        <v>68</v>
      </c>
      <c r="N191" s="4">
        <v>41</v>
      </c>
      <c r="O191" s="4">
        <v>360</v>
      </c>
      <c r="P191" s="4">
        <v>287</v>
      </c>
      <c r="Q191" s="4">
        <v>36600</v>
      </c>
      <c r="R191" s="4">
        <v>997</v>
      </c>
      <c r="S191" s="4">
        <v>5070</v>
      </c>
      <c r="T191" s="4">
        <v>165</v>
      </c>
      <c r="U191" s="4">
        <v>5810</v>
      </c>
      <c r="V191" s="4">
        <v>388</v>
      </c>
      <c r="W191" s="4">
        <v>1940</v>
      </c>
      <c r="X191" s="4">
        <v>103</v>
      </c>
      <c r="Y191" s="4">
        <v>2960</v>
      </c>
      <c r="Z191" s="4">
        <v>14500</v>
      </c>
      <c r="AA191" s="4">
        <v>12300</v>
      </c>
      <c r="AB191" s="4">
        <v>35600</v>
      </c>
      <c r="AC191" s="4">
        <v>130</v>
      </c>
      <c r="AD191" s="4">
        <v>1230</v>
      </c>
      <c r="AE191" s="4">
        <v>2890</v>
      </c>
      <c r="AF191" s="4">
        <v>2.34</v>
      </c>
      <c r="AG191" s="4" t="s">
        <v>430</v>
      </c>
      <c r="AH191" s="4">
        <v>14</v>
      </c>
      <c r="AI191" s="4">
        <v>193</v>
      </c>
    </row>
    <row r="192" spans="1:35" x14ac:dyDescent="0.25">
      <c r="A192" s="4"/>
      <c r="B192" s="5" t="s">
        <v>431</v>
      </c>
      <c r="C192" s="4" t="s">
        <v>59</v>
      </c>
      <c r="D192" s="4">
        <v>1</v>
      </c>
      <c r="E192" s="4"/>
      <c r="F192" s="4">
        <v>1</v>
      </c>
      <c r="G192" s="4">
        <v>387</v>
      </c>
      <c r="H192" s="4">
        <v>398</v>
      </c>
      <c r="I192" s="4">
        <v>33.299999999999997</v>
      </c>
      <c r="J192" s="4">
        <v>21.1</v>
      </c>
      <c r="K192" s="4">
        <v>5.98</v>
      </c>
      <c r="L192" s="4">
        <v>15.2</v>
      </c>
      <c r="M192" s="4">
        <v>65</v>
      </c>
      <c r="N192" s="4">
        <v>41</v>
      </c>
      <c r="O192" s="4">
        <v>360</v>
      </c>
      <c r="P192" s="4">
        <v>262</v>
      </c>
      <c r="Q192" s="4">
        <v>33500</v>
      </c>
      <c r="R192" s="4">
        <v>894</v>
      </c>
      <c r="S192" s="4">
        <v>4620</v>
      </c>
      <c r="T192" s="4">
        <v>163</v>
      </c>
      <c r="U192" s="4">
        <v>5260</v>
      </c>
      <c r="V192" s="4">
        <v>350</v>
      </c>
      <c r="W192" s="4">
        <v>1760</v>
      </c>
      <c r="X192" s="4">
        <v>102</v>
      </c>
      <c r="Y192" s="4">
        <v>2680</v>
      </c>
      <c r="Z192" s="4">
        <v>11100</v>
      </c>
      <c r="AA192" s="4">
        <v>11000</v>
      </c>
      <c r="AB192" s="4">
        <v>35200</v>
      </c>
      <c r="AC192" s="4">
        <v>117</v>
      </c>
      <c r="AD192" s="4">
        <v>1110</v>
      </c>
      <c r="AE192" s="4">
        <v>2610</v>
      </c>
      <c r="AF192" s="4">
        <v>2.3199999999999998</v>
      </c>
      <c r="AG192" s="4" t="s">
        <v>432</v>
      </c>
      <c r="AH192" s="4">
        <v>14</v>
      </c>
      <c r="AI192" s="4">
        <v>176</v>
      </c>
    </row>
    <row r="193" spans="1:35" x14ac:dyDescent="0.25">
      <c r="A193" s="4"/>
      <c r="B193" s="5" t="s">
        <v>433</v>
      </c>
      <c r="C193" s="4" t="s">
        <v>59</v>
      </c>
      <c r="D193" s="4">
        <v>1</v>
      </c>
      <c r="E193" s="4"/>
      <c r="F193" s="4">
        <v>1</v>
      </c>
      <c r="G193" s="4">
        <v>380</v>
      </c>
      <c r="H193" s="4">
        <v>395</v>
      </c>
      <c r="I193" s="4">
        <v>30.2</v>
      </c>
      <c r="J193" s="4">
        <v>18.899999999999999</v>
      </c>
      <c r="K193" s="4">
        <v>6.54</v>
      </c>
      <c r="L193" s="4">
        <v>16.899999999999999</v>
      </c>
      <c r="M193" s="4">
        <v>62</v>
      </c>
      <c r="N193" s="4">
        <v>39</v>
      </c>
      <c r="O193" s="4">
        <v>360</v>
      </c>
      <c r="P193" s="4">
        <v>237</v>
      </c>
      <c r="Q193" s="4">
        <v>30100</v>
      </c>
      <c r="R193" s="4">
        <v>788</v>
      </c>
      <c r="S193" s="4">
        <v>4150</v>
      </c>
      <c r="T193" s="4">
        <v>162</v>
      </c>
      <c r="U193" s="4">
        <v>4690</v>
      </c>
      <c r="V193" s="4">
        <v>310</v>
      </c>
      <c r="W193" s="4">
        <v>1570</v>
      </c>
      <c r="X193" s="4">
        <v>102</v>
      </c>
      <c r="Y193" s="4">
        <v>2390</v>
      </c>
      <c r="Z193" s="4">
        <v>8190</v>
      </c>
      <c r="AA193" s="4">
        <v>9500</v>
      </c>
      <c r="AB193" s="4">
        <v>34500</v>
      </c>
      <c r="AC193" s="4">
        <v>103</v>
      </c>
      <c r="AD193" s="4">
        <v>993</v>
      </c>
      <c r="AE193" s="4">
        <v>2330</v>
      </c>
      <c r="AF193" s="4">
        <v>2.2999999999999998</v>
      </c>
      <c r="AG193" s="4" t="s">
        <v>434</v>
      </c>
      <c r="AH193" s="4">
        <v>14</v>
      </c>
      <c r="AI193" s="4">
        <v>159</v>
      </c>
    </row>
    <row r="194" spans="1:35" x14ac:dyDescent="0.25">
      <c r="A194" s="4"/>
      <c r="B194" s="5" t="s">
        <v>435</v>
      </c>
      <c r="C194" s="4" t="s">
        <v>59</v>
      </c>
      <c r="D194" s="4">
        <v>1</v>
      </c>
      <c r="E194" s="4"/>
      <c r="F194" s="4">
        <v>1</v>
      </c>
      <c r="G194" s="4">
        <v>375</v>
      </c>
      <c r="H194" s="4">
        <v>394</v>
      </c>
      <c r="I194" s="4">
        <v>27.7</v>
      </c>
      <c r="J194" s="4">
        <v>17.3</v>
      </c>
      <c r="K194" s="4">
        <v>7.11</v>
      </c>
      <c r="L194" s="4">
        <v>18.5</v>
      </c>
      <c r="M194" s="4">
        <v>59</v>
      </c>
      <c r="N194" s="4">
        <v>39</v>
      </c>
      <c r="O194" s="4">
        <v>360</v>
      </c>
      <c r="P194" s="4">
        <v>216</v>
      </c>
      <c r="Q194" s="4">
        <v>27600</v>
      </c>
      <c r="R194" s="4">
        <v>712</v>
      </c>
      <c r="S194" s="4">
        <v>3790</v>
      </c>
      <c r="T194" s="4">
        <v>161</v>
      </c>
      <c r="U194" s="4">
        <v>4260</v>
      </c>
      <c r="V194" s="4">
        <v>283</v>
      </c>
      <c r="W194" s="4">
        <v>1430</v>
      </c>
      <c r="X194" s="4">
        <v>101</v>
      </c>
      <c r="Y194" s="4">
        <v>2180</v>
      </c>
      <c r="Z194" s="4">
        <v>6330</v>
      </c>
      <c r="AA194" s="4">
        <v>8520</v>
      </c>
      <c r="AB194" s="4">
        <v>34200</v>
      </c>
      <c r="AC194" s="4">
        <v>93.3</v>
      </c>
      <c r="AD194" s="4">
        <v>906</v>
      </c>
      <c r="AE194" s="4">
        <v>2120</v>
      </c>
      <c r="AF194" s="4">
        <v>2.29</v>
      </c>
      <c r="AG194" s="4" t="s">
        <v>436</v>
      </c>
      <c r="AH194" s="4">
        <v>14</v>
      </c>
      <c r="AI194" s="4">
        <v>145</v>
      </c>
    </row>
    <row r="195" spans="1:35" x14ac:dyDescent="0.25">
      <c r="A195" s="4" t="s">
        <v>59</v>
      </c>
      <c r="B195" s="5" t="s">
        <v>437</v>
      </c>
      <c r="C195" s="4" t="s">
        <v>59</v>
      </c>
      <c r="D195" s="4">
        <v>1</v>
      </c>
      <c r="E195" s="4"/>
      <c r="F195" s="4">
        <v>1</v>
      </c>
      <c r="G195" s="4">
        <v>372</v>
      </c>
      <c r="H195" s="4">
        <v>374</v>
      </c>
      <c r="I195" s="4">
        <v>26.2</v>
      </c>
      <c r="J195" s="4">
        <v>16.399999999999999</v>
      </c>
      <c r="K195" s="4">
        <v>7.14</v>
      </c>
      <c r="L195" s="4">
        <v>19.5</v>
      </c>
      <c r="M195" s="4">
        <v>58</v>
      </c>
      <c r="N195" s="4">
        <v>38</v>
      </c>
      <c r="O195" s="4">
        <v>360</v>
      </c>
      <c r="P195" s="4">
        <v>196</v>
      </c>
      <c r="Q195" s="4">
        <v>25000</v>
      </c>
      <c r="R195" s="4">
        <v>636</v>
      </c>
      <c r="S195" s="4">
        <v>3420</v>
      </c>
      <c r="T195" s="4">
        <v>159</v>
      </c>
      <c r="U195" s="4">
        <v>3840</v>
      </c>
      <c r="V195" s="4">
        <v>229</v>
      </c>
      <c r="W195" s="4">
        <v>1220</v>
      </c>
      <c r="X195" s="4">
        <v>95.5</v>
      </c>
      <c r="Y195" s="4">
        <v>1860</v>
      </c>
      <c r="Z195" s="4">
        <v>5140</v>
      </c>
      <c r="AA195" s="4">
        <v>6830</v>
      </c>
      <c r="AB195" s="4">
        <v>32300</v>
      </c>
      <c r="AC195" s="4">
        <v>79.2</v>
      </c>
      <c r="AD195" s="4">
        <v>810</v>
      </c>
      <c r="AE195" s="4">
        <v>1900</v>
      </c>
      <c r="AF195" s="4">
        <v>2.21</v>
      </c>
      <c r="AG195" s="4" t="s">
        <v>438</v>
      </c>
      <c r="AH195" s="4">
        <v>14</v>
      </c>
      <c r="AI195" s="4">
        <v>132</v>
      </c>
    </row>
    <row r="196" spans="1:35" x14ac:dyDescent="0.25">
      <c r="A196" s="4"/>
      <c r="B196" s="5" t="s">
        <v>439</v>
      </c>
      <c r="C196" s="4" t="s">
        <v>59</v>
      </c>
      <c r="D196" s="4">
        <v>1</v>
      </c>
      <c r="E196" s="4"/>
      <c r="F196" s="4">
        <v>1</v>
      </c>
      <c r="G196" s="4">
        <v>368</v>
      </c>
      <c r="H196" s="4">
        <v>373</v>
      </c>
      <c r="I196" s="4">
        <v>23.9</v>
      </c>
      <c r="J196" s="4">
        <v>15</v>
      </c>
      <c r="K196" s="4">
        <v>7.8</v>
      </c>
      <c r="L196" s="4">
        <v>21.3</v>
      </c>
      <c r="M196" s="4">
        <v>55</v>
      </c>
      <c r="N196" s="4">
        <v>38</v>
      </c>
      <c r="O196" s="4">
        <v>360</v>
      </c>
      <c r="P196" s="4">
        <v>179</v>
      </c>
      <c r="Q196" s="4">
        <v>22800</v>
      </c>
      <c r="R196" s="4">
        <v>575</v>
      </c>
      <c r="S196" s="4">
        <v>3120</v>
      </c>
      <c r="T196" s="4">
        <v>159</v>
      </c>
      <c r="U196" s="4">
        <v>3480</v>
      </c>
      <c r="V196" s="4">
        <v>207</v>
      </c>
      <c r="W196" s="4">
        <v>1110</v>
      </c>
      <c r="X196" s="4">
        <v>95.2</v>
      </c>
      <c r="Y196" s="4">
        <v>1680</v>
      </c>
      <c r="Z196" s="4">
        <v>3910</v>
      </c>
      <c r="AA196" s="4">
        <v>6120</v>
      </c>
      <c r="AB196" s="4">
        <v>32100</v>
      </c>
      <c r="AC196" s="4">
        <v>71.5</v>
      </c>
      <c r="AD196" s="4">
        <v>736</v>
      </c>
      <c r="AE196" s="4">
        <v>1730</v>
      </c>
      <c r="AF196" s="4">
        <v>2.2000000000000002</v>
      </c>
      <c r="AG196" s="4" t="s">
        <v>440</v>
      </c>
      <c r="AH196" s="4">
        <v>14</v>
      </c>
      <c r="AI196" s="4">
        <v>120</v>
      </c>
    </row>
    <row r="197" spans="1:35" x14ac:dyDescent="0.25">
      <c r="A197" s="4"/>
      <c r="B197" s="5" t="s">
        <v>441</v>
      </c>
      <c r="C197" s="4" t="s">
        <v>59</v>
      </c>
      <c r="D197" s="4">
        <v>1</v>
      </c>
      <c r="E197" s="4"/>
      <c r="F197" s="4">
        <v>2</v>
      </c>
      <c r="G197" s="4">
        <v>364</v>
      </c>
      <c r="H197" s="4">
        <v>371</v>
      </c>
      <c r="I197" s="4">
        <v>21.8</v>
      </c>
      <c r="J197" s="4">
        <v>13.3</v>
      </c>
      <c r="K197" s="4">
        <v>8.51</v>
      </c>
      <c r="L197" s="4">
        <v>24.1</v>
      </c>
      <c r="M197" s="4">
        <v>53</v>
      </c>
      <c r="N197" s="4">
        <v>37</v>
      </c>
      <c r="O197" s="4">
        <v>360</v>
      </c>
      <c r="P197" s="4">
        <v>162</v>
      </c>
      <c r="Q197" s="4">
        <v>20600</v>
      </c>
      <c r="R197" s="4">
        <v>516</v>
      </c>
      <c r="S197" s="4">
        <v>2830</v>
      </c>
      <c r="T197" s="4">
        <v>158</v>
      </c>
      <c r="U197" s="4">
        <v>3140</v>
      </c>
      <c r="V197" s="4">
        <v>186</v>
      </c>
      <c r="W197" s="4">
        <v>1000</v>
      </c>
      <c r="X197" s="4">
        <v>94.8</v>
      </c>
      <c r="Y197" s="4">
        <v>1520</v>
      </c>
      <c r="Z197" s="4">
        <v>2940</v>
      </c>
      <c r="AA197" s="4">
        <v>5430</v>
      </c>
      <c r="AB197" s="4">
        <v>31700</v>
      </c>
      <c r="AC197" s="4">
        <v>64.2</v>
      </c>
      <c r="AD197" s="4">
        <v>667</v>
      </c>
      <c r="AE197" s="4">
        <v>1550</v>
      </c>
      <c r="AF197" s="4">
        <v>2.19</v>
      </c>
      <c r="AG197" s="4" t="s">
        <v>442</v>
      </c>
      <c r="AH197" s="4">
        <v>14</v>
      </c>
      <c r="AI197" s="4">
        <v>109</v>
      </c>
    </row>
    <row r="198" spans="1:35" x14ac:dyDescent="0.25">
      <c r="A198" s="4"/>
      <c r="B198" s="5" t="s">
        <v>443</v>
      </c>
      <c r="C198" s="4" t="s">
        <v>59</v>
      </c>
      <c r="D198" s="4">
        <v>1</v>
      </c>
      <c r="E198" s="4"/>
      <c r="F198" s="4">
        <v>2</v>
      </c>
      <c r="G198" s="4">
        <v>360</v>
      </c>
      <c r="H198" s="4">
        <v>370</v>
      </c>
      <c r="I198" s="4">
        <v>19.8</v>
      </c>
      <c r="J198" s="4">
        <v>12.3</v>
      </c>
      <c r="K198" s="4">
        <v>9.34</v>
      </c>
      <c r="L198" s="4">
        <v>26</v>
      </c>
      <c r="M198" s="4">
        <v>51</v>
      </c>
      <c r="N198" s="4">
        <v>36</v>
      </c>
      <c r="O198" s="4">
        <v>360</v>
      </c>
      <c r="P198" s="4">
        <v>147</v>
      </c>
      <c r="Q198" s="4">
        <v>18800</v>
      </c>
      <c r="R198" s="4">
        <v>463</v>
      </c>
      <c r="S198" s="4">
        <v>2570</v>
      </c>
      <c r="T198" s="4">
        <v>157</v>
      </c>
      <c r="U198" s="4">
        <v>2840</v>
      </c>
      <c r="V198" s="4">
        <v>167</v>
      </c>
      <c r="W198" s="4">
        <v>904</v>
      </c>
      <c r="X198" s="4">
        <v>94.3</v>
      </c>
      <c r="Y198" s="4">
        <v>1370</v>
      </c>
      <c r="Z198" s="4">
        <v>2230</v>
      </c>
      <c r="AA198" s="4">
        <v>4840</v>
      </c>
      <c r="AB198" s="4">
        <v>31500</v>
      </c>
      <c r="AC198" s="4">
        <v>57.6</v>
      </c>
      <c r="AD198" s="4">
        <v>602</v>
      </c>
      <c r="AE198" s="4">
        <v>1400</v>
      </c>
      <c r="AF198" s="4">
        <v>2.1800000000000002</v>
      </c>
      <c r="AG198" s="4" t="s">
        <v>444</v>
      </c>
      <c r="AH198" s="4">
        <v>14</v>
      </c>
      <c r="AI198" s="4">
        <v>99</v>
      </c>
    </row>
    <row r="199" spans="1:35" x14ac:dyDescent="0.25">
      <c r="A199" s="4"/>
      <c r="B199" s="5" t="s">
        <v>445</v>
      </c>
      <c r="C199" s="4" t="s">
        <v>59</v>
      </c>
      <c r="D199" s="4">
        <v>1</v>
      </c>
      <c r="E199" s="4"/>
      <c r="F199" s="4">
        <v>2</v>
      </c>
      <c r="G199" s="4">
        <v>356</v>
      </c>
      <c r="H199" s="4">
        <v>369</v>
      </c>
      <c r="I199" s="4">
        <v>18</v>
      </c>
      <c r="J199" s="4">
        <v>11.2</v>
      </c>
      <c r="K199" s="4">
        <v>10.3</v>
      </c>
      <c r="L199" s="4">
        <v>28.6</v>
      </c>
      <c r="M199" s="4">
        <v>50</v>
      </c>
      <c r="N199" s="4">
        <v>36</v>
      </c>
      <c r="O199" s="4">
        <v>360</v>
      </c>
      <c r="P199" s="4">
        <v>134</v>
      </c>
      <c r="Q199" s="4">
        <v>17100</v>
      </c>
      <c r="R199" s="4">
        <v>415</v>
      </c>
      <c r="S199" s="4">
        <v>2330</v>
      </c>
      <c r="T199" s="4">
        <v>156</v>
      </c>
      <c r="U199" s="4">
        <v>2560</v>
      </c>
      <c r="V199" s="4">
        <v>151</v>
      </c>
      <c r="W199" s="4">
        <v>817</v>
      </c>
      <c r="X199" s="4">
        <v>94</v>
      </c>
      <c r="Y199" s="4">
        <v>1240</v>
      </c>
      <c r="Z199" s="4">
        <v>1680</v>
      </c>
      <c r="AA199" s="4">
        <v>4310</v>
      </c>
      <c r="AB199" s="4">
        <v>31200</v>
      </c>
      <c r="AC199" s="4">
        <v>51.8</v>
      </c>
      <c r="AD199" s="4">
        <v>544</v>
      </c>
      <c r="AE199" s="4">
        <v>1270</v>
      </c>
      <c r="AF199" s="4">
        <v>2.17</v>
      </c>
      <c r="AG199" s="4" t="s">
        <v>446</v>
      </c>
      <c r="AH199" s="4">
        <v>14</v>
      </c>
      <c r="AI199" s="4">
        <v>90</v>
      </c>
    </row>
    <row r="200" spans="1:35" x14ac:dyDescent="0.25">
      <c r="A200" s="4" t="s">
        <v>59</v>
      </c>
      <c r="B200" s="5" t="s">
        <v>447</v>
      </c>
      <c r="C200" s="4" t="s">
        <v>59</v>
      </c>
      <c r="D200" s="4">
        <v>1</v>
      </c>
      <c r="E200" s="4"/>
      <c r="F200" s="4">
        <v>2</v>
      </c>
      <c r="G200" s="4">
        <v>363</v>
      </c>
      <c r="H200" s="4">
        <v>257</v>
      </c>
      <c r="I200" s="4">
        <v>21.7</v>
      </c>
      <c r="J200" s="4">
        <v>13</v>
      </c>
      <c r="K200" s="4">
        <v>5.92</v>
      </c>
      <c r="L200" s="4">
        <v>24.6</v>
      </c>
      <c r="M200" s="4">
        <v>44</v>
      </c>
      <c r="N200" s="4">
        <v>27</v>
      </c>
      <c r="O200" s="4">
        <v>360</v>
      </c>
      <c r="P200" s="4">
        <v>122</v>
      </c>
      <c r="Q200" s="4">
        <v>15500</v>
      </c>
      <c r="R200" s="4">
        <v>365</v>
      </c>
      <c r="S200" s="4">
        <v>2010</v>
      </c>
      <c r="T200" s="4">
        <v>154</v>
      </c>
      <c r="U200" s="4">
        <v>2270</v>
      </c>
      <c r="V200" s="4">
        <v>61.5</v>
      </c>
      <c r="W200" s="4">
        <v>478</v>
      </c>
      <c r="X200" s="4">
        <v>63</v>
      </c>
      <c r="Y200" s="4">
        <v>732</v>
      </c>
      <c r="Z200" s="4">
        <v>2110</v>
      </c>
      <c r="AA200" s="4">
        <v>1790</v>
      </c>
      <c r="AB200" s="4">
        <v>21900</v>
      </c>
      <c r="AC200" s="4">
        <v>30.6</v>
      </c>
      <c r="AD200" s="4">
        <v>452</v>
      </c>
      <c r="AE200" s="4">
        <v>1120</v>
      </c>
      <c r="AF200" s="4">
        <v>1.73</v>
      </c>
      <c r="AG200" s="4" t="s">
        <v>448</v>
      </c>
      <c r="AH200" s="4">
        <v>14</v>
      </c>
      <c r="AI200" s="4">
        <v>82</v>
      </c>
    </row>
    <row r="201" spans="1:35" x14ac:dyDescent="0.25">
      <c r="A201" s="4"/>
      <c r="B201" s="5" t="s">
        <v>449</v>
      </c>
      <c r="C201" s="4" t="s">
        <v>59</v>
      </c>
      <c r="D201" s="4">
        <v>1</v>
      </c>
      <c r="E201" s="4"/>
      <c r="F201" s="4">
        <v>2</v>
      </c>
      <c r="G201" s="4">
        <v>360</v>
      </c>
      <c r="H201" s="4">
        <v>256</v>
      </c>
      <c r="I201" s="4">
        <v>19.899999999999999</v>
      </c>
      <c r="J201" s="4">
        <v>11.4</v>
      </c>
      <c r="K201" s="4">
        <v>6.43</v>
      </c>
      <c r="L201" s="4">
        <v>28.1</v>
      </c>
      <c r="M201" s="4">
        <v>42</v>
      </c>
      <c r="N201" s="4">
        <v>26</v>
      </c>
      <c r="O201" s="4">
        <v>360</v>
      </c>
      <c r="P201" s="4">
        <v>110</v>
      </c>
      <c r="Q201" s="4">
        <v>14000</v>
      </c>
      <c r="R201" s="4">
        <v>331</v>
      </c>
      <c r="S201" s="4">
        <v>1840</v>
      </c>
      <c r="T201" s="4">
        <v>154</v>
      </c>
      <c r="U201" s="4">
        <v>2060</v>
      </c>
      <c r="V201" s="4">
        <v>55.7</v>
      </c>
      <c r="W201" s="4">
        <v>435</v>
      </c>
      <c r="X201" s="4">
        <v>63</v>
      </c>
      <c r="Y201" s="4">
        <v>664</v>
      </c>
      <c r="Z201" s="4">
        <v>1600</v>
      </c>
      <c r="AA201" s="4">
        <v>1610</v>
      </c>
      <c r="AB201" s="4">
        <v>21800</v>
      </c>
      <c r="AC201" s="4">
        <v>27.7</v>
      </c>
      <c r="AD201" s="4">
        <v>414</v>
      </c>
      <c r="AE201" s="4">
        <v>1010</v>
      </c>
      <c r="AF201" s="4">
        <v>1.72</v>
      </c>
      <c r="AG201" s="4" t="s">
        <v>450</v>
      </c>
      <c r="AH201" s="4">
        <v>14</v>
      </c>
      <c r="AI201" s="4">
        <v>74</v>
      </c>
    </row>
    <row r="202" spans="1:35" x14ac:dyDescent="0.25">
      <c r="A202" s="4"/>
      <c r="B202" s="5" t="s">
        <v>451</v>
      </c>
      <c r="C202" s="4" t="s">
        <v>59</v>
      </c>
      <c r="D202" s="4">
        <v>1</v>
      </c>
      <c r="E202" s="4"/>
      <c r="F202" s="4">
        <v>2</v>
      </c>
      <c r="G202" s="4">
        <v>357</v>
      </c>
      <c r="H202" s="4">
        <v>255</v>
      </c>
      <c r="I202" s="4">
        <v>18.3</v>
      </c>
      <c r="J202" s="4">
        <v>10.5</v>
      </c>
      <c r="K202" s="4">
        <v>6.97</v>
      </c>
      <c r="L202" s="4">
        <v>30.5</v>
      </c>
      <c r="M202" s="4">
        <v>40</v>
      </c>
      <c r="N202" s="4">
        <v>26</v>
      </c>
      <c r="O202" s="4">
        <v>360</v>
      </c>
      <c r="P202" s="4">
        <v>101</v>
      </c>
      <c r="Q202" s="4">
        <v>12900</v>
      </c>
      <c r="R202" s="4">
        <v>301</v>
      </c>
      <c r="S202" s="4">
        <v>1690</v>
      </c>
      <c r="T202" s="4">
        <v>153</v>
      </c>
      <c r="U202" s="4">
        <v>1880</v>
      </c>
      <c r="V202" s="4">
        <v>50.6</v>
      </c>
      <c r="W202" s="4">
        <v>397</v>
      </c>
      <c r="X202" s="4">
        <v>62.7</v>
      </c>
      <c r="Y202" s="4">
        <v>605</v>
      </c>
      <c r="Z202" s="4">
        <v>1250</v>
      </c>
      <c r="AA202" s="4">
        <v>1450</v>
      </c>
      <c r="AB202" s="4">
        <v>21600</v>
      </c>
      <c r="AC202" s="4">
        <v>25.2</v>
      </c>
      <c r="AD202" s="4">
        <v>379</v>
      </c>
      <c r="AE202" s="4">
        <v>925</v>
      </c>
      <c r="AF202" s="4">
        <v>1.71</v>
      </c>
      <c r="AG202" s="4" t="s">
        <v>452</v>
      </c>
      <c r="AH202" s="4">
        <v>14</v>
      </c>
      <c r="AI202" s="4">
        <v>68</v>
      </c>
    </row>
    <row r="203" spans="1:35" x14ac:dyDescent="0.25">
      <c r="A203" s="4"/>
      <c r="B203" s="5" t="s">
        <v>453</v>
      </c>
      <c r="C203" s="4" t="s">
        <v>59</v>
      </c>
      <c r="D203" s="4">
        <v>1</v>
      </c>
      <c r="E203" s="4"/>
      <c r="F203" s="4">
        <v>2</v>
      </c>
      <c r="G203" s="4">
        <v>353</v>
      </c>
      <c r="H203" s="4">
        <v>254</v>
      </c>
      <c r="I203" s="4">
        <v>16.399999999999999</v>
      </c>
      <c r="J203" s="4">
        <v>9.5</v>
      </c>
      <c r="K203" s="4">
        <v>7.74</v>
      </c>
      <c r="L203" s="4">
        <v>33.700000000000003</v>
      </c>
      <c r="M203" s="4">
        <v>38</v>
      </c>
      <c r="N203" s="4">
        <v>25</v>
      </c>
      <c r="O203" s="4">
        <v>360</v>
      </c>
      <c r="P203" s="4">
        <v>91</v>
      </c>
      <c r="Q203" s="4">
        <v>11600</v>
      </c>
      <c r="R203" s="4">
        <v>267</v>
      </c>
      <c r="S203" s="4">
        <v>1510</v>
      </c>
      <c r="T203" s="4">
        <v>152</v>
      </c>
      <c r="U203" s="4">
        <v>1680</v>
      </c>
      <c r="V203" s="4">
        <v>44.8</v>
      </c>
      <c r="W203" s="4">
        <v>353</v>
      </c>
      <c r="X203" s="4">
        <v>62.3</v>
      </c>
      <c r="Y203" s="4">
        <v>538</v>
      </c>
      <c r="Z203" s="4">
        <v>914</v>
      </c>
      <c r="AA203" s="4">
        <v>1270</v>
      </c>
      <c r="AB203" s="4">
        <v>21400</v>
      </c>
      <c r="AC203" s="4">
        <v>22.3</v>
      </c>
      <c r="AD203" s="4">
        <v>337</v>
      </c>
      <c r="AE203" s="4">
        <v>823</v>
      </c>
      <c r="AF203" s="4">
        <v>1.7</v>
      </c>
      <c r="AG203" s="4" t="s">
        <v>454</v>
      </c>
      <c r="AH203" s="4">
        <v>14</v>
      </c>
      <c r="AI203" s="4">
        <v>61</v>
      </c>
    </row>
    <row r="204" spans="1:35" x14ac:dyDescent="0.25">
      <c r="A204" s="4" t="s">
        <v>59</v>
      </c>
      <c r="B204" s="6" t="s">
        <v>455</v>
      </c>
      <c r="C204" s="4" t="s">
        <v>59</v>
      </c>
      <c r="D204" s="4">
        <v>1</v>
      </c>
      <c r="E204" s="4"/>
      <c r="F204" s="4">
        <v>2</v>
      </c>
      <c r="G204" s="4">
        <v>354</v>
      </c>
      <c r="H204" s="4">
        <v>205</v>
      </c>
      <c r="I204" s="4">
        <v>16.8</v>
      </c>
      <c r="J204" s="4">
        <v>9.4</v>
      </c>
      <c r="K204" s="4">
        <v>6.1</v>
      </c>
      <c r="L204" s="4">
        <v>34.1</v>
      </c>
      <c r="M204" s="4">
        <v>39</v>
      </c>
      <c r="N204" s="4">
        <v>25</v>
      </c>
      <c r="O204" s="4">
        <v>360</v>
      </c>
      <c r="P204" s="4">
        <v>79</v>
      </c>
      <c r="Q204" s="4">
        <v>10100</v>
      </c>
      <c r="R204" s="4">
        <v>226</v>
      </c>
      <c r="S204" s="4">
        <v>1280</v>
      </c>
      <c r="T204" s="4">
        <v>150</v>
      </c>
      <c r="U204" s="4">
        <v>1430</v>
      </c>
      <c r="V204" s="4">
        <v>24.2</v>
      </c>
      <c r="W204" s="4">
        <v>236</v>
      </c>
      <c r="X204" s="4">
        <v>48.9</v>
      </c>
      <c r="Y204" s="4">
        <v>362</v>
      </c>
      <c r="Z204" s="4">
        <v>811</v>
      </c>
      <c r="AA204" s="4">
        <v>687</v>
      </c>
      <c r="AB204" s="4">
        <v>17300</v>
      </c>
      <c r="AC204" s="4">
        <v>14.9</v>
      </c>
      <c r="AD204" s="4">
        <v>277</v>
      </c>
      <c r="AE204" s="4">
        <v>701</v>
      </c>
      <c r="AF204" s="4">
        <v>1.51</v>
      </c>
      <c r="AG204" s="4" t="s">
        <v>456</v>
      </c>
      <c r="AH204" s="4">
        <v>14</v>
      </c>
      <c r="AI204" s="4">
        <v>53</v>
      </c>
    </row>
    <row r="205" spans="1:35" x14ac:dyDescent="0.25">
      <c r="A205" s="4"/>
      <c r="B205" s="6" t="s">
        <v>457</v>
      </c>
      <c r="C205" s="4" t="s">
        <v>59</v>
      </c>
      <c r="D205" s="4">
        <v>1</v>
      </c>
      <c r="E205" s="4"/>
      <c r="F205" s="4">
        <v>2</v>
      </c>
      <c r="G205" s="4">
        <v>350</v>
      </c>
      <c r="H205" s="4">
        <v>204</v>
      </c>
      <c r="I205" s="4">
        <v>15.1</v>
      </c>
      <c r="J205" s="4">
        <v>8.6</v>
      </c>
      <c r="K205" s="4">
        <v>6.75</v>
      </c>
      <c r="L205" s="4">
        <v>37.200000000000003</v>
      </c>
      <c r="M205" s="4">
        <v>37</v>
      </c>
      <c r="N205" s="4">
        <v>25</v>
      </c>
      <c r="O205" s="4">
        <v>360</v>
      </c>
      <c r="P205" s="4">
        <v>72</v>
      </c>
      <c r="Q205" s="4">
        <v>9100</v>
      </c>
      <c r="R205" s="4">
        <v>201</v>
      </c>
      <c r="S205" s="4">
        <v>1150</v>
      </c>
      <c r="T205" s="4">
        <v>149</v>
      </c>
      <c r="U205" s="4">
        <v>1280</v>
      </c>
      <c r="V205" s="4">
        <v>21.4</v>
      </c>
      <c r="W205" s="4">
        <v>210</v>
      </c>
      <c r="X205" s="4">
        <v>48.5</v>
      </c>
      <c r="Y205" s="4">
        <v>322</v>
      </c>
      <c r="Z205" s="4">
        <v>601</v>
      </c>
      <c r="AA205" s="4">
        <v>600</v>
      </c>
      <c r="AB205" s="4">
        <v>17100</v>
      </c>
      <c r="AC205" s="4">
        <v>13.2</v>
      </c>
      <c r="AD205" s="4">
        <v>247</v>
      </c>
      <c r="AE205" s="4">
        <v>626</v>
      </c>
      <c r="AF205" s="4">
        <v>1.5</v>
      </c>
      <c r="AG205" s="4" t="s">
        <v>458</v>
      </c>
      <c r="AH205" s="4">
        <v>14</v>
      </c>
      <c r="AI205" s="4">
        <v>48</v>
      </c>
    </row>
    <row r="206" spans="1:35" x14ac:dyDescent="0.25">
      <c r="A206" s="4"/>
      <c r="B206" s="6" t="s">
        <v>459</v>
      </c>
      <c r="C206" s="4" t="s">
        <v>59</v>
      </c>
      <c r="D206" s="4">
        <v>1</v>
      </c>
      <c r="E206" s="4"/>
      <c r="F206" s="4">
        <v>2</v>
      </c>
      <c r="G206" s="4">
        <v>347</v>
      </c>
      <c r="H206" s="4">
        <v>203</v>
      </c>
      <c r="I206" s="4">
        <v>13.5</v>
      </c>
      <c r="J206" s="4">
        <v>7.7</v>
      </c>
      <c r="K206" s="4">
        <v>7.52</v>
      </c>
      <c r="L206" s="4">
        <v>41.6</v>
      </c>
      <c r="M206" s="4">
        <v>35</v>
      </c>
      <c r="N206" s="4">
        <v>24</v>
      </c>
      <c r="O206" s="4">
        <v>360</v>
      </c>
      <c r="P206" s="4">
        <v>64</v>
      </c>
      <c r="Q206" s="4">
        <v>8140</v>
      </c>
      <c r="R206" s="4">
        <v>178</v>
      </c>
      <c r="S206" s="4">
        <v>1030</v>
      </c>
      <c r="T206" s="4">
        <v>148</v>
      </c>
      <c r="U206" s="4">
        <v>1140</v>
      </c>
      <c r="V206" s="4">
        <v>18.8</v>
      </c>
      <c r="W206" s="4">
        <v>186</v>
      </c>
      <c r="X206" s="4">
        <v>48.1</v>
      </c>
      <c r="Y206" s="4">
        <v>284</v>
      </c>
      <c r="Z206" s="4">
        <v>436</v>
      </c>
      <c r="AA206" s="4">
        <v>524</v>
      </c>
      <c r="AB206" s="4">
        <v>16900</v>
      </c>
      <c r="AC206" s="4">
        <v>11.6</v>
      </c>
      <c r="AD206" s="4">
        <v>220</v>
      </c>
      <c r="AE206" s="4">
        <v>556</v>
      </c>
      <c r="AF206" s="4">
        <v>1.49</v>
      </c>
      <c r="AG206" s="4" t="s">
        <v>460</v>
      </c>
      <c r="AH206" s="4">
        <v>14</v>
      </c>
      <c r="AI206" s="4">
        <v>43</v>
      </c>
    </row>
    <row r="207" spans="1:35" x14ac:dyDescent="0.25">
      <c r="A207" s="4" t="s">
        <v>59</v>
      </c>
      <c r="B207" s="6" t="s">
        <v>461</v>
      </c>
      <c r="C207" s="4" t="s">
        <v>59</v>
      </c>
      <c r="D207" s="4">
        <v>1</v>
      </c>
      <c r="E207" s="4"/>
      <c r="F207" s="4">
        <v>3</v>
      </c>
      <c r="G207" s="4">
        <v>358</v>
      </c>
      <c r="H207" s="4">
        <v>172</v>
      </c>
      <c r="I207" s="4">
        <v>13.1</v>
      </c>
      <c r="J207" s="4">
        <v>7.9</v>
      </c>
      <c r="K207" s="4">
        <v>6.56</v>
      </c>
      <c r="L207" s="4">
        <v>42</v>
      </c>
      <c r="M207" s="4">
        <v>30</v>
      </c>
      <c r="N207" s="4">
        <v>19</v>
      </c>
      <c r="O207" s="4">
        <v>360</v>
      </c>
      <c r="P207" s="4">
        <v>57</v>
      </c>
      <c r="Q207" s="4">
        <v>7220</v>
      </c>
      <c r="R207" s="4">
        <v>161</v>
      </c>
      <c r="S207" s="4">
        <v>897</v>
      </c>
      <c r="T207" s="4">
        <v>149</v>
      </c>
      <c r="U207" s="4">
        <v>1010</v>
      </c>
      <c r="V207" s="4">
        <v>11.1</v>
      </c>
      <c r="W207" s="4">
        <v>129</v>
      </c>
      <c r="X207" s="4">
        <v>39.299999999999997</v>
      </c>
      <c r="Y207" s="4">
        <v>200</v>
      </c>
      <c r="Z207" s="4">
        <v>334</v>
      </c>
      <c r="AA207" s="4">
        <v>331</v>
      </c>
      <c r="AB207" s="4">
        <v>14800</v>
      </c>
      <c r="AC207" s="4">
        <v>8.35</v>
      </c>
      <c r="AD207" s="4">
        <v>185</v>
      </c>
      <c r="AE207" s="4">
        <v>497</v>
      </c>
      <c r="AF207" s="4">
        <v>1.39</v>
      </c>
      <c r="AG207" s="4" t="s">
        <v>462</v>
      </c>
      <c r="AH207" s="4">
        <v>14</v>
      </c>
      <c r="AI207" s="4">
        <v>38</v>
      </c>
    </row>
    <row r="208" spans="1:35" x14ac:dyDescent="0.25">
      <c r="A208" s="4"/>
      <c r="B208" s="6" t="s">
        <v>463</v>
      </c>
      <c r="C208" s="4" t="s">
        <v>59</v>
      </c>
      <c r="D208" s="4">
        <v>1</v>
      </c>
      <c r="E208" s="4"/>
      <c r="F208" s="4">
        <v>3</v>
      </c>
      <c r="G208" s="4">
        <v>355</v>
      </c>
      <c r="H208" s="4">
        <v>171</v>
      </c>
      <c r="I208" s="4">
        <v>11.6</v>
      </c>
      <c r="J208" s="4">
        <v>7.2</v>
      </c>
      <c r="K208" s="4">
        <v>7.37</v>
      </c>
      <c r="L208" s="4">
        <v>46.1</v>
      </c>
      <c r="M208" s="4">
        <v>28</v>
      </c>
      <c r="N208" s="4">
        <v>19</v>
      </c>
      <c r="O208" s="4">
        <v>360</v>
      </c>
      <c r="P208" s="4">
        <v>51</v>
      </c>
      <c r="Q208" s="4">
        <v>6450</v>
      </c>
      <c r="R208" s="4">
        <v>141</v>
      </c>
      <c r="S208" s="4">
        <v>796</v>
      </c>
      <c r="T208" s="4">
        <v>148</v>
      </c>
      <c r="U208" s="4">
        <v>894</v>
      </c>
      <c r="V208" s="4">
        <v>9.68</v>
      </c>
      <c r="W208" s="4">
        <v>113</v>
      </c>
      <c r="X208" s="4">
        <v>38.799999999999997</v>
      </c>
      <c r="Y208" s="4">
        <v>174</v>
      </c>
      <c r="Z208" s="4">
        <v>238</v>
      </c>
      <c r="AA208" s="4">
        <v>285</v>
      </c>
      <c r="AB208" s="4">
        <v>14700</v>
      </c>
      <c r="AC208" s="4">
        <v>7.28</v>
      </c>
      <c r="AD208" s="4">
        <v>163</v>
      </c>
      <c r="AE208" s="4">
        <v>440</v>
      </c>
      <c r="AF208" s="4">
        <v>1.38</v>
      </c>
      <c r="AG208" s="4" t="s">
        <v>464</v>
      </c>
      <c r="AH208" s="4">
        <v>14</v>
      </c>
      <c r="AI208" s="4">
        <v>34</v>
      </c>
    </row>
    <row r="209" spans="1:35" x14ac:dyDescent="0.25">
      <c r="A209" s="4"/>
      <c r="B209" s="6" t="s">
        <v>465</v>
      </c>
      <c r="C209" s="4" t="s">
        <v>59</v>
      </c>
      <c r="D209" s="4">
        <v>1</v>
      </c>
      <c r="E209" s="4"/>
      <c r="F209" s="4">
        <v>3</v>
      </c>
      <c r="G209" s="4">
        <v>352</v>
      </c>
      <c r="H209" s="4">
        <v>171</v>
      </c>
      <c r="I209" s="4">
        <v>9.8000000000000007</v>
      </c>
      <c r="J209" s="4">
        <v>6.9</v>
      </c>
      <c r="K209" s="4">
        <v>8.7200000000000006</v>
      </c>
      <c r="L209" s="4">
        <v>48.2</v>
      </c>
      <c r="M209" s="4">
        <v>27</v>
      </c>
      <c r="N209" s="4">
        <v>19</v>
      </c>
      <c r="O209" s="4">
        <v>360</v>
      </c>
      <c r="P209" s="4">
        <v>45</v>
      </c>
      <c r="Q209" s="4">
        <v>5730</v>
      </c>
      <c r="R209" s="4">
        <v>122</v>
      </c>
      <c r="S209" s="4">
        <v>691</v>
      </c>
      <c r="T209" s="4">
        <v>146</v>
      </c>
      <c r="U209" s="4">
        <v>779</v>
      </c>
      <c r="V209" s="4">
        <v>8.18</v>
      </c>
      <c r="W209" s="4">
        <v>95.7</v>
      </c>
      <c r="X209" s="4">
        <v>37.799999999999997</v>
      </c>
      <c r="Y209" s="4">
        <v>148</v>
      </c>
      <c r="Z209" s="4">
        <v>160</v>
      </c>
      <c r="AA209" s="4">
        <v>239</v>
      </c>
      <c r="AB209" s="4">
        <v>14600</v>
      </c>
      <c r="AC209" s="4">
        <v>6.13</v>
      </c>
      <c r="AD209" s="4">
        <v>138</v>
      </c>
      <c r="AE209" s="4">
        <v>382</v>
      </c>
      <c r="AF209" s="4">
        <v>1.37</v>
      </c>
      <c r="AG209" s="4" t="s">
        <v>466</v>
      </c>
      <c r="AH209" s="4">
        <v>14</v>
      </c>
      <c r="AI209" s="4">
        <v>30</v>
      </c>
    </row>
    <row r="210" spans="1:35" x14ac:dyDescent="0.25">
      <c r="A210" s="4" t="s">
        <v>59</v>
      </c>
      <c r="B210" s="6" t="s">
        <v>467</v>
      </c>
      <c r="C210" s="4" t="s">
        <v>59</v>
      </c>
      <c r="D210" s="4">
        <v>1</v>
      </c>
      <c r="E210" s="4"/>
      <c r="F210" s="4">
        <v>3</v>
      </c>
      <c r="G210" s="4">
        <v>353</v>
      </c>
      <c r="H210" s="4">
        <v>128</v>
      </c>
      <c r="I210" s="4">
        <v>10.7</v>
      </c>
      <c r="J210" s="4">
        <v>6.5</v>
      </c>
      <c r="K210" s="4">
        <v>5.98</v>
      </c>
      <c r="L210" s="4">
        <v>51</v>
      </c>
      <c r="M210" s="4">
        <v>27</v>
      </c>
      <c r="N210" s="4">
        <v>18</v>
      </c>
      <c r="O210" s="4">
        <v>360</v>
      </c>
      <c r="P210" s="4">
        <v>39</v>
      </c>
      <c r="Q210" s="4">
        <v>4980</v>
      </c>
      <c r="R210" s="4">
        <v>102</v>
      </c>
      <c r="S210" s="4">
        <v>580</v>
      </c>
      <c r="T210" s="4">
        <v>143</v>
      </c>
      <c r="U210" s="4">
        <v>662</v>
      </c>
      <c r="V210" s="4">
        <v>3.75</v>
      </c>
      <c r="W210" s="4">
        <v>58.6</v>
      </c>
      <c r="X210" s="4">
        <v>27.4</v>
      </c>
      <c r="Y210" s="4">
        <v>91.7</v>
      </c>
      <c r="Z210" s="4">
        <v>151</v>
      </c>
      <c r="AA210" s="4">
        <v>110</v>
      </c>
      <c r="AB210" s="4">
        <v>11000</v>
      </c>
      <c r="AC210" s="4">
        <v>3.75</v>
      </c>
      <c r="AD210" s="4">
        <v>111</v>
      </c>
      <c r="AE210" s="4">
        <v>324</v>
      </c>
      <c r="AF210" s="4">
        <v>1.21</v>
      </c>
      <c r="AG210" s="4" t="s">
        <v>468</v>
      </c>
      <c r="AH210" s="4">
        <v>14</v>
      </c>
      <c r="AI210" s="4">
        <v>26</v>
      </c>
    </row>
    <row r="211" spans="1:35" x14ac:dyDescent="0.25">
      <c r="A211" s="4"/>
      <c r="B211" s="6" t="s">
        <v>469</v>
      </c>
      <c r="C211" s="4" t="s">
        <v>59</v>
      </c>
      <c r="D211" s="4">
        <v>1</v>
      </c>
      <c r="E211" s="4"/>
      <c r="F211" s="4">
        <v>3</v>
      </c>
      <c r="G211" s="4">
        <v>349</v>
      </c>
      <c r="H211" s="4">
        <v>127</v>
      </c>
      <c r="I211" s="4">
        <v>8.5</v>
      </c>
      <c r="J211" s="4">
        <v>5.8</v>
      </c>
      <c r="K211" s="4">
        <v>7.47</v>
      </c>
      <c r="L211" s="4">
        <v>57.2</v>
      </c>
      <c r="M211" s="4">
        <v>25</v>
      </c>
      <c r="N211" s="4">
        <v>18</v>
      </c>
      <c r="O211" s="4">
        <v>360</v>
      </c>
      <c r="P211" s="4">
        <v>33</v>
      </c>
      <c r="Q211" s="4">
        <v>4170</v>
      </c>
      <c r="R211" s="4">
        <v>82.7</v>
      </c>
      <c r="S211" s="4">
        <v>474</v>
      </c>
      <c r="T211" s="4">
        <v>141</v>
      </c>
      <c r="U211" s="4">
        <v>542</v>
      </c>
      <c r="V211" s="4">
        <v>2.91</v>
      </c>
      <c r="W211" s="4">
        <v>45.8</v>
      </c>
      <c r="X211" s="4">
        <v>26.4</v>
      </c>
      <c r="Y211" s="4">
        <v>71.8</v>
      </c>
      <c r="Z211" s="4">
        <v>85.9</v>
      </c>
      <c r="AA211" s="4">
        <v>84.3</v>
      </c>
      <c r="AB211" s="4">
        <v>10800</v>
      </c>
      <c r="AC211" s="4">
        <v>2.92</v>
      </c>
      <c r="AD211" s="4">
        <v>87.7</v>
      </c>
      <c r="AE211" s="4">
        <v>264</v>
      </c>
      <c r="AF211" s="4">
        <v>1.19</v>
      </c>
      <c r="AG211" s="4" t="s">
        <v>470</v>
      </c>
      <c r="AH211" s="4">
        <v>14</v>
      </c>
      <c r="AI211" s="4">
        <v>22</v>
      </c>
    </row>
    <row r="212" spans="1:35" x14ac:dyDescent="0.25">
      <c r="A212" s="4" t="s">
        <v>59</v>
      </c>
      <c r="B212" s="5" t="s">
        <v>471</v>
      </c>
      <c r="C212" s="4" t="s">
        <v>59</v>
      </c>
      <c r="D212" s="4">
        <v>1</v>
      </c>
      <c r="E212" s="4"/>
      <c r="F212" s="4">
        <v>1</v>
      </c>
      <c r="G212" s="4">
        <v>427</v>
      </c>
      <c r="H212" s="4">
        <v>340</v>
      </c>
      <c r="I212" s="4">
        <v>75.099999999999994</v>
      </c>
      <c r="J212" s="4">
        <v>45.1</v>
      </c>
      <c r="K212" s="4">
        <v>2.2599999999999998</v>
      </c>
      <c r="L212" s="4">
        <v>6.14</v>
      </c>
      <c r="M212" s="4">
        <v>97</v>
      </c>
      <c r="N212" s="4">
        <v>43</v>
      </c>
      <c r="O212" s="4">
        <v>310</v>
      </c>
      <c r="P212" s="4">
        <v>500</v>
      </c>
      <c r="Q212" s="4">
        <v>63800</v>
      </c>
      <c r="R212" s="4">
        <v>1690</v>
      </c>
      <c r="S212" s="4">
        <v>7910</v>
      </c>
      <c r="T212" s="4">
        <v>163</v>
      </c>
      <c r="U212" s="4">
        <v>9880</v>
      </c>
      <c r="V212" s="4">
        <v>494</v>
      </c>
      <c r="W212" s="4">
        <v>2910</v>
      </c>
      <c r="X212" s="4">
        <v>88</v>
      </c>
      <c r="Y212" s="4">
        <v>4490</v>
      </c>
      <c r="Z212" s="4">
        <v>101000</v>
      </c>
      <c r="AA212" s="4">
        <v>15300</v>
      </c>
      <c r="AB212" s="4">
        <v>29900</v>
      </c>
      <c r="AC212" s="4">
        <v>191</v>
      </c>
      <c r="AD212" s="4">
        <v>1950</v>
      </c>
      <c r="AE212" s="4">
        <v>4920</v>
      </c>
      <c r="AF212" s="4">
        <v>2.12</v>
      </c>
      <c r="AG212" s="4" t="s">
        <v>472</v>
      </c>
      <c r="AH212" s="4">
        <v>12</v>
      </c>
      <c r="AI212" s="4">
        <v>336</v>
      </c>
    </row>
    <row r="213" spans="1:35" x14ac:dyDescent="0.25">
      <c r="A213" s="4"/>
      <c r="B213" s="5" t="s">
        <v>473</v>
      </c>
      <c r="C213" s="4" t="s">
        <v>59</v>
      </c>
      <c r="D213" s="4">
        <v>1</v>
      </c>
      <c r="E213" s="4"/>
      <c r="F213" s="4">
        <v>1</v>
      </c>
      <c r="G213" s="4">
        <v>415</v>
      </c>
      <c r="H213" s="4">
        <v>336</v>
      </c>
      <c r="I213" s="4">
        <v>68.7</v>
      </c>
      <c r="J213" s="4">
        <v>41.3</v>
      </c>
      <c r="K213" s="4">
        <v>2.4500000000000002</v>
      </c>
      <c r="L213" s="4">
        <v>6.72</v>
      </c>
      <c r="M213" s="4">
        <v>91</v>
      </c>
      <c r="N213" s="4">
        <v>41</v>
      </c>
      <c r="O213" s="4">
        <v>310</v>
      </c>
      <c r="P213" s="4">
        <v>454</v>
      </c>
      <c r="Q213" s="4">
        <v>57800</v>
      </c>
      <c r="R213" s="4">
        <v>1480</v>
      </c>
      <c r="S213" s="4">
        <v>7130</v>
      </c>
      <c r="T213" s="4">
        <v>160</v>
      </c>
      <c r="U213" s="4">
        <v>8820</v>
      </c>
      <c r="V213" s="4">
        <v>436</v>
      </c>
      <c r="W213" s="4">
        <v>2600</v>
      </c>
      <c r="X213" s="4">
        <v>86.8</v>
      </c>
      <c r="Y213" s="4">
        <v>4000</v>
      </c>
      <c r="Z213" s="4">
        <v>77200</v>
      </c>
      <c r="AA213" s="4">
        <v>13100</v>
      </c>
      <c r="AB213" s="4">
        <v>29100</v>
      </c>
      <c r="AC213" s="4">
        <v>168</v>
      </c>
      <c r="AD213" s="4">
        <v>1750</v>
      </c>
      <c r="AE213" s="4">
        <v>4390</v>
      </c>
      <c r="AF213" s="4">
        <v>2.09</v>
      </c>
      <c r="AG213" s="4" t="s">
        <v>474</v>
      </c>
      <c r="AH213" s="4">
        <v>12</v>
      </c>
      <c r="AI213" s="4">
        <v>305</v>
      </c>
    </row>
    <row r="214" spans="1:35" x14ac:dyDescent="0.25">
      <c r="A214" s="4"/>
      <c r="B214" s="5" t="s">
        <v>475</v>
      </c>
      <c r="C214" s="4" t="s">
        <v>59</v>
      </c>
      <c r="D214" s="4">
        <v>1</v>
      </c>
      <c r="E214" s="4"/>
      <c r="F214" s="4">
        <v>1</v>
      </c>
      <c r="G214" s="4">
        <v>403</v>
      </c>
      <c r="H214" s="4">
        <v>334</v>
      </c>
      <c r="I214" s="4">
        <v>62.7</v>
      </c>
      <c r="J214" s="4">
        <v>38.9</v>
      </c>
      <c r="K214" s="4">
        <v>2.66</v>
      </c>
      <c r="L214" s="4">
        <v>7.14</v>
      </c>
      <c r="M214" s="4">
        <v>85</v>
      </c>
      <c r="N214" s="4">
        <v>40</v>
      </c>
      <c r="O214" s="4">
        <v>310</v>
      </c>
      <c r="P214" s="4">
        <v>415</v>
      </c>
      <c r="Q214" s="4">
        <v>52900</v>
      </c>
      <c r="R214" s="4">
        <v>1300</v>
      </c>
      <c r="S214" s="4">
        <v>6450</v>
      </c>
      <c r="T214" s="4">
        <v>157</v>
      </c>
      <c r="U214" s="4">
        <v>7900</v>
      </c>
      <c r="V214" s="4">
        <v>391</v>
      </c>
      <c r="W214" s="4">
        <v>2340</v>
      </c>
      <c r="X214" s="4">
        <v>86</v>
      </c>
      <c r="Y214" s="4">
        <v>3610</v>
      </c>
      <c r="Z214" s="4">
        <v>59500</v>
      </c>
      <c r="AA214" s="4">
        <v>11300</v>
      </c>
      <c r="AB214" s="4">
        <v>28400</v>
      </c>
      <c r="AC214" s="4">
        <v>149</v>
      </c>
      <c r="AD214" s="4">
        <v>1570</v>
      </c>
      <c r="AE214" s="4">
        <v>3940</v>
      </c>
      <c r="AF214" s="4">
        <v>2.06</v>
      </c>
      <c r="AG214" s="4" t="s">
        <v>476</v>
      </c>
      <c r="AH214" s="4">
        <v>12</v>
      </c>
      <c r="AI214" s="4">
        <v>279</v>
      </c>
    </row>
    <row r="215" spans="1:35" x14ac:dyDescent="0.25">
      <c r="A215" s="4"/>
      <c r="B215" s="5" t="s">
        <v>477</v>
      </c>
      <c r="C215" s="4" t="s">
        <v>59</v>
      </c>
      <c r="D215" s="4">
        <v>1</v>
      </c>
      <c r="E215" s="4"/>
      <c r="F215" s="4">
        <v>1</v>
      </c>
      <c r="G215" s="4">
        <v>391</v>
      </c>
      <c r="H215" s="4">
        <v>330</v>
      </c>
      <c r="I215" s="4">
        <v>57.2</v>
      </c>
      <c r="J215" s="4">
        <v>35.4</v>
      </c>
      <c r="K215" s="4">
        <v>2.88</v>
      </c>
      <c r="L215" s="4">
        <v>7.81</v>
      </c>
      <c r="M215" s="4">
        <v>79</v>
      </c>
      <c r="N215" s="4">
        <v>38</v>
      </c>
      <c r="O215" s="4">
        <v>310</v>
      </c>
      <c r="P215" s="4">
        <v>375</v>
      </c>
      <c r="Q215" s="4">
        <v>47700</v>
      </c>
      <c r="R215" s="4">
        <v>1130</v>
      </c>
      <c r="S215" s="4">
        <v>5770</v>
      </c>
      <c r="T215" s="4">
        <v>154</v>
      </c>
      <c r="U215" s="4">
        <v>7000</v>
      </c>
      <c r="V215" s="4">
        <v>344</v>
      </c>
      <c r="W215" s="4">
        <v>2080</v>
      </c>
      <c r="X215" s="4">
        <v>84.8</v>
      </c>
      <c r="Y215" s="4">
        <v>3210</v>
      </c>
      <c r="Z215" s="4">
        <v>44900</v>
      </c>
      <c r="AA215" s="4">
        <v>9570</v>
      </c>
      <c r="AB215" s="4">
        <v>27500</v>
      </c>
      <c r="AC215" s="4">
        <v>130</v>
      </c>
      <c r="AD215" s="4">
        <v>1410</v>
      </c>
      <c r="AE215" s="4">
        <v>3490</v>
      </c>
      <c r="AF215" s="4">
        <v>2.0299999999999998</v>
      </c>
      <c r="AG215" s="4" t="s">
        <v>478</v>
      </c>
      <c r="AH215" s="4">
        <v>12</v>
      </c>
      <c r="AI215" s="4">
        <v>252</v>
      </c>
    </row>
    <row r="216" spans="1:35" x14ac:dyDescent="0.25">
      <c r="A216" s="4"/>
      <c r="B216" s="5" t="s">
        <v>479</v>
      </c>
      <c r="C216" s="4" t="s">
        <v>59</v>
      </c>
      <c r="D216" s="4">
        <v>1</v>
      </c>
      <c r="E216" s="4"/>
      <c r="F216" s="4">
        <v>1</v>
      </c>
      <c r="G216" s="4">
        <v>382</v>
      </c>
      <c r="H216" s="4">
        <v>328</v>
      </c>
      <c r="I216" s="4">
        <v>52.6</v>
      </c>
      <c r="J216" s="4">
        <v>32.6</v>
      </c>
      <c r="K216" s="4">
        <v>3.12</v>
      </c>
      <c r="L216" s="4">
        <v>8.49</v>
      </c>
      <c r="M216" s="4">
        <v>74</v>
      </c>
      <c r="N216" s="4">
        <v>37</v>
      </c>
      <c r="O216" s="4">
        <v>310</v>
      </c>
      <c r="P216" s="4">
        <v>342</v>
      </c>
      <c r="Q216" s="4">
        <v>43700</v>
      </c>
      <c r="R216" s="4">
        <v>1010</v>
      </c>
      <c r="S216" s="4">
        <v>5260</v>
      </c>
      <c r="T216" s="4">
        <v>152</v>
      </c>
      <c r="U216" s="4">
        <v>6330</v>
      </c>
      <c r="V216" s="4">
        <v>310</v>
      </c>
      <c r="W216" s="4">
        <v>1890</v>
      </c>
      <c r="X216" s="4">
        <v>84.2</v>
      </c>
      <c r="Y216" s="4">
        <v>2910</v>
      </c>
      <c r="Z216" s="4">
        <v>34900</v>
      </c>
      <c r="AA216" s="4">
        <v>8420</v>
      </c>
      <c r="AB216" s="4">
        <v>27000</v>
      </c>
      <c r="AC216" s="4">
        <v>117</v>
      </c>
      <c r="AD216" s="4">
        <v>1280</v>
      </c>
      <c r="AE216" s="4">
        <v>3150</v>
      </c>
      <c r="AF216" s="4">
        <v>2.0099999999999998</v>
      </c>
      <c r="AG216" s="4" t="s">
        <v>480</v>
      </c>
      <c r="AH216" s="4">
        <v>12</v>
      </c>
      <c r="AI216" s="4">
        <v>230</v>
      </c>
    </row>
    <row r="217" spans="1:35" x14ac:dyDescent="0.25">
      <c r="A217" s="4"/>
      <c r="B217" s="5" t="s">
        <v>481</v>
      </c>
      <c r="C217" s="4" t="s">
        <v>59</v>
      </c>
      <c r="D217" s="4">
        <v>1</v>
      </c>
      <c r="E217" s="4"/>
      <c r="F217" s="4">
        <v>1</v>
      </c>
      <c r="G217" s="4">
        <v>374</v>
      </c>
      <c r="H217" s="4">
        <v>325</v>
      </c>
      <c r="I217" s="4">
        <v>48.3</v>
      </c>
      <c r="J217" s="4">
        <v>30</v>
      </c>
      <c r="K217" s="4">
        <v>3.36</v>
      </c>
      <c r="L217" s="4">
        <v>9.25</v>
      </c>
      <c r="M217" s="4">
        <v>70</v>
      </c>
      <c r="N217" s="4">
        <v>35</v>
      </c>
      <c r="O217" s="4">
        <v>310</v>
      </c>
      <c r="P217" s="4">
        <v>313</v>
      </c>
      <c r="Q217" s="4">
        <v>39900</v>
      </c>
      <c r="R217" s="4">
        <v>896</v>
      </c>
      <c r="S217" s="4">
        <v>4790</v>
      </c>
      <c r="T217" s="4">
        <v>150</v>
      </c>
      <c r="U217" s="4">
        <v>5720</v>
      </c>
      <c r="V217" s="4">
        <v>277</v>
      </c>
      <c r="W217" s="4">
        <v>1700</v>
      </c>
      <c r="X217" s="4">
        <v>83.3</v>
      </c>
      <c r="Y217" s="4">
        <v>2620</v>
      </c>
      <c r="Z217" s="4">
        <v>27000</v>
      </c>
      <c r="AA217" s="4">
        <v>7350</v>
      </c>
      <c r="AB217" s="4">
        <v>26500</v>
      </c>
      <c r="AC217" s="4">
        <v>104</v>
      </c>
      <c r="AD217" s="4">
        <v>1160</v>
      </c>
      <c r="AE217" s="4">
        <v>2840</v>
      </c>
      <c r="AF217" s="4">
        <v>1.99</v>
      </c>
      <c r="AG217" s="4" t="s">
        <v>482</v>
      </c>
      <c r="AH217" s="4">
        <v>12</v>
      </c>
      <c r="AI217" s="4">
        <v>210</v>
      </c>
    </row>
    <row r="218" spans="1:35" x14ac:dyDescent="0.25">
      <c r="A218" s="4" t="s">
        <v>59</v>
      </c>
      <c r="B218" s="5" t="s">
        <v>483</v>
      </c>
      <c r="C218" s="4" t="s">
        <v>59</v>
      </c>
      <c r="D218" s="4">
        <v>1</v>
      </c>
      <c r="E218" s="4"/>
      <c r="F218" s="4">
        <v>1</v>
      </c>
      <c r="G218" s="4">
        <v>365</v>
      </c>
      <c r="H218" s="4">
        <v>322</v>
      </c>
      <c r="I218" s="4">
        <v>44.1</v>
      </c>
      <c r="J218" s="4">
        <v>26.9</v>
      </c>
      <c r="K218" s="4">
        <v>3.65</v>
      </c>
      <c r="L218" s="4">
        <v>10.3</v>
      </c>
      <c r="M218" s="4">
        <v>66</v>
      </c>
      <c r="N218" s="4">
        <v>34</v>
      </c>
      <c r="O218" s="4">
        <v>310</v>
      </c>
      <c r="P218" s="4">
        <v>283</v>
      </c>
      <c r="Q218" s="4">
        <v>36000</v>
      </c>
      <c r="R218" s="4">
        <v>787</v>
      </c>
      <c r="S218" s="4">
        <v>4310</v>
      </c>
      <c r="T218" s="4">
        <v>148</v>
      </c>
      <c r="U218" s="4">
        <v>5100</v>
      </c>
      <c r="V218" s="4">
        <v>246</v>
      </c>
      <c r="W218" s="4">
        <v>1530</v>
      </c>
      <c r="X218" s="4">
        <v>82.6</v>
      </c>
      <c r="Y218" s="4">
        <v>2340</v>
      </c>
      <c r="Z218" s="4">
        <v>20400</v>
      </c>
      <c r="AA218" s="4">
        <v>6330</v>
      </c>
      <c r="AB218" s="4">
        <v>25800</v>
      </c>
      <c r="AC218" s="4">
        <v>91.7</v>
      </c>
      <c r="AD218" s="4">
        <v>1040</v>
      </c>
      <c r="AE218" s="4">
        <v>2540</v>
      </c>
      <c r="AF218" s="4">
        <v>1.96</v>
      </c>
      <c r="AG218" s="4" t="s">
        <v>484</v>
      </c>
      <c r="AH218" s="4">
        <v>12</v>
      </c>
      <c r="AI218" s="4">
        <v>190</v>
      </c>
    </row>
    <row r="219" spans="1:35" x14ac:dyDescent="0.25">
      <c r="A219" s="4"/>
      <c r="B219" s="5" t="s">
        <v>485</v>
      </c>
      <c r="C219" s="4" t="s">
        <v>59</v>
      </c>
      <c r="D219" s="4">
        <v>1</v>
      </c>
      <c r="E219" s="4"/>
      <c r="F219" s="4">
        <v>1</v>
      </c>
      <c r="G219" s="4">
        <v>356</v>
      </c>
      <c r="H219" s="4">
        <v>319</v>
      </c>
      <c r="I219" s="4">
        <v>39.6</v>
      </c>
      <c r="J219" s="4">
        <v>24.4</v>
      </c>
      <c r="K219" s="4">
        <v>4.03</v>
      </c>
      <c r="L219" s="4">
        <v>11.3</v>
      </c>
      <c r="M219" s="4">
        <v>61</v>
      </c>
      <c r="N219" s="4">
        <v>33</v>
      </c>
      <c r="O219" s="4">
        <v>310</v>
      </c>
      <c r="P219" s="4">
        <v>253</v>
      </c>
      <c r="Q219" s="4">
        <v>32200</v>
      </c>
      <c r="R219" s="4">
        <v>682</v>
      </c>
      <c r="S219" s="4">
        <v>3830</v>
      </c>
      <c r="T219" s="4">
        <v>146</v>
      </c>
      <c r="U219" s="4">
        <v>4490</v>
      </c>
      <c r="V219" s="4">
        <v>215</v>
      </c>
      <c r="W219" s="4">
        <v>1350</v>
      </c>
      <c r="X219" s="4">
        <v>81.599999999999994</v>
      </c>
      <c r="Y219" s="4">
        <v>2060</v>
      </c>
      <c r="Z219" s="4">
        <v>14800</v>
      </c>
      <c r="AA219" s="4">
        <v>5370</v>
      </c>
      <c r="AB219" s="4">
        <v>25200</v>
      </c>
      <c r="AC219" s="4">
        <v>79.7</v>
      </c>
      <c r="AD219" s="4">
        <v>923</v>
      </c>
      <c r="AE219" s="4">
        <v>2230</v>
      </c>
      <c r="AF219" s="4">
        <v>1.94</v>
      </c>
      <c r="AG219" s="4" t="s">
        <v>486</v>
      </c>
      <c r="AH219" s="4">
        <v>12</v>
      </c>
      <c r="AI219" s="4">
        <v>170</v>
      </c>
    </row>
    <row r="220" spans="1:35" x14ac:dyDescent="0.25">
      <c r="A220" s="4"/>
      <c r="B220" s="5" t="s">
        <v>487</v>
      </c>
      <c r="C220" s="4" t="s">
        <v>59</v>
      </c>
      <c r="D220" s="4">
        <v>1</v>
      </c>
      <c r="E220" s="4"/>
      <c r="F220" s="4">
        <v>1</v>
      </c>
      <c r="G220" s="4">
        <v>348</v>
      </c>
      <c r="H220" s="4">
        <v>317</v>
      </c>
      <c r="I220" s="4">
        <v>35.6</v>
      </c>
      <c r="J220" s="4">
        <v>22.1</v>
      </c>
      <c r="K220" s="4">
        <v>4.45</v>
      </c>
      <c r="L220" s="4">
        <v>12.5</v>
      </c>
      <c r="M220" s="4">
        <v>57</v>
      </c>
      <c r="N220" s="4">
        <v>31</v>
      </c>
      <c r="O220" s="4">
        <v>310</v>
      </c>
      <c r="P220" s="4">
        <v>226</v>
      </c>
      <c r="Q220" s="4">
        <v>28900</v>
      </c>
      <c r="R220" s="4">
        <v>596</v>
      </c>
      <c r="S220" s="4">
        <v>3420</v>
      </c>
      <c r="T220" s="4">
        <v>144</v>
      </c>
      <c r="U220" s="4">
        <v>3980</v>
      </c>
      <c r="V220" s="4">
        <v>189</v>
      </c>
      <c r="W220" s="4">
        <v>1190</v>
      </c>
      <c r="X220" s="4">
        <v>81</v>
      </c>
      <c r="Y220" s="4">
        <v>1830</v>
      </c>
      <c r="Z220" s="4">
        <v>10800</v>
      </c>
      <c r="AA220" s="4">
        <v>4620</v>
      </c>
      <c r="AB220" s="4">
        <v>24800</v>
      </c>
      <c r="AC220" s="4">
        <v>69.8</v>
      </c>
      <c r="AD220" s="4">
        <v>820</v>
      </c>
      <c r="AE220" s="4">
        <v>1970</v>
      </c>
      <c r="AF220" s="4">
        <v>1.92</v>
      </c>
      <c r="AG220" s="4" t="s">
        <v>488</v>
      </c>
      <c r="AH220" s="4">
        <v>12</v>
      </c>
      <c r="AI220" s="4">
        <v>152</v>
      </c>
    </row>
    <row r="221" spans="1:35" x14ac:dyDescent="0.25">
      <c r="A221" s="4"/>
      <c r="B221" s="5" t="s">
        <v>489</v>
      </c>
      <c r="C221" s="4" t="s">
        <v>59</v>
      </c>
      <c r="D221" s="4">
        <v>1</v>
      </c>
      <c r="E221" s="4"/>
      <c r="F221" s="4">
        <v>1</v>
      </c>
      <c r="G221" s="4">
        <v>341</v>
      </c>
      <c r="H221" s="4">
        <v>315</v>
      </c>
      <c r="I221" s="4">
        <v>31.8</v>
      </c>
      <c r="J221" s="4">
        <v>20.100000000000001</v>
      </c>
      <c r="K221" s="4">
        <v>4.95</v>
      </c>
      <c r="L221" s="4">
        <v>13.8</v>
      </c>
      <c r="M221" s="4">
        <v>54</v>
      </c>
      <c r="N221" s="4">
        <v>30</v>
      </c>
      <c r="O221" s="4">
        <v>310</v>
      </c>
      <c r="P221" s="4">
        <v>202</v>
      </c>
      <c r="Q221" s="4">
        <v>25800</v>
      </c>
      <c r="R221" s="4">
        <v>520</v>
      </c>
      <c r="S221" s="4">
        <v>3050</v>
      </c>
      <c r="T221" s="4">
        <v>142</v>
      </c>
      <c r="U221" s="4">
        <v>3510</v>
      </c>
      <c r="V221" s="4">
        <v>166</v>
      </c>
      <c r="W221" s="4">
        <v>1050</v>
      </c>
      <c r="X221" s="4">
        <v>80.2</v>
      </c>
      <c r="Y221" s="4">
        <v>1610</v>
      </c>
      <c r="Z221" s="4">
        <v>7740</v>
      </c>
      <c r="AA221" s="4">
        <v>3960</v>
      </c>
      <c r="AB221" s="4">
        <v>24300</v>
      </c>
      <c r="AC221" s="4">
        <v>61</v>
      </c>
      <c r="AD221" s="4">
        <v>725</v>
      </c>
      <c r="AE221" s="4">
        <v>1740</v>
      </c>
      <c r="AF221" s="4">
        <v>1.9</v>
      </c>
      <c r="AG221" s="4" t="s">
        <v>490</v>
      </c>
      <c r="AH221" s="4">
        <v>12</v>
      </c>
      <c r="AI221" s="4">
        <v>136</v>
      </c>
    </row>
    <row r="222" spans="1:35" x14ac:dyDescent="0.25">
      <c r="A222" s="4"/>
      <c r="B222" s="5" t="s">
        <v>491</v>
      </c>
      <c r="C222" s="4" t="s">
        <v>59</v>
      </c>
      <c r="D222" s="4">
        <v>1</v>
      </c>
      <c r="E222" s="4"/>
      <c r="F222" s="4">
        <v>1</v>
      </c>
      <c r="G222" s="4">
        <v>333</v>
      </c>
      <c r="H222" s="4">
        <v>313</v>
      </c>
      <c r="I222" s="4">
        <v>28.1</v>
      </c>
      <c r="J222" s="4">
        <v>18</v>
      </c>
      <c r="K222" s="4">
        <v>5.57</v>
      </c>
      <c r="L222" s="4">
        <v>15.4</v>
      </c>
      <c r="M222" s="4">
        <v>50</v>
      </c>
      <c r="N222" s="4">
        <v>29</v>
      </c>
      <c r="O222" s="4">
        <v>310</v>
      </c>
      <c r="P222" s="4">
        <v>179</v>
      </c>
      <c r="Q222" s="4">
        <v>22800</v>
      </c>
      <c r="R222" s="4">
        <v>445</v>
      </c>
      <c r="S222" s="4">
        <v>2680</v>
      </c>
      <c r="T222" s="4">
        <v>140</v>
      </c>
      <c r="U222" s="4">
        <v>3050</v>
      </c>
      <c r="V222" s="4">
        <v>144</v>
      </c>
      <c r="W222" s="4">
        <v>919</v>
      </c>
      <c r="X222" s="4">
        <v>79.5</v>
      </c>
      <c r="Y222" s="4">
        <v>1400</v>
      </c>
      <c r="Z222" s="4">
        <v>5380</v>
      </c>
      <c r="AA222" s="4">
        <v>3340</v>
      </c>
      <c r="AB222" s="4">
        <v>23900</v>
      </c>
      <c r="AC222" s="4">
        <v>52.5</v>
      </c>
      <c r="AD222" s="4">
        <v>632</v>
      </c>
      <c r="AE222" s="4">
        <v>1510</v>
      </c>
      <c r="AF222" s="4">
        <v>1.88</v>
      </c>
      <c r="AG222" s="4" t="s">
        <v>492</v>
      </c>
      <c r="AH222" s="4">
        <v>12</v>
      </c>
      <c r="AI222" s="4">
        <v>120</v>
      </c>
    </row>
    <row r="223" spans="1:35" x14ac:dyDescent="0.25">
      <c r="A223" s="4"/>
      <c r="B223" s="5" t="s">
        <v>493</v>
      </c>
      <c r="C223" s="4" t="s">
        <v>59</v>
      </c>
      <c r="D223" s="4">
        <v>1</v>
      </c>
      <c r="E223" s="4"/>
      <c r="F223" s="4">
        <v>1</v>
      </c>
      <c r="G223" s="4">
        <v>327</v>
      </c>
      <c r="H223" s="4">
        <v>310</v>
      </c>
      <c r="I223" s="4">
        <v>25.1</v>
      </c>
      <c r="J223" s="4">
        <v>15.5</v>
      </c>
      <c r="K223" s="4">
        <v>6.18</v>
      </c>
      <c r="L223" s="4">
        <v>17.899999999999999</v>
      </c>
      <c r="M223" s="4">
        <v>47</v>
      </c>
      <c r="N223" s="4">
        <v>28</v>
      </c>
      <c r="O223" s="4">
        <v>310</v>
      </c>
      <c r="P223" s="4">
        <v>158</v>
      </c>
      <c r="Q223" s="4">
        <v>20100</v>
      </c>
      <c r="R223" s="4">
        <v>386</v>
      </c>
      <c r="S223" s="4">
        <v>2360</v>
      </c>
      <c r="T223" s="4">
        <v>139</v>
      </c>
      <c r="U223" s="4">
        <v>2670</v>
      </c>
      <c r="V223" s="4">
        <v>125</v>
      </c>
      <c r="W223" s="4">
        <v>805</v>
      </c>
      <c r="X223" s="4">
        <v>78.900000000000006</v>
      </c>
      <c r="Y223" s="4">
        <v>1220</v>
      </c>
      <c r="Z223" s="4">
        <v>3780</v>
      </c>
      <c r="AA223" s="4">
        <v>2840</v>
      </c>
      <c r="AB223" s="4">
        <v>23400</v>
      </c>
      <c r="AC223" s="4">
        <v>45.5</v>
      </c>
      <c r="AD223" s="4">
        <v>558</v>
      </c>
      <c r="AE223" s="4">
        <v>1320</v>
      </c>
      <c r="AF223" s="4">
        <v>1.86</v>
      </c>
      <c r="AG223" s="4" t="s">
        <v>494</v>
      </c>
      <c r="AH223" s="4">
        <v>12</v>
      </c>
      <c r="AI223" s="4">
        <v>106</v>
      </c>
    </row>
    <row r="224" spans="1:35" x14ac:dyDescent="0.25">
      <c r="A224" s="4"/>
      <c r="B224" s="6" t="s">
        <v>495</v>
      </c>
      <c r="C224" s="4" t="s">
        <v>59</v>
      </c>
      <c r="D224" s="4">
        <v>1</v>
      </c>
      <c r="E224" s="4"/>
      <c r="F224" s="4">
        <v>1</v>
      </c>
      <c r="G224" s="4">
        <v>323</v>
      </c>
      <c r="H224" s="4">
        <v>309</v>
      </c>
      <c r="I224" s="4">
        <v>22.9</v>
      </c>
      <c r="J224" s="4">
        <v>14</v>
      </c>
      <c r="K224" s="4">
        <v>6.75</v>
      </c>
      <c r="L224" s="4">
        <v>19.8</v>
      </c>
      <c r="M224" s="4">
        <v>45</v>
      </c>
      <c r="N224" s="4">
        <v>27</v>
      </c>
      <c r="O224" s="4">
        <v>310</v>
      </c>
      <c r="P224" s="4">
        <v>143</v>
      </c>
      <c r="Q224" s="4">
        <v>18200</v>
      </c>
      <c r="R224" s="4">
        <v>348</v>
      </c>
      <c r="S224" s="4">
        <v>2150</v>
      </c>
      <c r="T224" s="4">
        <v>138</v>
      </c>
      <c r="U224" s="4">
        <v>2420</v>
      </c>
      <c r="V224" s="4">
        <v>113</v>
      </c>
      <c r="W224" s="4">
        <v>729</v>
      </c>
      <c r="X224" s="4">
        <v>78.599999999999994</v>
      </c>
      <c r="Y224" s="4">
        <v>1110</v>
      </c>
      <c r="Z224" s="4">
        <v>2870</v>
      </c>
      <c r="AA224" s="4">
        <v>2540</v>
      </c>
      <c r="AB224" s="4">
        <v>23200</v>
      </c>
      <c r="AC224" s="4">
        <v>41</v>
      </c>
      <c r="AD224" s="4">
        <v>507</v>
      </c>
      <c r="AE224" s="4">
        <v>1200</v>
      </c>
      <c r="AF224" s="4">
        <v>1.85</v>
      </c>
      <c r="AG224" s="4" t="s">
        <v>496</v>
      </c>
      <c r="AH224" s="4">
        <v>12</v>
      </c>
      <c r="AI224" s="4">
        <v>96</v>
      </c>
    </row>
    <row r="225" spans="1:35" x14ac:dyDescent="0.25">
      <c r="A225" s="4"/>
      <c r="B225" s="6" t="s">
        <v>497</v>
      </c>
      <c r="C225" s="4" t="s">
        <v>59</v>
      </c>
      <c r="D225" s="4">
        <v>1</v>
      </c>
      <c r="E225" s="4"/>
      <c r="F225" s="4">
        <v>2</v>
      </c>
      <c r="G225" s="4">
        <v>318</v>
      </c>
      <c r="H225" s="4">
        <v>308</v>
      </c>
      <c r="I225" s="4">
        <v>20.6</v>
      </c>
      <c r="J225" s="4">
        <v>13.1</v>
      </c>
      <c r="K225" s="4">
        <v>7.48</v>
      </c>
      <c r="L225" s="4">
        <v>21.1</v>
      </c>
      <c r="M225" s="4">
        <v>42</v>
      </c>
      <c r="N225" s="4">
        <v>27</v>
      </c>
      <c r="O225" s="4">
        <v>310</v>
      </c>
      <c r="P225" s="4">
        <v>129</v>
      </c>
      <c r="Q225" s="4">
        <v>16500</v>
      </c>
      <c r="R225" s="4">
        <v>308</v>
      </c>
      <c r="S225" s="4">
        <v>1940</v>
      </c>
      <c r="T225" s="4">
        <v>137</v>
      </c>
      <c r="U225" s="4">
        <v>2160</v>
      </c>
      <c r="V225" s="4">
        <v>100</v>
      </c>
      <c r="W225" s="4">
        <v>652</v>
      </c>
      <c r="X225" s="4">
        <v>78</v>
      </c>
      <c r="Y225" s="4">
        <v>991</v>
      </c>
      <c r="Z225" s="4">
        <v>2130</v>
      </c>
      <c r="AA225" s="4">
        <v>2220</v>
      </c>
      <c r="AB225" s="4">
        <v>22900</v>
      </c>
      <c r="AC225" s="4">
        <v>36.299999999999997</v>
      </c>
      <c r="AD225" s="4">
        <v>452</v>
      </c>
      <c r="AE225" s="4">
        <v>1070</v>
      </c>
      <c r="AF225" s="4">
        <v>1.84</v>
      </c>
      <c r="AG225" s="4" t="s">
        <v>498</v>
      </c>
      <c r="AH225" s="4">
        <v>12</v>
      </c>
      <c r="AI225" s="4">
        <v>87</v>
      </c>
    </row>
    <row r="226" spans="1:35" x14ac:dyDescent="0.25">
      <c r="A226" s="4"/>
      <c r="B226" s="6" t="s">
        <v>499</v>
      </c>
      <c r="C226" s="4" t="s">
        <v>59</v>
      </c>
      <c r="D226" s="4">
        <v>1</v>
      </c>
      <c r="E226" s="4"/>
      <c r="F226" s="4">
        <v>2</v>
      </c>
      <c r="G226" s="4">
        <v>314</v>
      </c>
      <c r="H226" s="4">
        <v>307</v>
      </c>
      <c r="I226" s="4">
        <v>18.7</v>
      </c>
      <c r="J226" s="4">
        <v>11.9</v>
      </c>
      <c r="K226" s="4">
        <v>8.2100000000000009</v>
      </c>
      <c r="L226" s="4">
        <v>23.2</v>
      </c>
      <c r="M226" s="4">
        <v>41</v>
      </c>
      <c r="N226" s="4">
        <v>26</v>
      </c>
      <c r="O226" s="4">
        <v>310</v>
      </c>
      <c r="P226" s="4">
        <v>118</v>
      </c>
      <c r="Q226" s="4">
        <v>15000</v>
      </c>
      <c r="R226" s="4">
        <v>275</v>
      </c>
      <c r="S226" s="4">
        <v>1750</v>
      </c>
      <c r="T226" s="4">
        <v>136</v>
      </c>
      <c r="U226" s="4">
        <v>1950</v>
      </c>
      <c r="V226" s="4">
        <v>90.2</v>
      </c>
      <c r="W226" s="4">
        <v>588</v>
      </c>
      <c r="X226" s="4">
        <v>77.599999999999994</v>
      </c>
      <c r="Y226" s="4">
        <v>893</v>
      </c>
      <c r="Z226" s="4">
        <v>1600</v>
      </c>
      <c r="AA226" s="4">
        <v>1970</v>
      </c>
      <c r="AB226" s="4">
        <v>22700</v>
      </c>
      <c r="AC226" s="4">
        <v>32.5</v>
      </c>
      <c r="AD226" s="4">
        <v>407</v>
      </c>
      <c r="AE226" s="4">
        <v>961</v>
      </c>
      <c r="AF226" s="4">
        <v>1.83</v>
      </c>
      <c r="AG226" s="4" t="s">
        <v>500</v>
      </c>
      <c r="AH226" s="4">
        <v>12</v>
      </c>
      <c r="AI226" s="4">
        <v>79</v>
      </c>
    </row>
    <row r="227" spans="1:35" x14ac:dyDescent="0.25">
      <c r="A227" s="4"/>
      <c r="B227" s="6" t="s">
        <v>501</v>
      </c>
      <c r="C227" s="4" t="s">
        <v>59</v>
      </c>
      <c r="D227" s="4">
        <v>1</v>
      </c>
      <c r="E227" s="4"/>
      <c r="F227" s="4">
        <v>2</v>
      </c>
      <c r="G227" s="4">
        <v>311</v>
      </c>
      <c r="H227" s="4">
        <v>306</v>
      </c>
      <c r="I227" s="4">
        <v>17</v>
      </c>
      <c r="J227" s="4">
        <v>10.9</v>
      </c>
      <c r="K227" s="4">
        <v>9</v>
      </c>
      <c r="L227" s="4">
        <v>25.4</v>
      </c>
      <c r="M227" s="4">
        <v>39</v>
      </c>
      <c r="N227" s="4">
        <v>26</v>
      </c>
      <c r="O227" s="4">
        <v>310</v>
      </c>
      <c r="P227" s="4">
        <v>107</v>
      </c>
      <c r="Q227" s="4">
        <v>13600</v>
      </c>
      <c r="R227" s="4">
        <v>248</v>
      </c>
      <c r="S227" s="4">
        <v>1590</v>
      </c>
      <c r="T227" s="4">
        <v>135</v>
      </c>
      <c r="U227" s="4">
        <v>1770</v>
      </c>
      <c r="V227" s="4">
        <v>81.2</v>
      </c>
      <c r="W227" s="4">
        <v>531</v>
      </c>
      <c r="X227" s="4">
        <v>77.2</v>
      </c>
      <c r="Y227" s="4">
        <v>806</v>
      </c>
      <c r="Z227" s="4">
        <v>1220</v>
      </c>
      <c r="AA227" s="4">
        <v>1760</v>
      </c>
      <c r="AB227" s="4">
        <v>22500</v>
      </c>
      <c r="AC227" s="4">
        <v>29.2</v>
      </c>
      <c r="AD227" s="4">
        <v>369</v>
      </c>
      <c r="AE227" s="4">
        <v>869</v>
      </c>
      <c r="AF227" s="4">
        <v>1.82</v>
      </c>
      <c r="AG227" s="4" t="s">
        <v>502</v>
      </c>
      <c r="AH227" s="4">
        <v>12</v>
      </c>
      <c r="AI227" s="4">
        <v>72</v>
      </c>
    </row>
    <row r="228" spans="1:35" x14ac:dyDescent="0.25">
      <c r="A228" s="4"/>
      <c r="B228" s="6" t="s">
        <v>503</v>
      </c>
      <c r="C228" s="4" t="s">
        <v>59</v>
      </c>
      <c r="D228" s="4">
        <v>1</v>
      </c>
      <c r="E228" s="4"/>
      <c r="F228" s="4">
        <v>2</v>
      </c>
      <c r="G228" s="4">
        <v>308</v>
      </c>
      <c r="H228" s="4">
        <v>305</v>
      </c>
      <c r="I228" s="4">
        <v>15.4</v>
      </c>
      <c r="J228" s="4">
        <v>9.9</v>
      </c>
      <c r="K228" s="4">
        <v>9.9</v>
      </c>
      <c r="L228" s="4">
        <v>28</v>
      </c>
      <c r="M228" s="4">
        <v>37</v>
      </c>
      <c r="N228" s="4">
        <v>25</v>
      </c>
      <c r="O228" s="4">
        <v>310</v>
      </c>
      <c r="P228" s="4">
        <v>97</v>
      </c>
      <c r="Q228" s="4">
        <v>12300</v>
      </c>
      <c r="R228" s="4">
        <v>222</v>
      </c>
      <c r="S228" s="4">
        <v>1440</v>
      </c>
      <c r="T228" s="4">
        <v>134</v>
      </c>
      <c r="U228" s="4">
        <v>1590</v>
      </c>
      <c r="V228" s="4">
        <v>72.900000000000006</v>
      </c>
      <c r="W228" s="4">
        <v>478</v>
      </c>
      <c r="X228" s="4">
        <v>76.900000000000006</v>
      </c>
      <c r="Y228" s="4">
        <v>725</v>
      </c>
      <c r="Z228" s="4">
        <v>912</v>
      </c>
      <c r="AA228" s="4">
        <v>1560</v>
      </c>
      <c r="AB228" s="4">
        <v>22300</v>
      </c>
      <c r="AC228" s="4">
        <v>26.2</v>
      </c>
      <c r="AD228" s="4">
        <v>332</v>
      </c>
      <c r="AE228" s="4">
        <v>782</v>
      </c>
      <c r="AF228" s="4">
        <v>1.82</v>
      </c>
      <c r="AG228" s="4" t="s">
        <v>504</v>
      </c>
      <c r="AH228" s="4">
        <v>12</v>
      </c>
      <c r="AI228" s="4">
        <v>65</v>
      </c>
    </row>
    <row r="229" spans="1:35" x14ac:dyDescent="0.25">
      <c r="A229" s="4" t="s">
        <v>59</v>
      </c>
      <c r="B229" s="6" t="s">
        <v>505</v>
      </c>
      <c r="C229" s="4" t="s">
        <v>59</v>
      </c>
      <c r="D229" s="4">
        <v>1</v>
      </c>
      <c r="E229" s="4"/>
      <c r="F229" s="4">
        <v>2</v>
      </c>
      <c r="G229" s="4">
        <v>310</v>
      </c>
      <c r="H229" s="4">
        <v>254</v>
      </c>
      <c r="I229" s="4">
        <v>16.3</v>
      </c>
      <c r="J229" s="4">
        <v>9.1</v>
      </c>
      <c r="K229" s="4">
        <v>7.79</v>
      </c>
      <c r="L229" s="4">
        <v>30.5</v>
      </c>
      <c r="M229" s="4">
        <v>36</v>
      </c>
      <c r="N229" s="4">
        <v>23</v>
      </c>
      <c r="O229" s="4">
        <v>310</v>
      </c>
      <c r="P229" s="4">
        <v>86</v>
      </c>
      <c r="Q229" s="4">
        <v>11000</v>
      </c>
      <c r="R229" s="4">
        <v>199</v>
      </c>
      <c r="S229" s="4">
        <v>1280</v>
      </c>
      <c r="T229" s="4">
        <v>134</v>
      </c>
      <c r="U229" s="4">
        <v>1420</v>
      </c>
      <c r="V229" s="4">
        <v>44.5</v>
      </c>
      <c r="W229" s="4">
        <v>351</v>
      </c>
      <c r="X229" s="4">
        <v>63.6</v>
      </c>
      <c r="Y229" s="4">
        <v>533</v>
      </c>
      <c r="Z229" s="4">
        <v>877</v>
      </c>
      <c r="AA229" s="4">
        <v>961</v>
      </c>
      <c r="AB229" s="4">
        <v>18600</v>
      </c>
      <c r="AC229" s="4">
        <v>19.3</v>
      </c>
      <c r="AD229" s="4">
        <v>293</v>
      </c>
      <c r="AE229" s="4">
        <v>696</v>
      </c>
      <c r="AF229" s="4">
        <v>1.62</v>
      </c>
      <c r="AG229" s="4" t="s">
        <v>506</v>
      </c>
      <c r="AH229" s="4">
        <v>12</v>
      </c>
      <c r="AI229" s="4">
        <v>58</v>
      </c>
    </row>
    <row r="230" spans="1:35" x14ac:dyDescent="0.25">
      <c r="A230" s="4"/>
      <c r="B230" s="6" t="s">
        <v>507</v>
      </c>
      <c r="C230" s="4" t="s">
        <v>59</v>
      </c>
      <c r="D230" s="4">
        <v>1</v>
      </c>
      <c r="E230" s="4"/>
      <c r="F230" s="4">
        <v>2</v>
      </c>
      <c r="G230" s="4">
        <v>306</v>
      </c>
      <c r="H230" s="4">
        <v>254</v>
      </c>
      <c r="I230" s="4">
        <v>14.6</v>
      </c>
      <c r="J230" s="4">
        <v>8.8000000000000007</v>
      </c>
      <c r="K230" s="4">
        <v>8.6999999999999993</v>
      </c>
      <c r="L230" s="4">
        <v>31.5</v>
      </c>
      <c r="M230" s="4">
        <v>34</v>
      </c>
      <c r="N230" s="4">
        <v>22</v>
      </c>
      <c r="O230" s="4">
        <v>310</v>
      </c>
      <c r="P230" s="4">
        <v>79</v>
      </c>
      <c r="Q230" s="4">
        <v>10100</v>
      </c>
      <c r="R230" s="4">
        <v>177</v>
      </c>
      <c r="S230" s="4">
        <v>1160</v>
      </c>
      <c r="T230" s="4">
        <v>133</v>
      </c>
      <c r="U230" s="4">
        <v>1280</v>
      </c>
      <c r="V230" s="4">
        <v>39.9</v>
      </c>
      <c r="W230" s="4">
        <v>314</v>
      </c>
      <c r="X230" s="4">
        <v>63</v>
      </c>
      <c r="Y230" s="4">
        <v>478</v>
      </c>
      <c r="Z230" s="4">
        <v>657</v>
      </c>
      <c r="AA230" s="4">
        <v>847</v>
      </c>
      <c r="AB230" s="4">
        <v>18500</v>
      </c>
      <c r="AC230" s="4">
        <v>17.2</v>
      </c>
      <c r="AD230" s="4">
        <v>261</v>
      </c>
      <c r="AE230" s="4">
        <v>625</v>
      </c>
      <c r="AF230" s="4">
        <v>1.61</v>
      </c>
      <c r="AG230" s="4" t="s">
        <v>508</v>
      </c>
      <c r="AH230" s="4">
        <v>12</v>
      </c>
      <c r="AI230" s="4">
        <v>53</v>
      </c>
    </row>
    <row r="231" spans="1:35" x14ac:dyDescent="0.25">
      <c r="A231" s="4" t="s">
        <v>59</v>
      </c>
      <c r="B231" s="6" t="s">
        <v>509</v>
      </c>
      <c r="C231" s="4" t="s">
        <v>59</v>
      </c>
      <c r="D231" s="4">
        <v>1</v>
      </c>
      <c r="E231" s="4"/>
      <c r="F231" s="4">
        <v>2</v>
      </c>
      <c r="G231" s="4">
        <v>310</v>
      </c>
      <c r="H231" s="4">
        <v>205</v>
      </c>
      <c r="I231" s="4">
        <v>16.3</v>
      </c>
      <c r="J231" s="4">
        <v>9.4</v>
      </c>
      <c r="K231" s="4">
        <v>6.29</v>
      </c>
      <c r="L231" s="4">
        <v>29.5</v>
      </c>
      <c r="M231" s="4">
        <v>36</v>
      </c>
      <c r="N231" s="4">
        <v>23</v>
      </c>
      <c r="O231" s="4">
        <v>310</v>
      </c>
      <c r="P231" s="4">
        <v>74</v>
      </c>
      <c r="Q231" s="4">
        <v>9430</v>
      </c>
      <c r="R231" s="4">
        <v>164</v>
      </c>
      <c r="S231" s="4">
        <v>1060</v>
      </c>
      <c r="T231" s="4">
        <v>132</v>
      </c>
      <c r="U231" s="4">
        <v>1180</v>
      </c>
      <c r="V231" s="4">
        <v>23.4</v>
      </c>
      <c r="W231" s="4">
        <v>229</v>
      </c>
      <c r="X231" s="4">
        <v>49.9</v>
      </c>
      <c r="Y231" s="4">
        <v>350</v>
      </c>
      <c r="Z231" s="4">
        <v>718</v>
      </c>
      <c r="AA231" s="4">
        <v>505</v>
      </c>
      <c r="AB231" s="4">
        <v>15100</v>
      </c>
      <c r="AC231" s="4">
        <v>12.6</v>
      </c>
      <c r="AD231" s="4">
        <v>234</v>
      </c>
      <c r="AE231" s="4">
        <v>581</v>
      </c>
      <c r="AF231" s="4">
        <v>1.42</v>
      </c>
      <c r="AG231" s="4" t="s">
        <v>510</v>
      </c>
      <c r="AH231" s="4">
        <v>12</v>
      </c>
      <c r="AI231" s="4">
        <v>50</v>
      </c>
    </row>
    <row r="232" spans="1:35" x14ac:dyDescent="0.25">
      <c r="A232" s="4"/>
      <c r="B232" s="6" t="s">
        <v>511</v>
      </c>
      <c r="C232" s="4" t="s">
        <v>59</v>
      </c>
      <c r="D232" s="4">
        <v>1</v>
      </c>
      <c r="E232" s="4"/>
      <c r="F232" s="4">
        <v>2</v>
      </c>
      <c r="G232" s="4">
        <v>306</v>
      </c>
      <c r="H232" s="4">
        <v>204</v>
      </c>
      <c r="I232" s="4">
        <v>14.6</v>
      </c>
      <c r="J232" s="4">
        <v>8.5</v>
      </c>
      <c r="K232" s="4">
        <v>6.99</v>
      </c>
      <c r="L232" s="4">
        <v>32.6</v>
      </c>
      <c r="M232" s="4">
        <v>34</v>
      </c>
      <c r="N232" s="4">
        <v>22</v>
      </c>
      <c r="O232" s="4">
        <v>310</v>
      </c>
      <c r="P232" s="4">
        <v>67</v>
      </c>
      <c r="Q232" s="4">
        <v>8450</v>
      </c>
      <c r="R232" s="4">
        <v>144</v>
      </c>
      <c r="S232" s="4">
        <v>942</v>
      </c>
      <c r="T232" s="4">
        <v>131</v>
      </c>
      <c r="U232" s="4">
        <v>1050</v>
      </c>
      <c r="V232" s="4">
        <v>20.7</v>
      </c>
      <c r="W232" s="4">
        <v>203</v>
      </c>
      <c r="X232" s="4">
        <v>49.5</v>
      </c>
      <c r="Y232" s="4">
        <v>310</v>
      </c>
      <c r="Z232" s="4">
        <v>522</v>
      </c>
      <c r="AA232" s="4">
        <v>439</v>
      </c>
      <c r="AB232" s="4">
        <v>14900</v>
      </c>
      <c r="AC232" s="4">
        <v>11.1</v>
      </c>
      <c r="AD232" s="4">
        <v>208</v>
      </c>
      <c r="AE232" s="4">
        <v>515</v>
      </c>
      <c r="AF232" s="4">
        <v>1.41</v>
      </c>
      <c r="AG232" s="4" t="s">
        <v>512</v>
      </c>
      <c r="AH232" s="4">
        <v>12</v>
      </c>
      <c r="AI232" s="4">
        <v>45</v>
      </c>
    </row>
    <row r="233" spans="1:35" x14ac:dyDescent="0.25">
      <c r="A233" s="4"/>
      <c r="B233" s="6" t="s">
        <v>513</v>
      </c>
      <c r="C233" s="4" t="s">
        <v>59</v>
      </c>
      <c r="D233" s="4">
        <v>1</v>
      </c>
      <c r="E233" s="4"/>
      <c r="F233" s="4">
        <v>2</v>
      </c>
      <c r="G233" s="4">
        <v>303</v>
      </c>
      <c r="H233" s="4">
        <v>203</v>
      </c>
      <c r="I233" s="4">
        <v>13.1</v>
      </c>
      <c r="J233" s="4">
        <v>7.5</v>
      </c>
      <c r="K233" s="4">
        <v>7.75</v>
      </c>
      <c r="L233" s="4">
        <v>36.9</v>
      </c>
      <c r="M233" s="4">
        <v>33</v>
      </c>
      <c r="N233" s="4">
        <v>22</v>
      </c>
      <c r="O233" s="4">
        <v>310</v>
      </c>
      <c r="P233" s="4">
        <v>60</v>
      </c>
      <c r="Q233" s="4">
        <v>7530</v>
      </c>
      <c r="R233" s="4">
        <v>128</v>
      </c>
      <c r="S233" s="4">
        <v>842</v>
      </c>
      <c r="T233" s="4">
        <v>130</v>
      </c>
      <c r="U233" s="4">
        <v>933</v>
      </c>
      <c r="V233" s="4">
        <v>18.3</v>
      </c>
      <c r="W233" s="4">
        <v>180</v>
      </c>
      <c r="X233" s="4">
        <v>49.3</v>
      </c>
      <c r="Y233" s="4">
        <v>275</v>
      </c>
      <c r="Z233" s="4">
        <v>378</v>
      </c>
      <c r="AA233" s="4">
        <v>384</v>
      </c>
      <c r="AB233" s="4">
        <v>14700</v>
      </c>
      <c r="AC233" s="4">
        <v>9.7799999999999994</v>
      </c>
      <c r="AD233" s="4">
        <v>186</v>
      </c>
      <c r="AE233" s="4">
        <v>457</v>
      </c>
      <c r="AF233" s="4">
        <v>1.4</v>
      </c>
      <c r="AG233" s="4" t="s">
        <v>514</v>
      </c>
      <c r="AH233" s="4">
        <v>12</v>
      </c>
      <c r="AI233" s="4">
        <v>40</v>
      </c>
    </row>
    <row r="234" spans="1:35" x14ac:dyDescent="0.25">
      <c r="A234" s="4" t="s">
        <v>59</v>
      </c>
      <c r="B234" s="6" t="s">
        <v>515</v>
      </c>
      <c r="C234" s="4" t="s">
        <v>59</v>
      </c>
      <c r="D234" s="4">
        <v>1</v>
      </c>
      <c r="E234" s="4"/>
      <c r="F234" s="4">
        <v>3</v>
      </c>
      <c r="G234" s="4">
        <v>318</v>
      </c>
      <c r="H234" s="4">
        <v>167</v>
      </c>
      <c r="I234" s="4">
        <v>13.2</v>
      </c>
      <c r="J234" s="4">
        <v>7.6</v>
      </c>
      <c r="K234" s="4">
        <v>6.33</v>
      </c>
      <c r="L234" s="4">
        <v>38.4</v>
      </c>
      <c r="M234" s="4">
        <v>30</v>
      </c>
      <c r="N234" s="4">
        <v>19</v>
      </c>
      <c r="O234" s="4">
        <v>310</v>
      </c>
      <c r="P234" s="4">
        <v>52</v>
      </c>
      <c r="Q234" s="4">
        <v>6670</v>
      </c>
      <c r="R234" s="4">
        <v>119</v>
      </c>
      <c r="S234" s="4">
        <v>750</v>
      </c>
      <c r="T234" s="4">
        <v>134</v>
      </c>
      <c r="U234" s="4">
        <v>841</v>
      </c>
      <c r="V234" s="4">
        <v>10.3</v>
      </c>
      <c r="W234" s="4">
        <v>123</v>
      </c>
      <c r="X234" s="4">
        <v>39.200000000000003</v>
      </c>
      <c r="Y234" s="4">
        <v>189</v>
      </c>
      <c r="Z234" s="4">
        <v>308</v>
      </c>
      <c r="AA234" s="4">
        <v>238</v>
      </c>
      <c r="AB234" s="4">
        <v>12700</v>
      </c>
      <c r="AC234" s="4">
        <v>7.01</v>
      </c>
      <c r="AD234" s="4">
        <v>160</v>
      </c>
      <c r="AE234" s="4">
        <v>417</v>
      </c>
      <c r="AF234" s="4">
        <v>1.29</v>
      </c>
      <c r="AG234" s="4" t="s">
        <v>516</v>
      </c>
      <c r="AH234" s="4">
        <v>12</v>
      </c>
      <c r="AI234" s="4">
        <v>35</v>
      </c>
    </row>
    <row r="235" spans="1:35" x14ac:dyDescent="0.25">
      <c r="A235" s="4"/>
      <c r="B235" s="6" t="s">
        <v>517</v>
      </c>
      <c r="C235" s="4" t="s">
        <v>59</v>
      </c>
      <c r="D235" s="4">
        <v>1</v>
      </c>
      <c r="E235" s="4"/>
      <c r="F235" s="4">
        <v>3</v>
      </c>
      <c r="G235" s="4">
        <v>313</v>
      </c>
      <c r="H235" s="4">
        <v>166</v>
      </c>
      <c r="I235" s="4">
        <v>11.2</v>
      </c>
      <c r="J235" s="4">
        <v>6.6</v>
      </c>
      <c r="K235" s="4">
        <v>7.41</v>
      </c>
      <c r="L235" s="4">
        <v>44</v>
      </c>
      <c r="M235" s="4">
        <v>28</v>
      </c>
      <c r="N235" s="4">
        <v>19</v>
      </c>
      <c r="O235" s="4">
        <v>310</v>
      </c>
      <c r="P235" s="4">
        <v>45</v>
      </c>
      <c r="Q235" s="4">
        <v>5690</v>
      </c>
      <c r="R235" s="4">
        <v>99.2</v>
      </c>
      <c r="S235" s="4">
        <v>634</v>
      </c>
      <c r="T235" s="4">
        <v>132</v>
      </c>
      <c r="U235" s="4">
        <v>708</v>
      </c>
      <c r="V235" s="4">
        <v>8.5500000000000007</v>
      </c>
      <c r="W235" s="4">
        <v>103</v>
      </c>
      <c r="X235" s="4">
        <v>38.799999999999997</v>
      </c>
      <c r="Y235" s="4">
        <v>158</v>
      </c>
      <c r="Z235" s="4">
        <v>191</v>
      </c>
      <c r="AA235" s="4">
        <v>195</v>
      </c>
      <c r="AB235" s="4">
        <v>12500</v>
      </c>
      <c r="AC235" s="4">
        <v>5.82</v>
      </c>
      <c r="AD235" s="4">
        <v>135</v>
      </c>
      <c r="AE235" s="4">
        <v>350</v>
      </c>
      <c r="AF235" s="4">
        <v>1.28</v>
      </c>
      <c r="AG235" s="4" t="s">
        <v>518</v>
      </c>
      <c r="AH235" s="4">
        <v>12</v>
      </c>
      <c r="AI235" s="4">
        <v>30</v>
      </c>
    </row>
    <row r="236" spans="1:35" x14ac:dyDescent="0.25">
      <c r="A236" s="4"/>
      <c r="B236" s="6" t="s">
        <v>519</v>
      </c>
      <c r="C236" s="4" t="s">
        <v>59</v>
      </c>
      <c r="D236" s="4">
        <v>1</v>
      </c>
      <c r="E236" s="4"/>
      <c r="F236" s="4">
        <v>3</v>
      </c>
      <c r="G236" s="4">
        <v>310</v>
      </c>
      <c r="H236" s="4">
        <v>165</v>
      </c>
      <c r="I236" s="4">
        <v>9.6999999999999993</v>
      </c>
      <c r="J236" s="4">
        <v>5.8</v>
      </c>
      <c r="K236" s="4">
        <v>8.51</v>
      </c>
      <c r="L236" s="4">
        <v>50.1</v>
      </c>
      <c r="M236" s="4">
        <v>26</v>
      </c>
      <c r="N236" s="4">
        <v>18</v>
      </c>
      <c r="O236" s="4">
        <v>310</v>
      </c>
      <c r="P236" s="4">
        <v>39</v>
      </c>
      <c r="Q236" s="4">
        <v>4940</v>
      </c>
      <c r="R236" s="4">
        <v>85.1</v>
      </c>
      <c r="S236" s="4">
        <v>549</v>
      </c>
      <c r="T236" s="4">
        <v>131</v>
      </c>
      <c r="U236" s="4">
        <v>610</v>
      </c>
      <c r="V236" s="4">
        <v>7.27</v>
      </c>
      <c r="W236" s="4">
        <v>88.1</v>
      </c>
      <c r="X236" s="4">
        <v>38.4</v>
      </c>
      <c r="Y236" s="4">
        <v>135</v>
      </c>
      <c r="Z236" s="4">
        <v>126</v>
      </c>
      <c r="AA236" s="4">
        <v>164</v>
      </c>
      <c r="AB236" s="4">
        <v>12400</v>
      </c>
      <c r="AC236" s="4">
        <v>4.96</v>
      </c>
      <c r="AD236" s="4">
        <v>116</v>
      </c>
      <c r="AE236" s="4">
        <v>302</v>
      </c>
      <c r="AF236" s="4">
        <v>1.27</v>
      </c>
      <c r="AG236" s="4" t="s">
        <v>520</v>
      </c>
      <c r="AH236" s="4">
        <v>12</v>
      </c>
      <c r="AI236" s="4">
        <v>26</v>
      </c>
    </row>
    <row r="237" spans="1:35" x14ac:dyDescent="0.25">
      <c r="A237" s="4"/>
      <c r="B237" s="5" t="s">
        <v>521</v>
      </c>
      <c r="C237" s="4" t="s">
        <v>284</v>
      </c>
      <c r="D237" s="4">
        <v>1</v>
      </c>
      <c r="E237" s="4"/>
      <c r="F237" s="4">
        <v>3</v>
      </c>
      <c r="G237" s="4">
        <v>306</v>
      </c>
      <c r="H237" s="4">
        <v>164</v>
      </c>
      <c r="I237" s="4">
        <v>7.4</v>
      </c>
      <c r="J237" s="4">
        <v>5</v>
      </c>
      <c r="K237" s="4">
        <v>11.1</v>
      </c>
      <c r="L237" s="4">
        <v>58.2</v>
      </c>
      <c r="M237" s="4">
        <v>24</v>
      </c>
      <c r="N237" s="4">
        <v>18</v>
      </c>
      <c r="O237" s="4">
        <v>310</v>
      </c>
      <c r="P237" s="4">
        <v>31</v>
      </c>
      <c r="Q237" s="4">
        <v>3930</v>
      </c>
      <c r="R237" s="4">
        <v>65.400000000000006</v>
      </c>
      <c r="S237" s="4">
        <v>428</v>
      </c>
      <c r="T237" s="4">
        <v>129</v>
      </c>
      <c r="U237" s="4">
        <v>476</v>
      </c>
      <c r="V237" s="4">
        <v>5.44</v>
      </c>
      <c r="W237" s="4">
        <v>66.400000000000006</v>
      </c>
      <c r="X237" s="4">
        <v>37.200000000000003</v>
      </c>
      <c r="Y237" s="4">
        <v>102</v>
      </c>
      <c r="Z237" s="4">
        <v>61.3</v>
      </c>
      <c r="AA237" s="4">
        <v>121</v>
      </c>
      <c r="AB237" s="4">
        <v>12200</v>
      </c>
      <c r="AC237" s="4">
        <v>3.71</v>
      </c>
      <c r="AD237" s="4">
        <v>87.8</v>
      </c>
      <c r="AE237" s="4">
        <v>234</v>
      </c>
      <c r="AF237" s="4">
        <v>1.26</v>
      </c>
      <c r="AG237" s="4" t="s">
        <v>522</v>
      </c>
      <c r="AH237" s="4">
        <v>12</v>
      </c>
      <c r="AI237" s="4">
        <v>21</v>
      </c>
    </row>
    <row r="238" spans="1:35" x14ac:dyDescent="0.25">
      <c r="A238" s="4" t="s">
        <v>59</v>
      </c>
      <c r="B238" s="6" t="s">
        <v>523</v>
      </c>
      <c r="C238" s="4" t="s">
        <v>59</v>
      </c>
      <c r="D238" s="4">
        <v>1</v>
      </c>
      <c r="E238" s="4"/>
      <c r="F238" s="4">
        <v>3</v>
      </c>
      <c r="G238" s="4">
        <v>313</v>
      </c>
      <c r="H238" s="4">
        <v>102</v>
      </c>
      <c r="I238" s="4">
        <v>10.8</v>
      </c>
      <c r="J238" s="4">
        <v>6.6</v>
      </c>
      <c r="K238" s="4">
        <v>4.72</v>
      </c>
      <c r="L238" s="4">
        <v>44.2</v>
      </c>
      <c r="M238" s="4">
        <v>23</v>
      </c>
      <c r="N238" s="4">
        <v>14</v>
      </c>
      <c r="O238" s="4">
        <v>310</v>
      </c>
      <c r="P238" s="4">
        <v>33</v>
      </c>
      <c r="Q238" s="4">
        <v>4180</v>
      </c>
      <c r="R238" s="4">
        <v>65</v>
      </c>
      <c r="S238" s="4">
        <v>415</v>
      </c>
      <c r="T238" s="4">
        <v>125</v>
      </c>
      <c r="U238" s="4">
        <v>480</v>
      </c>
      <c r="V238" s="4">
        <v>1.92</v>
      </c>
      <c r="W238" s="4">
        <v>37.6</v>
      </c>
      <c r="X238" s="4">
        <v>21.4</v>
      </c>
      <c r="Y238" s="4">
        <v>59.6</v>
      </c>
      <c r="Z238" s="4">
        <v>122</v>
      </c>
      <c r="AA238" s="4">
        <v>43.8</v>
      </c>
      <c r="AB238" s="4">
        <v>7710</v>
      </c>
      <c r="AC238" s="4">
        <v>2.12</v>
      </c>
      <c r="AD238" s="4">
        <v>77.8</v>
      </c>
      <c r="AE238" s="4">
        <v>237</v>
      </c>
      <c r="AF238" s="4">
        <v>1.02</v>
      </c>
      <c r="AG238" s="4" t="s">
        <v>524</v>
      </c>
      <c r="AH238" s="4">
        <v>12</v>
      </c>
      <c r="AI238" s="4">
        <v>22</v>
      </c>
    </row>
    <row r="239" spans="1:35" x14ac:dyDescent="0.25">
      <c r="A239" s="4"/>
      <c r="B239" s="6" t="s">
        <v>525</v>
      </c>
      <c r="C239" s="4" t="s">
        <v>59</v>
      </c>
      <c r="D239" s="4">
        <v>1</v>
      </c>
      <c r="E239" s="4"/>
      <c r="F239" s="4">
        <v>3</v>
      </c>
      <c r="G239" s="4">
        <v>309</v>
      </c>
      <c r="H239" s="4">
        <v>102</v>
      </c>
      <c r="I239" s="4">
        <v>8.9</v>
      </c>
      <c r="J239" s="4">
        <v>6</v>
      </c>
      <c r="K239" s="4">
        <v>5.73</v>
      </c>
      <c r="L239" s="4">
        <v>48.5</v>
      </c>
      <c r="M239" s="4">
        <v>22</v>
      </c>
      <c r="N239" s="4">
        <v>14</v>
      </c>
      <c r="O239" s="4">
        <v>310</v>
      </c>
      <c r="P239" s="4">
        <v>28</v>
      </c>
      <c r="Q239" s="4">
        <v>3610</v>
      </c>
      <c r="R239" s="4">
        <v>54.3</v>
      </c>
      <c r="S239" s="4">
        <v>351</v>
      </c>
      <c r="T239" s="4">
        <v>123</v>
      </c>
      <c r="U239" s="4">
        <v>407</v>
      </c>
      <c r="V239" s="4">
        <v>1.58</v>
      </c>
      <c r="W239" s="4">
        <v>31</v>
      </c>
      <c r="X239" s="4">
        <v>20.9</v>
      </c>
      <c r="Y239" s="4">
        <v>49.2</v>
      </c>
      <c r="Z239" s="4">
        <v>75.7</v>
      </c>
      <c r="AA239" s="4">
        <v>35.6</v>
      </c>
      <c r="AB239" s="4">
        <v>7650</v>
      </c>
      <c r="AC239" s="4">
        <v>1.74</v>
      </c>
      <c r="AD239" s="4">
        <v>64.099999999999994</v>
      </c>
      <c r="AE239" s="4">
        <v>200</v>
      </c>
      <c r="AF239" s="4">
        <v>1.01</v>
      </c>
      <c r="AG239" s="4" t="s">
        <v>526</v>
      </c>
      <c r="AH239" s="4">
        <v>12</v>
      </c>
      <c r="AI239" s="4">
        <v>19</v>
      </c>
    </row>
    <row r="240" spans="1:35" x14ac:dyDescent="0.25">
      <c r="A240" s="4"/>
      <c r="B240" s="6" t="s">
        <v>527</v>
      </c>
      <c r="C240" s="4" t="s">
        <v>59</v>
      </c>
      <c r="D240" s="4">
        <v>1</v>
      </c>
      <c r="E240" s="4"/>
      <c r="F240" s="4">
        <v>3</v>
      </c>
      <c r="G240" s="4">
        <v>305</v>
      </c>
      <c r="H240" s="4">
        <v>101</v>
      </c>
      <c r="I240" s="4">
        <v>6.7</v>
      </c>
      <c r="J240" s="4">
        <v>5.6</v>
      </c>
      <c r="K240" s="4">
        <v>7.54</v>
      </c>
      <c r="L240" s="4">
        <v>52.1</v>
      </c>
      <c r="M240" s="4">
        <v>19</v>
      </c>
      <c r="N240" s="4">
        <v>14</v>
      </c>
      <c r="O240" s="4">
        <v>310</v>
      </c>
      <c r="P240" s="4">
        <v>24</v>
      </c>
      <c r="Q240" s="4">
        <v>3040</v>
      </c>
      <c r="R240" s="4">
        <v>42.7</v>
      </c>
      <c r="S240" s="4">
        <v>280</v>
      </c>
      <c r="T240" s="4">
        <v>119</v>
      </c>
      <c r="U240" s="4">
        <v>328</v>
      </c>
      <c r="V240" s="4">
        <v>1.1599999999999999</v>
      </c>
      <c r="W240" s="4">
        <v>22.9</v>
      </c>
      <c r="X240" s="4">
        <v>19.5</v>
      </c>
      <c r="Y240" s="4">
        <v>36.700000000000003</v>
      </c>
      <c r="Z240" s="4">
        <v>42.5</v>
      </c>
      <c r="AA240" s="4">
        <v>25.7</v>
      </c>
      <c r="AB240" s="4">
        <v>7530</v>
      </c>
      <c r="AC240" s="4">
        <v>1.27</v>
      </c>
      <c r="AD240" s="4">
        <v>47.7</v>
      </c>
      <c r="AE240" s="4">
        <v>160</v>
      </c>
      <c r="AF240" s="4">
        <v>1</v>
      </c>
      <c r="AG240" s="4" t="s">
        <v>528</v>
      </c>
      <c r="AH240" s="4">
        <v>12</v>
      </c>
      <c r="AI240" s="4">
        <v>16</v>
      </c>
    </row>
    <row r="241" spans="1:35" x14ac:dyDescent="0.25">
      <c r="A241" s="4"/>
      <c r="B241" s="6" t="s">
        <v>529</v>
      </c>
      <c r="C241" s="4" t="s">
        <v>59</v>
      </c>
      <c r="D241" s="4">
        <v>1</v>
      </c>
      <c r="E241" s="4"/>
      <c r="F241" s="4">
        <v>3</v>
      </c>
      <c r="G241" s="4">
        <v>303</v>
      </c>
      <c r="H241" s="4">
        <v>101</v>
      </c>
      <c r="I241" s="4">
        <v>5.7</v>
      </c>
      <c r="J241" s="4">
        <v>5.0999999999999996</v>
      </c>
      <c r="K241" s="4">
        <v>8.86</v>
      </c>
      <c r="L241" s="4">
        <v>57.2</v>
      </c>
      <c r="M241" s="4">
        <v>18</v>
      </c>
      <c r="N241" s="4">
        <v>14</v>
      </c>
      <c r="O241" s="4">
        <v>310</v>
      </c>
      <c r="P241" s="4">
        <v>21</v>
      </c>
      <c r="Q241" s="4">
        <v>2690</v>
      </c>
      <c r="R241" s="4">
        <v>37</v>
      </c>
      <c r="S241" s="4">
        <v>244</v>
      </c>
      <c r="T241" s="4">
        <v>117</v>
      </c>
      <c r="U241" s="4">
        <v>287</v>
      </c>
      <c r="V241" s="4">
        <v>0.98299999999999998</v>
      </c>
      <c r="W241" s="4">
        <v>19.5</v>
      </c>
      <c r="X241" s="4">
        <v>19.100000000000001</v>
      </c>
      <c r="Y241" s="4">
        <v>31.2</v>
      </c>
      <c r="Z241" s="4">
        <v>29.4</v>
      </c>
      <c r="AA241" s="4">
        <v>21.7</v>
      </c>
      <c r="AB241" s="4">
        <v>7510</v>
      </c>
      <c r="AC241" s="4">
        <v>1.08</v>
      </c>
      <c r="AD241" s="4">
        <v>40.6</v>
      </c>
      <c r="AE241" s="4">
        <v>140</v>
      </c>
      <c r="AF241" s="4">
        <v>1</v>
      </c>
      <c r="AG241" s="4" t="s">
        <v>530</v>
      </c>
      <c r="AH241" s="4">
        <v>12</v>
      </c>
      <c r="AI241" s="4">
        <v>14</v>
      </c>
    </row>
    <row r="242" spans="1:35" x14ac:dyDescent="0.25">
      <c r="A242" s="4" t="s">
        <v>59</v>
      </c>
      <c r="B242" s="5" t="s">
        <v>531</v>
      </c>
      <c r="C242" s="4" t="s">
        <v>59</v>
      </c>
      <c r="D242" s="4">
        <v>1</v>
      </c>
      <c r="E242" s="4"/>
      <c r="F242" s="4">
        <v>1</v>
      </c>
      <c r="G242" s="4">
        <v>289</v>
      </c>
      <c r="H242" s="4">
        <v>265</v>
      </c>
      <c r="I242" s="4">
        <v>31.8</v>
      </c>
      <c r="J242" s="4">
        <v>19.2</v>
      </c>
      <c r="K242" s="4">
        <v>4.17</v>
      </c>
      <c r="L242" s="4">
        <v>11.7</v>
      </c>
      <c r="M242" s="4">
        <v>49</v>
      </c>
      <c r="N242" s="4">
        <v>25</v>
      </c>
      <c r="O242" s="4">
        <v>250</v>
      </c>
      <c r="P242" s="4">
        <v>167</v>
      </c>
      <c r="Q242" s="4">
        <v>21300</v>
      </c>
      <c r="R242" s="4">
        <v>300</v>
      </c>
      <c r="S242" s="4">
        <v>2080</v>
      </c>
      <c r="T242" s="4">
        <v>119</v>
      </c>
      <c r="U242" s="4">
        <v>2430</v>
      </c>
      <c r="V242" s="4">
        <v>98.8</v>
      </c>
      <c r="W242" s="4">
        <v>746</v>
      </c>
      <c r="X242" s="4">
        <v>68.099999999999994</v>
      </c>
      <c r="Y242" s="4">
        <v>1140</v>
      </c>
      <c r="Z242" s="4">
        <v>6310</v>
      </c>
      <c r="AA242" s="4">
        <v>1630</v>
      </c>
      <c r="AB242" s="4">
        <v>17000</v>
      </c>
      <c r="AC242" s="4">
        <v>35.9</v>
      </c>
      <c r="AD242" s="4">
        <v>503</v>
      </c>
      <c r="AE242" s="4">
        <v>1210</v>
      </c>
      <c r="AF242" s="4">
        <v>1.6</v>
      </c>
      <c r="AG242" s="4" t="s">
        <v>532</v>
      </c>
      <c r="AH242" s="4">
        <v>10</v>
      </c>
      <c r="AI242" s="4">
        <v>112</v>
      </c>
    </row>
    <row r="243" spans="1:35" x14ac:dyDescent="0.25">
      <c r="A243" s="4"/>
      <c r="B243" s="5" t="s">
        <v>533</v>
      </c>
      <c r="C243" s="4" t="s">
        <v>59</v>
      </c>
      <c r="D243" s="4">
        <v>1</v>
      </c>
      <c r="E243" s="4"/>
      <c r="F243" s="4">
        <v>1</v>
      </c>
      <c r="G243" s="4">
        <v>282</v>
      </c>
      <c r="H243" s="4">
        <v>263</v>
      </c>
      <c r="I243" s="4">
        <v>28.4</v>
      </c>
      <c r="J243" s="4">
        <v>17.3</v>
      </c>
      <c r="K243" s="4">
        <v>4.63</v>
      </c>
      <c r="L243" s="4">
        <v>13</v>
      </c>
      <c r="M243" s="4">
        <v>45</v>
      </c>
      <c r="N243" s="4">
        <v>24</v>
      </c>
      <c r="O243" s="4">
        <v>250</v>
      </c>
      <c r="P243" s="4">
        <v>149</v>
      </c>
      <c r="Q243" s="4">
        <v>19000</v>
      </c>
      <c r="R243" s="4">
        <v>259</v>
      </c>
      <c r="S243" s="4">
        <v>1840</v>
      </c>
      <c r="T243" s="4">
        <v>117</v>
      </c>
      <c r="U243" s="4">
        <v>2130</v>
      </c>
      <c r="V243" s="4">
        <v>86.2</v>
      </c>
      <c r="W243" s="4">
        <v>656</v>
      </c>
      <c r="X243" s="4">
        <v>67.400000000000006</v>
      </c>
      <c r="Y243" s="4">
        <v>1000</v>
      </c>
      <c r="Z243" s="4">
        <v>4510</v>
      </c>
      <c r="AA243" s="4">
        <v>1390</v>
      </c>
      <c r="AB243" s="4">
        <v>16700</v>
      </c>
      <c r="AC243" s="4">
        <v>31.1</v>
      </c>
      <c r="AD243" s="4">
        <v>442</v>
      </c>
      <c r="AE243" s="4">
        <v>1060</v>
      </c>
      <c r="AF243" s="4">
        <v>1.58</v>
      </c>
      <c r="AG243" s="4" t="s">
        <v>534</v>
      </c>
      <c r="AH243" s="4">
        <v>10</v>
      </c>
      <c r="AI243" s="4">
        <v>100</v>
      </c>
    </row>
    <row r="244" spans="1:35" x14ac:dyDescent="0.25">
      <c r="A244" s="4"/>
      <c r="B244" s="5" t="s">
        <v>535</v>
      </c>
      <c r="C244" s="4" t="s">
        <v>59</v>
      </c>
      <c r="D244" s="4">
        <v>1</v>
      </c>
      <c r="E244" s="4"/>
      <c r="F244" s="4">
        <v>1</v>
      </c>
      <c r="G244" s="4">
        <v>275</v>
      </c>
      <c r="H244" s="4">
        <v>261</v>
      </c>
      <c r="I244" s="4">
        <v>25.1</v>
      </c>
      <c r="J244" s="4">
        <v>15.4</v>
      </c>
      <c r="K244" s="4">
        <v>5.2</v>
      </c>
      <c r="L244" s="4">
        <v>14.6</v>
      </c>
      <c r="M244" s="4">
        <v>42</v>
      </c>
      <c r="N244" s="4">
        <v>23</v>
      </c>
      <c r="O244" s="4">
        <v>250</v>
      </c>
      <c r="P244" s="4">
        <v>131</v>
      </c>
      <c r="Q244" s="4">
        <v>16700</v>
      </c>
      <c r="R244" s="4">
        <v>221</v>
      </c>
      <c r="S244" s="4">
        <v>1610</v>
      </c>
      <c r="T244" s="4">
        <v>115</v>
      </c>
      <c r="U244" s="4">
        <v>1850</v>
      </c>
      <c r="V244" s="4">
        <v>74.5</v>
      </c>
      <c r="W244" s="4">
        <v>571</v>
      </c>
      <c r="X244" s="4">
        <v>66.8</v>
      </c>
      <c r="Y244" s="4">
        <v>870</v>
      </c>
      <c r="Z244" s="4">
        <v>3120</v>
      </c>
      <c r="AA244" s="4">
        <v>1160</v>
      </c>
      <c r="AB244" s="4">
        <v>16300</v>
      </c>
      <c r="AC244" s="4">
        <v>26.7</v>
      </c>
      <c r="AD244" s="4">
        <v>385</v>
      </c>
      <c r="AE244" s="4">
        <v>916</v>
      </c>
      <c r="AF244" s="4">
        <v>1.56</v>
      </c>
      <c r="AG244" s="4" t="s">
        <v>536</v>
      </c>
      <c r="AH244" s="4">
        <v>10</v>
      </c>
      <c r="AI244" s="4">
        <v>88</v>
      </c>
    </row>
    <row r="245" spans="1:35" x14ac:dyDescent="0.25">
      <c r="A245" s="4"/>
      <c r="B245" s="5" t="s">
        <v>537</v>
      </c>
      <c r="C245" s="4" t="s">
        <v>59</v>
      </c>
      <c r="D245" s="4">
        <v>1</v>
      </c>
      <c r="E245" s="4"/>
      <c r="F245" s="4">
        <v>1</v>
      </c>
      <c r="G245" s="4">
        <v>269</v>
      </c>
      <c r="H245" s="4">
        <v>259</v>
      </c>
      <c r="I245" s="4">
        <v>22.1</v>
      </c>
      <c r="J245" s="4">
        <v>13.5</v>
      </c>
      <c r="K245" s="4">
        <v>5.86</v>
      </c>
      <c r="L245" s="4">
        <v>16.7</v>
      </c>
      <c r="M245" s="4">
        <v>39</v>
      </c>
      <c r="N245" s="4">
        <v>22</v>
      </c>
      <c r="O245" s="4">
        <v>250</v>
      </c>
      <c r="P245" s="4">
        <v>115</v>
      </c>
      <c r="Q245" s="4">
        <v>14600</v>
      </c>
      <c r="R245" s="4">
        <v>189</v>
      </c>
      <c r="S245" s="4">
        <v>1410</v>
      </c>
      <c r="T245" s="4">
        <v>114</v>
      </c>
      <c r="U245" s="4">
        <v>1600</v>
      </c>
      <c r="V245" s="4">
        <v>64.099999999999994</v>
      </c>
      <c r="W245" s="4">
        <v>495</v>
      </c>
      <c r="X245" s="4">
        <v>66.2</v>
      </c>
      <c r="Y245" s="4">
        <v>753</v>
      </c>
      <c r="Z245" s="4">
        <v>2130</v>
      </c>
      <c r="AA245" s="4">
        <v>976</v>
      </c>
      <c r="AB245" s="4">
        <v>16000</v>
      </c>
      <c r="AC245" s="4">
        <v>22.9</v>
      </c>
      <c r="AD245" s="4">
        <v>335</v>
      </c>
      <c r="AE245" s="4">
        <v>792</v>
      </c>
      <c r="AF245" s="4">
        <v>1.55</v>
      </c>
      <c r="AG245" s="4" t="s">
        <v>538</v>
      </c>
      <c r="AH245" s="4">
        <v>10</v>
      </c>
      <c r="AI245" s="4">
        <v>77</v>
      </c>
    </row>
    <row r="246" spans="1:35" x14ac:dyDescent="0.25">
      <c r="A246" s="4"/>
      <c r="B246" s="5" t="s">
        <v>539</v>
      </c>
      <c r="C246" s="4" t="s">
        <v>59</v>
      </c>
      <c r="D246" s="4">
        <v>1</v>
      </c>
      <c r="E246" s="4"/>
      <c r="F246" s="4">
        <v>2</v>
      </c>
      <c r="G246" s="4">
        <v>264</v>
      </c>
      <c r="H246" s="4">
        <v>257</v>
      </c>
      <c r="I246" s="4">
        <v>19.600000000000001</v>
      </c>
      <c r="J246" s="4">
        <v>11.9</v>
      </c>
      <c r="K246" s="4">
        <v>6.56</v>
      </c>
      <c r="L246" s="4">
        <v>18.899999999999999</v>
      </c>
      <c r="M246" s="4">
        <v>36</v>
      </c>
      <c r="N246" s="4">
        <v>21</v>
      </c>
      <c r="O246" s="4">
        <v>250</v>
      </c>
      <c r="P246" s="4">
        <v>101</v>
      </c>
      <c r="Q246" s="4">
        <v>12900</v>
      </c>
      <c r="R246" s="4">
        <v>164</v>
      </c>
      <c r="S246" s="4">
        <v>1240</v>
      </c>
      <c r="T246" s="4">
        <v>113</v>
      </c>
      <c r="U246" s="4">
        <v>1400</v>
      </c>
      <c r="V246" s="4">
        <v>55.5</v>
      </c>
      <c r="W246" s="4">
        <v>432</v>
      </c>
      <c r="X246" s="4">
        <v>65.599999999999994</v>
      </c>
      <c r="Y246" s="4">
        <v>656</v>
      </c>
      <c r="Z246" s="4">
        <v>1490</v>
      </c>
      <c r="AA246" s="4">
        <v>829</v>
      </c>
      <c r="AB246" s="4">
        <v>15700</v>
      </c>
      <c r="AC246" s="4">
        <v>19.8</v>
      </c>
      <c r="AD246" s="4">
        <v>294</v>
      </c>
      <c r="AE246" s="4">
        <v>691</v>
      </c>
      <c r="AF246" s="4">
        <v>1.53</v>
      </c>
      <c r="AG246" s="4" t="s">
        <v>540</v>
      </c>
      <c r="AH246" s="4">
        <v>10</v>
      </c>
      <c r="AI246" s="4">
        <v>68</v>
      </c>
    </row>
    <row r="247" spans="1:35" x14ac:dyDescent="0.25">
      <c r="A247" s="4"/>
      <c r="B247" s="6" t="s">
        <v>541</v>
      </c>
      <c r="C247" s="4" t="s">
        <v>59</v>
      </c>
      <c r="D247" s="4">
        <v>1</v>
      </c>
      <c r="E247" s="4"/>
      <c r="F247" s="4">
        <v>2</v>
      </c>
      <c r="G247" s="4">
        <v>260</v>
      </c>
      <c r="H247" s="4">
        <v>256</v>
      </c>
      <c r="I247" s="4">
        <v>17.3</v>
      </c>
      <c r="J247" s="4">
        <v>10.7</v>
      </c>
      <c r="K247" s="4">
        <v>7.4</v>
      </c>
      <c r="L247" s="4">
        <v>21.1</v>
      </c>
      <c r="M247" s="4">
        <v>34</v>
      </c>
      <c r="N247" s="4">
        <v>21</v>
      </c>
      <c r="O247" s="4">
        <v>250</v>
      </c>
      <c r="P247" s="4">
        <v>89</v>
      </c>
      <c r="Q247" s="4">
        <v>11400</v>
      </c>
      <c r="R247" s="4">
        <v>143</v>
      </c>
      <c r="S247" s="4">
        <v>1100</v>
      </c>
      <c r="T247" s="4">
        <v>112</v>
      </c>
      <c r="U247" s="4">
        <v>1230</v>
      </c>
      <c r="V247" s="4">
        <v>48.4</v>
      </c>
      <c r="W247" s="4">
        <v>378</v>
      </c>
      <c r="X247" s="4">
        <v>65.099999999999994</v>
      </c>
      <c r="Y247" s="4">
        <v>574</v>
      </c>
      <c r="Z247" s="4">
        <v>1040</v>
      </c>
      <c r="AA247" s="4">
        <v>713</v>
      </c>
      <c r="AB247" s="4">
        <v>15500</v>
      </c>
      <c r="AC247" s="4">
        <v>17.2</v>
      </c>
      <c r="AD247" s="4">
        <v>257</v>
      </c>
      <c r="AE247" s="4">
        <v>605</v>
      </c>
      <c r="AF247" s="4">
        <v>1.52</v>
      </c>
      <c r="AG247" s="4" t="s">
        <v>542</v>
      </c>
      <c r="AH247" s="4">
        <v>10</v>
      </c>
      <c r="AI247" s="4">
        <v>60</v>
      </c>
    </row>
    <row r="248" spans="1:35" x14ac:dyDescent="0.25">
      <c r="A248" s="4"/>
      <c r="B248" s="6" t="s">
        <v>543</v>
      </c>
      <c r="C248" s="4" t="s">
        <v>59</v>
      </c>
      <c r="D248" s="4">
        <v>1</v>
      </c>
      <c r="E248" s="4"/>
      <c r="F248" s="4">
        <v>2</v>
      </c>
      <c r="G248" s="4">
        <v>256</v>
      </c>
      <c r="H248" s="4">
        <v>255</v>
      </c>
      <c r="I248" s="4">
        <v>15.6</v>
      </c>
      <c r="J248" s="4">
        <v>9.4</v>
      </c>
      <c r="K248" s="4">
        <v>8.17</v>
      </c>
      <c r="L248" s="4">
        <v>23.9</v>
      </c>
      <c r="M248" s="4">
        <v>32</v>
      </c>
      <c r="N248" s="4">
        <v>20</v>
      </c>
      <c r="O248" s="4">
        <v>250</v>
      </c>
      <c r="P248" s="4">
        <v>80</v>
      </c>
      <c r="Q248" s="4">
        <v>10200</v>
      </c>
      <c r="R248" s="4">
        <v>126</v>
      </c>
      <c r="S248" s="4">
        <v>982</v>
      </c>
      <c r="T248" s="4">
        <v>111</v>
      </c>
      <c r="U248" s="4">
        <v>1090</v>
      </c>
      <c r="V248" s="4">
        <v>43.1</v>
      </c>
      <c r="W248" s="4">
        <v>338</v>
      </c>
      <c r="X248" s="4">
        <v>65</v>
      </c>
      <c r="Y248" s="4">
        <v>513</v>
      </c>
      <c r="Z248" s="4">
        <v>757</v>
      </c>
      <c r="AA248" s="4">
        <v>623</v>
      </c>
      <c r="AB248" s="4">
        <v>15300</v>
      </c>
      <c r="AC248" s="4">
        <v>15.2</v>
      </c>
      <c r="AD248" s="4">
        <v>230</v>
      </c>
      <c r="AE248" s="4">
        <v>538</v>
      </c>
      <c r="AF248" s="4">
        <v>1.51</v>
      </c>
      <c r="AG248" s="4" t="s">
        <v>544</v>
      </c>
      <c r="AH248" s="4">
        <v>10</v>
      </c>
      <c r="AI248" s="4">
        <v>54</v>
      </c>
    </row>
    <row r="249" spans="1:35" x14ac:dyDescent="0.25">
      <c r="A249" s="4"/>
      <c r="B249" s="6" t="s">
        <v>545</v>
      </c>
      <c r="C249" s="4" t="s">
        <v>59</v>
      </c>
      <c r="D249" s="4">
        <v>1</v>
      </c>
      <c r="E249" s="4"/>
      <c r="F249" s="4">
        <v>2</v>
      </c>
      <c r="G249" s="4">
        <v>253</v>
      </c>
      <c r="H249" s="4">
        <v>254</v>
      </c>
      <c r="I249" s="4">
        <v>14.2</v>
      </c>
      <c r="J249" s="4">
        <v>8.6</v>
      </c>
      <c r="K249" s="4">
        <v>8.94</v>
      </c>
      <c r="L249" s="4">
        <v>26.1</v>
      </c>
      <c r="M249" s="4">
        <v>31</v>
      </c>
      <c r="N249" s="4">
        <v>20</v>
      </c>
      <c r="O249" s="4">
        <v>250</v>
      </c>
      <c r="P249" s="4">
        <v>73</v>
      </c>
      <c r="Q249" s="4">
        <v>9280</v>
      </c>
      <c r="R249" s="4">
        <v>113</v>
      </c>
      <c r="S249" s="4">
        <v>891</v>
      </c>
      <c r="T249" s="4">
        <v>110</v>
      </c>
      <c r="U249" s="4">
        <v>985</v>
      </c>
      <c r="V249" s="4">
        <v>38.799999999999997</v>
      </c>
      <c r="W249" s="4">
        <v>306</v>
      </c>
      <c r="X249" s="4">
        <v>64.599999999999994</v>
      </c>
      <c r="Y249" s="4">
        <v>463</v>
      </c>
      <c r="Z249" s="4">
        <v>575</v>
      </c>
      <c r="AA249" s="4">
        <v>553</v>
      </c>
      <c r="AB249" s="4">
        <v>15200</v>
      </c>
      <c r="AC249" s="4">
        <v>13.7</v>
      </c>
      <c r="AD249" s="4">
        <v>208</v>
      </c>
      <c r="AE249" s="4">
        <v>485</v>
      </c>
      <c r="AF249" s="4">
        <v>1.5</v>
      </c>
      <c r="AG249" s="4" t="s">
        <v>546</v>
      </c>
      <c r="AH249" s="4">
        <v>10</v>
      </c>
      <c r="AI249" s="4">
        <v>49</v>
      </c>
    </row>
    <row r="250" spans="1:35" x14ac:dyDescent="0.25">
      <c r="A250" s="4" t="s">
        <v>59</v>
      </c>
      <c r="B250" s="6" t="s">
        <v>547</v>
      </c>
      <c r="C250" s="4" t="s">
        <v>59</v>
      </c>
      <c r="D250" s="4">
        <v>1</v>
      </c>
      <c r="E250" s="4"/>
      <c r="F250" s="4">
        <v>2</v>
      </c>
      <c r="G250" s="4">
        <v>257</v>
      </c>
      <c r="H250" s="4">
        <v>204</v>
      </c>
      <c r="I250" s="4">
        <v>15.7</v>
      </c>
      <c r="J250" s="4">
        <v>8.9</v>
      </c>
      <c r="K250" s="4">
        <v>6.5</v>
      </c>
      <c r="L250" s="4">
        <v>25.3</v>
      </c>
      <c r="M250" s="4">
        <v>32</v>
      </c>
      <c r="N250" s="4">
        <v>20</v>
      </c>
      <c r="O250" s="4">
        <v>250</v>
      </c>
      <c r="P250" s="4">
        <v>67</v>
      </c>
      <c r="Q250" s="4">
        <v>8550</v>
      </c>
      <c r="R250" s="4">
        <v>104</v>
      </c>
      <c r="S250" s="4">
        <v>806</v>
      </c>
      <c r="T250" s="4">
        <v>110</v>
      </c>
      <c r="U250" s="4">
        <v>901</v>
      </c>
      <c r="V250" s="4">
        <v>22.2</v>
      </c>
      <c r="W250" s="4">
        <v>218</v>
      </c>
      <c r="X250" s="4">
        <v>51</v>
      </c>
      <c r="Y250" s="4">
        <v>332</v>
      </c>
      <c r="Z250" s="4">
        <v>625</v>
      </c>
      <c r="AA250" s="4">
        <v>324</v>
      </c>
      <c r="AB250" s="4">
        <v>12300</v>
      </c>
      <c r="AC250" s="4">
        <v>9.85</v>
      </c>
      <c r="AD250" s="4">
        <v>185</v>
      </c>
      <c r="AE250" s="4">
        <v>443</v>
      </c>
      <c r="AF250" s="4">
        <v>1.31</v>
      </c>
      <c r="AG250" s="4" t="s">
        <v>548</v>
      </c>
      <c r="AH250" s="4">
        <v>10</v>
      </c>
      <c r="AI250" s="4">
        <v>45</v>
      </c>
    </row>
    <row r="251" spans="1:35" x14ac:dyDescent="0.25">
      <c r="A251" s="4"/>
      <c r="B251" s="6" t="s">
        <v>549</v>
      </c>
      <c r="C251" s="4" t="s">
        <v>59</v>
      </c>
      <c r="D251" s="4">
        <v>1</v>
      </c>
      <c r="E251" s="4"/>
      <c r="F251" s="4">
        <v>2</v>
      </c>
      <c r="G251" s="4">
        <v>252</v>
      </c>
      <c r="H251" s="4">
        <v>203</v>
      </c>
      <c r="I251" s="4">
        <v>13.5</v>
      </c>
      <c r="J251" s="4">
        <v>8</v>
      </c>
      <c r="K251" s="4">
        <v>7.52</v>
      </c>
      <c r="L251" s="4">
        <v>28.1</v>
      </c>
      <c r="M251" s="4">
        <v>30</v>
      </c>
      <c r="N251" s="4">
        <v>19</v>
      </c>
      <c r="O251" s="4">
        <v>250</v>
      </c>
      <c r="P251" s="4">
        <v>58</v>
      </c>
      <c r="Q251" s="4">
        <v>7420</v>
      </c>
      <c r="R251" s="4">
        <v>87.3</v>
      </c>
      <c r="S251" s="4">
        <v>693</v>
      </c>
      <c r="T251" s="4">
        <v>108</v>
      </c>
      <c r="U251" s="4">
        <v>770</v>
      </c>
      <c r="V251" s="4">
        <v>18.8</v>
      </c>
      <c r="W251" s="4">
        <v>186</v>
      </c>
      <c r="X251" s="4">
        <v>50.4</v>
      </c>
      <c r="Y251" s="4">
        <v>283</v>
      </c>
      <c r="Z251" s="4">
        <v>409</v>
      </c>
      <c r="AA251" s="4">
        <v>268</v>
      </c>
      <c r="AB251" s="4">
        <v>12100</v>
      </c>
      <c r="AC251" s="4">
        <v>8.2899999999999991</v>
      </c>
      <c r="AD251" s="4">
        <v>157</v>
      </c>
      <c r="AE251" s="4">
        <v>377</v>
      </c>
      <c r="AF251" s="4">
        <v>1.3</v>
      </c>
      <c r="AG251" s="4" t="s">
        <v>550</v>
      </c>
      <c r="AH251" s="4">
        <v>10</v>
      </c>
      <c r="AI251" s="4">
        <v>39</v>
      </c>
    </row>
    <row r="252" spans="1:35" x14ac:dyDescent="0.25">
      <c r="A252" s="4"/>
      <c r="B252" s="6" t="s">
        <v>551</v>
      </c>
      <c r="C252" s="4" t="s">
        <v>59</v>
      </c>
      <c r="D252" s="4">
        <v>1</v>
      </c>
      <c r="E252" s="4"/>
      <c r="F252" s="4">
        <v>2</v>
      </c>
      <c r="G252" s="4">
        <v>247</v>
      </c>
      <c r="H252" s="4">
        <v>202</v>
      </c>
      <c r="I252" s="4">
        <v>11</v>
      </c>
      <c r="J252" s="4">
        <v>7.4</v>
      </c>
      <c r="K252" s="4">
        <v>9.18</v>
      </c>
      <c r="L252" s="4">
        <v>30.4</v>
      </c>
      <c r="M252" s="4">
        <v>28</v>
      </c>
      <c r="N252" s="4">
        <v>19</v>
      </c>
      <c r="O252" s="4">
        <v>250</v>
      </c>
      <c r="P252" s="4">
        <v>49</v>
      </c>
      <c r="Q252" s="4">
        <v>6250</v>
      </c>
      <c r="R252" s="4">
        <v>70.599999999999994</v>
      </c>
      <c r="S252" s="4">
        <v>572</v>
      </c>
      <c r="T252" s="4">
        <v>106</v>
      </c>
      <c r="U252" s="4">
        <v>633</v>
      </c>
      <c r="V252" s="4">
        <v>15.1</v>
      </c>
      <c r="W252" s="4">
        <v>150</v>
      </c>
      <c r="X252" s="4">
        <v>49.2</v>
      </c>
      <c r="Y252" s="4">
        <v>228</v>
      </c>
      <c r="Z252" s="4">
        <v>241</v>
      </c>
      <c r="AA252" s="4">
        <v>211</v>
      </c>
      <c r="AB252" s="4">
        <v>11900</v>
      </c>
      <c r="AC252" s="4">
        <v>6.62</v>
      </c>
      <c r="AD252" s="4">
        <v>126</v>
      </c>
      <c r="AE252" s="4">
        <v>309</v>
      </c>
      <c r="AF252" s="4">
        <v>1.29</v>
      </c>
      <c r="AG252" s="4" t="s">
        <v>552</v>
      </c>
      <c r="AH252" s="4">
        <v>10</v>
      </c>
      <c r="AI252" s="4">
        <v>33</v>
      </c>
    </row>
    <row r="253" spans="1:35" x14ac:dyDescent="0.25">
      <c r="A253" s="4" t="s">
        <v>59</v>
      </c>
      <c r="B253" s="6" t="s">
        <v>553</v>
      </c>
      <c r="C253" s="4" t="s">
        <v>59</v>
      </c>
      <c r="D253" s="4">
        <v>1</v>
      </c>
      <c r="E253" s="4"/>
      <c r="F253" s="4">
        <v>3</v>
      </c>
      <c r="G253" s="4">
        <v>266</v>
      </c>
      <c r="H253" s="4">
        <v>148</v>
      </c>
      <c r="I253" s="4">
        <v>13</v>
      </c>
      <c r="J253" s="4">
        <v>7.6</v>
      </c>
      <c r="K253" s="4">
        <v>5.69</v>
      </c>
      <c r="L253" s="4">
        <v>31.6</v>
      </c>
      <c r="M253" s="4">
        <v>27</v>
      </c>
      <c r="N253" s="4">
        <v>17</v>
      </c>
      <c r="O253" s="4">
        <v>250</v>
      </c>
      <c r="P253" s="4">
        <v>45</v>
      </c>
      <c r="Q253" s="4">
        <v>5720</v>
      </c>
      <c r="R253" s="4">
        <v>71.099999999999994</v>
      </c>
      <c r="S253" s="4">
        <v>534</v>
      </c>
      <c r="T253" s="4">
        <v>111</v>
      </c>
      <c r="U253" s="4">
        <v>602</v>
      </c>
      <c r="V253" s="4">
        <v>7.03</v>
      </c>
      <c r="W253" s="4">
        <v>95.1</v>
      </c>
      <c r="X253" s="4">
        <v>35.1</v>
      </c>
      <c r="Y253" s="4">
        <v>146</v>
      </c>
      <c r="Z253" s="4">
        <v>261</v>
      </c>
      <c r="AA253" s="4">
        <v>113</v>
      </c>
      <c r="AB253" s="4">
        <v>9360</v>
      </c>
      <c r="AC253" s="4">
        <v>4.5</v>
      </c>
      <c r="AD253" s="4">
        <v>115</v>
      </c>
      <c r="AE253" s="4">
        <v>298</v>
      </c>
      <c r="AF253" s="4">
        <v>1.1100000000000001</v>
      </c>
      <c r="AG253" s="4" t="s">
        <v>554</v>
      </c>
      <c r="AH253" s="4">
        <v>10</v>
      </c>
      <c r="AI253" s="4">
        <v>30</v>
      </c>
    </row>
    <row r="254" spans="1:35" x14ac:dyDescent="0.25">
      <c r="A254" s="4"/>
      <c r="B254" s="6" t="s">
        <v>555</v>
      </c>
      <c r="C254" s="4" t="s">
        <v>59</v>
      </c>
      <c r="D254" s="4">
        <v>1</v>
      </c>
      <c r="E254" s="4"/>
      <c r="F254" s="4">
        <v>3</v>
      </c>
      <c r="G254" s="4">
        <v>262</v>
      </c>
      <c r="H254" s="4">
        <v>147</v>
      </c>
      <c r="I254" s="4">
        <v>11.2</v>
      </c>
      <c r="J254" s="4">
        <v>6.6</v>
      </c>
      <c r="K254" s="4">
        <v>6.56</v>
      </c>
      <c r="L254" s="4">
        <v>36.299999999999997</v>
      </c>
      <c r="M254" s="4">
        <v>25</v>
      </c>
      <c r="N254" s="4">
        <v>16</v>
      </c>
      <c r="O254" s="4">
        <v>250</v>
      </c>
      <c r="P254" s="4">
        <v>39</v>
      </c>
      <c r="Q254" s="4">
        <v>4920</v>
      </c>
      <c r="R254" s="4">
        <v>60.1</v>
      </c>
      <c r="S254" s="4">
        <v>459</v>
      </c>
      <c r="T254" s="4">
        <v>110</v>
      </c>
      <c r="U254" s="4">
        <v>513</v>
      </c>
      <c r="V254" s="4">
        <v>5.94</v>
      </c>
      <c r="W254" s="4">
        <v>80.8</v>
      </c>
      <c r="X254" s="4">
        <v>34.700000000000003</v>
      </c>
      <c r="Y254" s="4">
        <v>124</v>
      </c>
      <c r="Z254" s="4">
        <v>169</v>
      </c>
      <c r="AA254" s="4">
        <v>93.4</v>
      </c>
      <c r="AB254" s="4">
        <v>9220</v>
      </c>
      <c r="AC254" s="4">
        <v>3.79</v>
      </c>
      <c r="AD254" s="4">
        <v>98.6</v>
      </c>
      <c r="AE254" s="4">
        <v>254</v>
      </c>
      <c r="AF254" s="4">
        <v>1.1000000000000001</v>
      </c>
      <c r="AG254" s="4" t="s">
        <v>556</v>
      </c>
      <c r="AH254" s="4">
        <v>10</v>
      </c>
      <c r="AI254" s="4">
        <v>26</v>
      </c>
    </row>
    <row r="255" spans="1:35" x14ac:dyDescent="0.25">
      <c r="A255" s="4"/>
      <c r="B255" s="6" t="s">
        <v>557</v>
      </c>
      <c r="C255" s="4" t="s">
        <v>59</v>
      </c>
      <c r="D255" s="4">
        <v>1</v>
      </c>
      <c r="E255" s="4"/>
      <c r="F255" s="4">
        <v>3</v>
      </c>
      <c r="G255" s="4">
        <v>258</v>
      </c>
      <c r="H255" s="4">
        <v>146</v>
      </c>
      <c r="I255" s="4">
        <v>9.1</v>
      </c>
      <c r="J255" s="4">
        <v>6.1</v>
      </c>
      <c r="K255" s="4">
        <v>8.02</v>
      </c>
      <c r="L255" s="4">
        <v>39.299999999999997</v>
      </c>
      <c r="M255" s="4">
        <v>23</v>
      </c>
      <c r="N255" s="4">
        <v>16</v>
      </c>
      <c r="O255" s="4">
        <v>250</v>
      </c>
      <c r="P255" s="4">
        <v>33</v>
      </c>
      <c r="Q255" s="4">
        <v>4170</v>
      </c>
      <c r="R255" s="4">
        <v>48.9</v>
      </c>
      <c r="S255" s="4">
        <v>379</v>
      </c>
      <c r="T255" s="4">
        <v>108</v>
      </c>
      <c r="U255" s="4">
        <v>424</v>
      </c>
      <c r="V255" s="4">
        <v>4.7300000000000004</v>
      </c>
      <c r="W255" s="4">
        <v>64.7</v>
      </c>
      <c r="X255" s="4">
        <v>33.700000000000003</v>
      </c>
      <c r="Y255" s="4">
        <v>99.5</v>
      </c>
      <c r="Z255" s="4">
        <v>98.5</v>
      </c>
      <c r="AA255" s="4">
        <v>73.2</v>
      </c>
      <c r="AB255" s="4">
        <v>9080</v>
      </c>
      <c r="AC255" s="4">
        <v>3.02</v>
      </c>
      <c r="AD255" s="4">
        <v>79.2</v>
      </c>
      <c r="AE255" s="4">
        <v>209</v>
      </c>
      <c r="AF255" s="4">
        <v>1.0900000000000001</v>
      </c>
      <c r="AG255" s="4" t="s">
        <v>558</v>
      </c>
      <c r="AH255" s="4">
        <v>10</v>
      </c>
      <c r="AI255" s="4">
        <v>22</v>
      </c>
    </row>
    <row r="256" spans="1:35" x14ac:dyDescent="0.25">
      <c r="A256" s="4"/>
      <c r="B256" s="5" t="s">
        <v>559</v>
      </c>
      <c r="C256" s="4" t="s">
        <v>284</v>
      </c>
      <c r="D256" s="4">
        <v>1</v>
      </c>
      <c r="E256" s="4"/>
      <c r="F256" s="4">
        <v>3</v>
      </c>
      <c r="G256" s="4">
        <v>253</v>
      </c>
      <c r="H256" s="4">
        <v>145</v>
      </c>
      <c r="I256" s="4">
        <v>6.4</v>
      </c>
      <c r="J256" s="4">
        <v>5</v>
      </c>
      <c r="K256" s="4">
        <v>11.3</v>
      </c>
      <c r="L256" s="4">
        <v>48</v>
      </c>
      <c r="M256" s="4">
        <v>21</v>
      </c>
      <c r="N256" s="4">
        <v>15</v>
      </c>
      <c r="O256" s="4">
        <v>250</v>
      </c>
      <c r="P256" s="4">
        <v>24</v>
      </c>
      <c r="Q256" s="4">
        <v>3110</v>
      </c>
      <c r="R256" s="4">
        <v>34.700000000000003</v>
      </c>
      <c r="S256" s="4">
        <v>274</v>
      </c>
      <c r="T256" s="4">
        <v>106</v>
      </c>
      <c r="U256" s="4">
        <v>307</v>
      </c>
      <c r="V256" s="4">
        <v>3.26</v>
      </c>
      <c r="W256" s="4">
        <v>44.9</v>
      </c>
      <c r="X256" s="4">
        <v>32.4</v>
      </c>
      <c r="Y256" s="4">
        <v>69</v>
      </c>
      <c r="Z256" s="4">
        <v>39.700000000000003</v>
      </c>
      <c r="AA256" s="4">
        <v>49.5</v>
      </c>
      <c r="AB256" s="4">
        <v>8940</v>
      </c>
      <c r="AC256" s="4">
        <v>2.0699999999999998</v>
      </c>
      <c r="AD256" s="4">
        <v>55.2</v>
      </c>
      <c r="AE256" s="4">
        <v>150</v>
      </c>
      <c r="AF256" s="4">
        <v>1.08</v>
      </c>
      <c r="AG256" s="4" t="s">
        <v>560</v>
      </c>
      <c r="AH256" s="4">
        <v>10</v>
      </c>
      <c r="AI256" s="4">
        <v>16</v>
      </c>
    </row>
    <row r="257" spans="1:35" x14ac:dyDescent="0.25">
      <c r="A257" s="4" t="s">
        <v>59</v>
      </c>
      <c r="B257" s="6" t="s">
        <v>561</v>
      </c>
      <c r="C257" s="4" t="s">
        <v>59</v>
      </c>
      <c r="D257" s="4">
        <v>1</v>
      </c>
      <c r="E257" s="4"/>
      <c r="F257" s="4">
        <v>3</v>
      </c>
      <c r="G257" s="4">
        <v>260</v>
      </c>
      <c r="H257" s="4">
        <v>102</v>
      </c>
      <c r="I257" s="4">
        <v>10</v>
      </c>
      <c r="J257" s="4">
        <v>6.4</v>
      </c>
      <c r="K257" s="4">
        <v>5.0999999999999996</v>
      </c>
      <c r="L257" s="4">
        <v>37.5</v>
      </c>
      <c r="M257" s="4">
        <v>23</v>
      </c>
      <c r="N257" s="4">
        <v>14</v>
      </c>
      <c r="O257" s="4">
        <v>250</v>
      </c>
      <c r="P257" s="4">
        <v>28</v>
      </c>
      <c r="Q257" s="4">
        <v>3630</v>
      </c>
      <c r="R257" s="4">
        <v>40</v>
      </c>
      <c r="S257" s="4">
        <v>307</v>
      </c>
      <c r="T257" s="4">
        <v>105</v>
      </c>
      <c r="U257" s="4">
        <v>353</v>
      </c>
      <c r="V257" s="4">
        <v>1.78</v>
      </c>
      <c r="W257" s="4">
        <v>34.799999999999997</v>
      </c>
      <c r="X257" s="4">
        <v>22.1</v>
      </c>
      <c r="Y257" s="4">
        <v>54.7</v>
      </c>
      <c r="Z257" s="4">
        <v>96.7</v>
      </c>
      <c r="AA257" s="4">
        <v>27.7</v>
      </c>
      <c r="AB257" s="4">
        <v>6380</v>
      </c>
      <c r="AC257" s="4">
        <v>1.63</v>
      </c>
      <c r="AD257" s="4">
        <v>59.8</v>
      </c>
      <c r="AE257" s="4">
        <v>174</v>
      </c>
      <c r="AF257" s="4">
        <v>0.91500000000000004</v>
      </c>
      <c r="AG257" s="4" t="s">
        <v>562</v>
      </c>
      <c r="AH257" s="4">
        <v>10</v>
      </c>
      <c r="AI257" s="4">
        <v>19</v>
      </c>
    </row>
    <row r="258" spans="1:35" x14ac:dyDescent="0.25">
      <c r="A258" s="4"/>
      <c r="B258" s="6" t="s">
        <v>563</v>
      </c>
      <c r="C258" s="4" t="s">
        <v>59</v>
      </c>
      <c r="D258" s="4">
        <v>1</v>
      </c>
      <c r="E258" s="4"/>
      <c r="F258" s="4">
        <v>3</v>
      </c>
      <c r="G258" s="4">
        <v>257</v>
      </c>
      <c r="H258" s="4">
        <v>102</v>
      </c>
      <c r="I258" s="4">
        <v>8.4</v>
      </c>
      <c r="J258" s="4">
        <v>6.1</v>
      </c>
      <c r="K258" s="4">
        <v>6.07</v>
      </c>
      <c r="L258" s="4">
        <v>39.4</v>
      </c>
      <c r="M258" s="4">
        <v>21</v>
      </c>
      <c r="N258" s="4">
        <v>14</v>
      </c>
      <c r="O258" s="4">
        <v>250</v>
      </c>
      <c r="P258" s="4">
        <v>25</v>
      </c>
      <c r="Q258" s="4">
        <v>3230</v>
      </c>
      <c r="R258" s="4">
        <v>34.200000000000003</v>
      </c>
      <c r="S258" s="4">
        <v>266</v>
      </c>
      <c r="T258" s="4">
        <v>103</v>
      </c>
      <c r="U258" s="4">
        <v>307</v>
      </c>
      <c r="V258" s="4">
        <v>1.49</v>
      </c>
      <c r="W258" s="4">
        <v>29.2</v>
      </c>
      <c r="X258" s="4">
        <v>21.5</v>
      </c>
      <c r="Y258" s="4">
        <v>46.2</v>
      </c>
      <c r="Z258" s="4">
        <v>65.2</v>
      </c>
      <c r="AA258" s="4">
        <v>23</v>
      </c>
      <c r="AB258" s="4">
        <v>6340</v>
      </c>
      <c r="AC258" s="4">
        <v>1.36</v>
      </c>
      <c r="AD258" s="4">
        <v>50.1</v>
      </c>
      <c r="AE258" s="4">
        <v>150</v>
      </c>
      <c r="AF258" s="4">
        <v>0.91</v>
      </c>
      <c r="AG258" s="4" t="s">
        <v>564</v>
      </c>
      <c r="AH258" s="4">
        <v>10</v>
      </c>
      <c r="AI258" s="4">
        <v>17</v>
      </c>
    </row>
    <row r="259" spans="1:35" x14ac:dyDescent="0.25">
      <c r="A259" s="4"/>
      <c r="B259" s="6" t="s">
        <v>565</v>
      </c>
      <c r="C259" s="4" t="s">
        <v>59</v>
      </c>
      <c r="D259" s="4">
        <v>1</v>
      </c>
      <c r="E259" s="4"/>
      <c r="F259" s="4">
        <v>3</v>
      </c>
      <c r="G259" s="4">
        <v>254</v>
      </c>
      <c r="H259" s="4">
        <v>102</v>
      </c>
      <c r="I259" s="4">
        <v>6.9</v>
      </c>
      <c r="J259" s="4">
        <v>5.8</v>
      </c>
      <c r="K259" s="4">
        <v>7.39</v>
      </c>
      <c r="L259" s="4">
        <v>41.4</v>
      </c>
      <c r="M259" s="4">
        <v>20</v>
      </c>
      <c r="N259" s="4">
        <v>14</v>
      </c>
      <c r="O259" s="4">
        <v>250</v>
      </c>
      <c r="P259" s="4">
        <v>22</v>
      </c>
      <c r="Q259" s="4">
        <v>2850</v>
      </c>
      <c r="R259" s="4">
        <v>28.9</v>
      </c>
      <c r="S259" s="4">
        <v>227</v>
      </c>
      <c r="T259" s="4">
        <v>101</v>
      </c>
      <c r="U259" s="4">
        <v>263</v>
      </c>
      <c r="V259" s="4">
        <v>1.23</v>
      </c>
      <c r="W259" s="4">
        <v>24</v>
      </c>
      <c r="X259" s="4">
        <v>20.7</v>
      </c>
      <c r="Y259" s="4">
        <v>38.1</v>
      </c>
      <c r="Z259" s="4">
        <v>43.4</v>
      </c>
      <c r="AA259" s="4">
        <v>18.7</v>
      </c>
      <c r="AB259" s="4">
        <v>6300</v>
      </c>
      <c r="AC259" s="4">
        <v>1.1100000000000001</v>
      </c>
      <c r="AD259" s="4">
        <v>41</v>
      </c>
      <c r="AE259" s="4">
        <v>129</v>
      </c>
      <c r="AF259" s="4">
        <v>0.90400000000000003</v>
      </c>
      <c r="AG259" s="4" t="s">
        <v>566</v>
      </c>
      <c r="AH259" s="4">
        <v>10</v>
      </c>
      <c r="AI259" s="4">
        <v>15</v>
      </c>
    </row>
    <row r="260" spans="1:35" x14ac:dyDescent="0.25">
      <c r="A260" s="4"/>
      <c r="B260" s="6" t="s">
        <v>567</v>
      </c>
      <c r="C260" s="4" t="s">
        <v>59</v>
      </c>
      <c r="D260" s="4">
        <v>1</v>
      </c>
      <c r="E260" s="4"/>
      <c r="F260" s="4">
        <v>3</v>
      </c>
      <c r="G260" s="4">
        <v>251</v>
      </c>
      <c r="H260" s="4">
        <v>101</v>
      </c>
      <c r="I260" s="4">
        <v>5.3</v>
      </c>
      <c r="J260" s="4">
        <v>4.8</v>
      </c>
      <c r="K260" s="4">
        <v>9.5299999999999994</v>
      </c>
      <c r="L260" s="4">
        <v>50.1</v>
      </c>
      <c r="M260" s="4">
        <v>18</v>
      </c>
      <c r="N260" s="4">
        <v>14</v>
      </c>
      <c r="O260" s="4">
        <v>250</v>
      </c>
      <c r="P260" s="4">
        <v>18</v>
      </c>
      <c r="Q260" s="4">
        <v>2270</v>
      </c>
      <c r="R260" s="4">
        <v>22.4</v>
      </c>
      <c r="S260" s="4">
        <v>179</v>
      </c>
      <c r="T260" s="4">
        <v>99.3</v>
      </c>
      <c r="U260" s="4">
        <v>207</v>
      </c>
      <c r="V260" s="4">
        <v>0.91300000000000003</v>
      </c>
      <c r="W260" s="4">
        <v>18.100000000000001</v>
      </c>
      <c r="X260" s="4">
        <v>20</v>
      </c>
      <c r="Y260" s="4">
        <v>28.6</v>
      </c>
      <c r="Z260" s="4">
        <v>22.4</v>
      </c>
      <c r="AA260" s="4">
        <v>13.8</v>
      </c>
      <c r="AB260" s="4">
        <v>6200</v>
      </c>
      <c r="AC260" s="4">
        <v>0.83</v>
      </c>
      <c r="AD260" s="4">
        <v>31.3</v>
      </c>
      <c r="AE260" s="4">
        <v>100</v>
      </c>
      <c r="AF260" s="4">
        <v>0.89600000000000002</v>
      </c>
      <c r="AG260" s="4" t="s">
        <v>568</v>
      </c>
      <c r="AH260" s="4">
        <v>10</v>
      </c>
      <c r="AI260" s="4">
        <v>12</v>
      </c>
    </row>
    <row r="261" spans="1:35" x14ac:dyDescent="0.25">
      <c r="A261" s="4" t="s">
        <v>59</v>
      </c>
      <c r="B261" s="6" t="s">
        <v>569</v>
      </c>
      <c r="C261" s="4" t="s">
        <v>59</v>
      </c>
      <c r="D261" s="4">
        <v>1</v>
      </c>
      <c r="E261" s="4"/>
      <c r="F261" s="4">
        <v>2</v>
      </c>
      <c r="G261" s="4">
        <v>229</v>
      </c>
      <c r="H261" s="4">
        <v>210</v>
      </c>
      <c r="I261" s="4">
        <v>23.7</v>
      </c>
      <c r="J261" s="4">
        <v>14.5</v>
      </c>
      <c r="K261" s="4">
        <v>4.43</v>
      </c>
      <c r="L261" s="4">
        <v>12.5</v>
      </c>
      <c r="M261" s="4">
        <v>40</v>
      </c>
      <c r="N261" s="4">
        <v>22</v>
      </c>
      <c r="O261" s="4">
        <v>200</v>
      </c>
      <c r="P261" s="4">
        <v>100</v>
      </c>
      <c r="Q261" s="4">
        <v>12700</v>
      </c>
      <c r="R261" s="4">
        <v>113</v>
      </c>
      <c r="S261" s="4">
        <v>989</v>
      </c>
      <c r="T261" s="4">
        <v>94.5</v>
      </c>
      <c r="U261" s="4">
        <v>1150</v>
      </c>
      <c r="V261" s="4">
        <v>36.6</v>
      </c>
      <c r="W261" s="4">
        <v>349</v>
      </c>
      <c r="X261" s="4">
        <v>53.8</v>
      </c>
      <c r="Y261" s="4">
        <v>533</v>
      </c>
      <c r="Z261" s="4">
        <v>2090</v>
      </c>
      <c r="AA261" s="4">
        <v>386</v>
      </c>
      <c r="AB261" s="4">
        <v>10800</v>
      </c>
      <c r="AC261" s="4">
        <v>13.4</v>
      </c>
      <c r="AD261" s="4">
        <v>238</v>
      </c>
      <c r="AE261" s="4">
        <v>571</v>
      </c>
      <c r="AF261" s="4">
        <v>1.27</v>
      </c>
      <c r="AG261" s="4" t="s">
        <v>570</v>
      </c>
      <c r="AH261" s="4">
        <v>8</v>
      </c>
      <c r="AI261" s="4">
        <v>67</v>
      </c>
    </row>
    <row r="262" spans="1:35" x14ac:dyDescent="0.25">
      <c r="A262" s="4"/>
      <c r="B262" s="6" t="s">
        <v>571</v>
      </c>
      <c r="C262" s="4" t="s">
        <v>59</v>
      </c>
      <c r="D262" s="4">
        <v>1</v>
      </c>
      <c r="E262" s="4"/>
      <c r="F262" s="4">
        <v>2</v>
      </c>
      <c r="G262" s="4">
        <v>222</v>
      </c>
      <c r="H262" s="4">
        <v>209</v>
      </c>
      <c r="I262" s="4">
        <v>20.6</v>
      </c>
      <c r="J262" s="4">
        <v>13</v>
      </c>
      <c r="K262" s="4">
        <v>5.07</v>
      </c>
      <c r="L262" s="4">
        <v>13.9</v>
      </c>
      <c r="M262" s="4">
        <v>37</v>
      </c>
      <c r="N262" s="4">
        <v>22</v>
      </c>
      <c r="O262" s="4">
        <v>200</v>
      </c>
      <c r="P262" s="4">
        <v>86</v>
      </c>
      <c r="Q262" s="4">
        <v>11000</v>
      </c>
      <c r="R262" s="4">
        <v>94.7</v>
      </c>
      <c r="S262" s="4">
        <v>853</v>
      </c>
      <c r="T262" s="4">
        <v>92.6</v>
      </c>
      <c r="U262" s="4">
        <v>981</v>
      </c>
      <c r="V262" s="4">
        <v>31.4</v>
      </c>
      <c r="W262" s="4">
        <v>300</v>
      </c>
      <c r="X262" s="4">
        <v>53.3</v>
      </c>
      <c r="Y262" s="4">
        <v>458</v>
      </c>
      <c r="Z262" s="4">
        <v>1390</v>
      </c>
      <c r="AA262" s="4">
        <v>318</v>
      </c>
      <c r="AB262" s="4">
        <v>10500</v>
      </c>
      <c r="AC262" s="4">
        <v>11.3</v>
      </c>
      <c r="AD262" s="4">
        <v>203</v>
      </c>
      <c r="AE262" s="4">
        <v>487</v>
      </c>
      <c r="AF262" s="4">
        <v>1.25</v>
      </c>
      <c r="AG262" s="4" t="s">
        <v>572</v>
      </c>
      <c r="AH262" s="4">
        <v>8</v>
      </c>
      <c r="AI262" s="4">
        <v>58</v>
      </c>
    </row>
    <row r="263" spans="1:35" x14ac:dyDescent="0.25">
      <c r="A263" s="4"/>
      <c r="B263" s="6" t="s">
        <v>573</v>
      </c>
      <c r="C263" s="4" t="s">
        <v>59</v>
      </c>
      <c r="D263" s="4">
        <v>1</v>
      </c>
      <c r="E263" s="4"/>
      <c r="F263" s="4">
        <v>2</v>
      </c>
      <c r="G263" s="4">
        <v>216</v>
      </c>
      <c r="H263" s="4">
        <v>206</v>
      </c>
      <c r="I263" s="4">
        <v>17.399999999999999</v>
      </c>
      <c r="J263" s="4">
        <v>10.199999999999999</v>
      </c>
      <c r="K263" s="4">
        <v>5.92</v>
      </c>
      <c r="L263" s="4">
        <v>17.8</v>
      </c>
      <c r="M263" s="4">
        <v>34</v>
      </c>
      <c r="N263" s="4">
        <v>20</v>
      </c>
      <c r="O263" s="4">
        <v>200</v>
      </c>
      <c r="P263" s="4">
        <v>71</v>
      </c>
      <c r="Q263" s="4">
        <v>9100</v>
      </c>
      <c r="R263" s="4">
        <v>76.599999999999994</v>
      </c>
      <c r="S263" s="4">
        <v>709</v>
      </c>
      <c r="T263" s="4">
        <v>91.7</v>
      </c>
      <c r="U263" s="4">
        <v>803</v>
      </c>
      <c r="V263" s="4">
        <v>25.4</v>
      </c>
      <c r="W263" s="4">
        <v>246</v>
      </c>
      <c r="X263" s="4">
        <v>52.8</v>
      </c>
      <c r="Y263" s="4">
        <v>375</v>
      </c>
      <c r="Z263" s="4">
        <v>817</v>
      </c>
      <c r="AA263" s="4">
        <v>250</v>
      </c>
      <c r="AB263" s="4">
        <v>10200</v>
      </c>
      <c r="AC263" s="4">
        <v>9.17</v>
      </c>
      <c r="AD263" s="4">
        <v>169</v>
      </c>
      <c r="AE263" s="4">
        <v>398</v>
      </c>
      <c r="AF263" s="4">
        <v>1.24</v>
      </c>
      <c r="AG263" s="4" t="s">
        <v>574</v>
      </c>
      <c r="AH263" s="4">
        <v>8</v>
      </c>
      <c r="AI263" s="4">
        <v>48</v>
      </c>
    </row>
    <row r="264" spans="1:35" x14ac:dyDescent="0.25">
      <c r="A264" s="4"/>
      <c r="B264" s="6" t="s">
        <v>575</v>
      </c>
      <c r="C264" s="4" t="s">
        <v>59</v>
      </c>
      <c r="D264" s="4">
        <v>1</v>
      </c>
      <c r="E264" s="4"/>
      <c r="F264" s="4">
        <v>2</v>
      </c>
      <c r="G264" s="4">
        <v>210</v>
      </c>
      <c r="H264" s="4">
        <v>205</v>
      </c>
      <c r="I264" s="4">
        <v>14.2</v>
      </c>
      <c r="J264" s="4">
        <v>9.1</v>
      </c>
      <c r="K264" s="4">
        <v>7.22</v>
      </c>
      <c r="L264" s="4">
        <v>20</v>
      </c>
      <c r="M264" s="4">
        <v>31</v>
      </c>
      <c r="N264" s="4">
        <v>20</v>
      </c>
      <c r="O264" s="4">
        <v>200</v>
      </c>
      <c r="P264" s="4">
        <v>59</v>
      </c>
      <c r="Q264" s="4">
        <v>7560</v>
      </c>
      <c r="R264" s="4">
        <v>61.1</v>
      </c>
      <c r="S264" s="4">
        <v>582</v>
      </c>
      <c r="T264" s="4">
        <v>89.9</v>
      </c>
      <c r="U264" s="4">
        <v>653</v>
      </c>
      <c r="V264" s="4">
        <v>20.399999999999999</v>
      </c>
      <c r="W264" s="4">
        <v>199</v>
      </c>
      <c r="X264" s="4">
        <v>52</v>
      </c>
      <c r="Y264" s="4">
        <v>303</v>
      </c>
      <c r="Z264" s="4">
        <v>463</v>
      </c>
      <c r="AA264" s="4">
        <v>196</v>
      </c>
      <c r="AB264" s="4">
        <v>10000</v>
      </c>
      <c r="AC264" s="4">
        <v>7.3</v>
      </c>
      <c r="AD264" s="4">
        <v>136</v>
      </c>
      <c r="AE264" s="4">
        <v>323</v>
      </c>
      <c r="AF264" s="4">
        <v>1.22</v>
      </c>
      <c r="AG264" s="4" t="s">
        <v>576</v>
      </c>
      <c r="AH264" s="4">
        <v>8</v>
      </c>
      <c r="AI264" s="4">
        <v>40</v>
      </c>
    </row>
    <row r="265" spans="1:35" x14ac:dyDescent="0.25">
      <c r="A265" s="4"/>
      <c r="B265" s="6" t="s">
        <v>577</v>
      </c>
      <c r="C265" s="4" t="s">
        <v>59</v>
      </c>
      <c r="D265" s="4">
        <v>1</v>
      </c>
      <c r="E265" s="4"/>
      <c r="F265" s="4">
        <v>2</v>
      </c>
      <c r="G265" s="4">
        <v>206</v>
      </c>
      <c r="H265" s="4">
        <v>204</v>
      </c>
      <c r="I265" s="4">
        <v>12.6</v>
      </c>
      <c r="J265" s="4">
        <v>7.9</v>
      </c>
      <c r="K265" s="4">
        <v>8.1</v>
      </c>
      <c r="L265" s="4">
        <v>22.9</v>
      </c>
      <c r="M265" s="4">
        <v>29</v>
      </c>
      <c r="N265" s="4">
        <v>19</v>
      </c>
      <c r="O265" s="4">
        <v>200</v>
      </c>
      <c r="P265" s="4">
        <v>52</v>
      </c>
      <c r="Q265" s="4">
        <v>6650</v>
      </c>
      <c r="R265" s="4">
        <v>52.7</v>
      </c>
      <c r="S265" s="4">
        <v>512</v>
      </c>
      <c r="T265" s="4">
        <v>89</v>
      </c>
      <c r="U265" s="4">
        <v>569</v>
      </c>
      <c r="V265" s="4">
        <v>17.8</v>
      </c>
      <c r="W265" s="4">
        <v>175</v>
      </c>
      <c r="X265" s="4">
        <v>51.8</v>
      </c>
      <c r="Y265" s="4">
        <v>266</v>
      </c>
      <c r="Z265" s="4">
        <v>323</v>
      </c>
      <c r="AA265" s="4">
        <v>167</v>
      </c>
      <c r="AB265" s="4">
        <v>9860</v>
      </c>
      <c r="AC265" s="4">
        <v>6.34</v>
      </c>
      <c r="AD265" s="4">
        <v>119</v>
      </c>
      <c r="AE265" s="4">
        <v>281</v>
      </c>
      <c r="AF265" s="4">
        <v>1.21</v>
      </c>
      <c r="AG265" s="4" t="s">
        <v>578</v>
      </c>
      <c r="AH265" s="4">
        <v>8</v>
      </c>
      <c r="AI265" s="4">
        <v>35</v>
      </c>
    </row>
    <row r="266" spans="1:35" x14ac:dyDescent="0.25">
      <c r="A266" s="4"/>
      <c r="B266" s="6" t="s">
        <v>579</v>
      </c>
      <c r="C266" s="4" t="s">
        <v>59</v>
      </c>
      <c r="D266" s="4">
        <v>1</v>
      </c>
      <c r="E266" s="4"/>
      <c r="F266" s="4">
        <v>2</v>
      </c>
      <c r="G266" s="4">
        <v>203</v>
      </c>
      <c r="H266" s="4">
        <v>203</v>
      </c>
      <c r="I266" s="4">
        <v>11</v>
      </c>
      <c r="J266" s="4">
        <v>7.2</v>
      </c>
      <c r="K266" s="4">
        <v>9.23</v>
      </c>
      <c r="L266" s="4">
        <v>25.1</v>
      </c>
      <c r="M266" s="4">
        <v>28</v>
      </c>
      <c r="N266" s="4">
        <v>19</v>
      </c>
      <c r="O266" s="4">
        <v>200</v>
      </c>
      <c r="P266" s="4">
        <v>46</v>
      </c>
      <c r="Q266" s="4">
        <v>5860</v>
      </c>
      <c r="R266" s="4">
        <v>45.4</v>
      </c>
      <c r="S266" s="4">
        <v>448</v>
      </c>
      <c r="T266" s="4">
        <v>88.1</v>
      </c>
      <c r="U266" s="4">
        <v>495</v>
      </c>
      <c r="V266" s="4">
        <v>15.3</v>
      </c>
      <c r="W266" s="4">
        <v>151</v>
      </c>
      <c r="X266" s="4">
        <v>51.2</v>
      </c>
      <c r="Y266" s="4">
        <v>229</v>
      </c>
      <c r="Z266" s="4">
        <v>220</v>
      </c>
      <c r="AA266" s="4">
        <v>141</v>
      </c>
      <c r="AB266" s="4">
        <v>9740</v>
      </c>
      <c r="AC266" s="4">
        <v>5.44</v>
      </c>
      <c r="AD266" s="4">
        <v>103</v>
      </c>
      <c r="AE266" s="4">
        <v>244</v>
      </c>
      <c r="AF266" s="4">
        <v>1.2</v>
      </c>
      <c r="AG266" s="4" t="s">
        <v>580</v>
      </c>
      <c r="AH266" s="4">
        <v>8</v>
      </c>
      <c r="AI266" s="4">
        <v>31</v>
      </c>
    </row>
    <row r="267" spans="1:35" x14ac:dyDescent="0.25">
      <c r="A267" s="4" t="s">
        <v>59</v>
      </c>
      <c r="B267" s="6" t="s">
        <v>581</v>
      </c>
      <c r="C267" s="4" t="s">
        <v>59</v>
      </c>
      <c r="D267" s="4">
        <v>1</v>
      </c>
      <c r="E267" s="4"/>
      <c r="F267" s="4">
        <v>2</v>
      </c>
      <c r="G267" s="4">
        <v>205</v>
      </c>
      <c r="H267" s="4">
        <v>166</v>
      </c>
      <c r="I267" s="4">
        <v>11.8</v>
      </c>
      <c r="J267" s="4">
        <v>7.2</v>
      </c>
      <c r="K267" s="4">
        <v>7.03</v>
      </c>
      <c r="L267" s="4">
        <v>25.2</v>
      </c>
      <c r="M267" s="4">
        <v>24</v>
      </c>
      <c r="N267" s="4">
        <v>15</v>
      </c>
      <c r="O267" s="4">
        <v>200</v>
      </c>
      <c r="P267" s="4">
        <v>42</v>
      </c>
      <c r="Q267" s="4">
        <v>5310</v>
      </c>
      <c r="R267" s="4">
        <v>40.9</v>
      </c>
      <c r="S267" s="4">
        <v>399</v>
      </c>
      <c r="T267" s="4">
        <v>87.7</v>
      </c>
      <c r="U267" s="4">
        <v>445</v>
      </c>
      <c r="V267" s="4">
        <v>9</v>
      </c>
      <c r="W267" s="4">
        <v>108</v>
      </c>
      <c r="X267" s="4">
        <v>41.2</v>
      </c>
      <c r="Y267" s="4">
        <v>165</v>
      </c>
      <c r="Z267" s="4">
        <v>222</v>
      </c>
      <c r="AA267" s="4">
        <v>84</v>
      </c>
      <c r="AB267" s="4">
        <v>8020</v>
      </c>
      <c r="AC267" s="4">
        <v>3.93</v>
      </c>
      <c r="AD267" s="4">
        <v>90.5</v>
      </c>
      <c r="AE267" s="4">
        <v>219</v>
      </c>
      <c r="AF267" s="4">
        <v>1.06</v>
      </c>
      <c r="AG267" s="4" t="s">
        <v>582</v>
      </c>
      <c r="AH267" s="4">
        <v>8</v>
      </c>
      <c r="AI267" s="4">
        <v>28</v>
      </c>
    </row>
    <row r="268" spans="1:35" x14ac:dyDescent="0.25">
      <c r="A268" s="4"/>
      <c r="B268" s="6" t="s">
        <v>583</v>
      </c>
      <c r="C268" s="4" t="s">
        <v>59</v>
      </c>
      <c r="D268" s="4">
        <v>1</v>
      </c>
      <c r="E268" s="4"/>
      <c r="F268" s="4">
        <v>2</v>
      </c>
      <c r="G268" s="4">
        <v>201</v>
      </c>
      <c r="H268" s="4">
        <v>165</v>
      </c>
      <c r="I268" s="4">
        <v>10.199999999999999</v>
      </c>
      <c r="J268" s="4">
        <v>6.2</v>
      </c>
      <c r="K268" s="4">
        <v>8.09</v>
      </c>
      <c r="L268" s="4">
        <v>29.1</v>
      </c>
      <c r="M268" s="4">
        <v>23</v>
      </c>
      <c r="N268" s="4">
        <v>14</v>
      </c>
      <c r="O268" s="4">
        <v>200</v>
      </c>
      <c r="P268" s="4">
        <v>36</v>
      </c>
      <c r="Q268" s="4">
        <v>4570</v>
      </c>
      <c r="R268" s="4">
        <v>34.4</v>
      </c>
      <c r="S268" s="4">
        <v>342</v>
      </c>
      <c r="T268" s="4">
        <v>86.7</v>
      </c>
      <c r="U268" s="4">
        <v>379</v>
      </c>
      <c r="V268" s="4">
        <v>7.64</v>
      </c>
      <c r="W268" s="4">
        <v>92.6</v>
      </c>
      <c r="X268" s="4">
        <v>40.9</v>
      </c>
      <c r="Y268" s="4">
        <v>141</v>
      </c>
      <c r="Z268" s="4">
        <v>145</v>
      </c>
      <c r="AA268" s="4">
        <v>69.599999999999994</v>
      </c>
      <c r="AB268" s="4">
        <v>7870</v>
      </c>
      <c r="AC268" s="4">
        <v>3.31</v>
      </c>
      <c r="AD268" s="4">
        <v>77.3</v>
      </c>
      <c r="AE268" s="4">
        <v>186</v>
      </c>
      <c r="AF268" s="4">
        <v>1.05</v>
      </c>
      <c r="AG268" s="4" t="s">
        <v>584</v>
      </c>
      <c r="AH268" s="4">
        <v>8</v>
      </c>
      <c r="AI268" s="4">
        <v>24</v>
      </c>
    </row>
    <row r="269" spans="1:35" x14ac:dyDescent="0.25">
      <c r="A269" s="4" t="s">
        <v>59</v>
      </c>
      <c r="B269" s="6" t="s">
        <v>585</v>
      </c>
      <c r="C269" s="4" t="s">
        <v>59</v>
      </c>
      <c r="D269" s="4">
        <v>1</v>
      </c>
      <c r="E269" s="4"/>
      <c r="F269" s="4">
        <v>2</v>
      </c>
      <c r="G269" s="4">
        <v>210</v>
      </c>
      <c r="H269" s="4">
        <v>134</v>
      </c>
      <c r="I269" s="4">
        <v>10.199999999999999</v>
      </c>
      <c r="J269" s="4">
        <v>6.4</v>
      </c>
      <c r="K269" s="4">
        <v>6.57</v>
      </c>
      <c r="L269" s="4">
        <v>29.6</v>
      </c>
      <c r="M269" s="4">
        <v>22</v>
      </c>
      <c r="N269" s="4">
        <v>13</v>
      </c>
      <c r="O269" s="4">
        <v>200</v>
      </c>
      <c r="P269" s="4">
        <v>31</v>
      </c>
      <c r="Q269" s="4">
        <v>4000</v>
      </c>
      <c r="R269" s="4">
        <v>31.4</v>
      </c>
      <c r="S269" s="4">
        <v>299</v>
      </c>
      <c r="T269" s="4">
        <v>88.6</v>
      </c>
      <c r="U269" s="4">
        <v>335</v>
      </c>
      <c r="V269" s="4">
        <v>4.0999999999999996</v>
      </c>
      <c r="W269" s="4">
        <v>61.1</v>
      </c>
      <c r="X269" s="4">
        <v>32</v>
      </c>
      <c r="Y269" s="4">
        <v>93.8</v>
      </c>
      <c r="Z269" s="4">
        <v>119</v>
      </c>
      <c r="AA269" s="4">
        <v>40.9</v>
      </c>
      <c r="AB269" s="4">
        <v>6690</v>
      </c>
      <c r="AC269" s="4">
        <v>2.29</v>
      </c>
      <c r="AD269" s="4">
        <v>65</v>
      </c>
      <c r="AE269" s="4">
        <v>165</v>
      </c>
      <c r="AF269" s="4">
        <v>0.94300000000000006</v>
      </c>
      <c r="AG269" s="4" t="s">
        <v>586</v>
      </c>
      <c r="AH269" s="4">
        <v>8</v>
      </c>
      <c r="AI269" s="4">
        <v>21</v>
      </c>
    </row>
    <row r="270" spans="1:35" x14ac:dyDescent="0.25">
      <c r="A270" s="4"/>
      <c r="B270" s="6" t="s">
        <v>587</v>
      </c>
      <c r="C270" s="4" t="s">
        <v>59</v>
      </c>
      <c r="D270" s="4">
        <v>1</v>
      </c>
      <c r="E270" s="4"/>
      <c r="F270" s="4">
        <v>2</v>
      </c>
      <c r="G270" s="4">
        <v>207</v>
      </c>
      <c r="H270" s="4">
        <v>133</v>
      </c>
      <c r="I270" s="4">
        <v>8.4</v>
      </c>
      <c r="J270" s="4">
        <v>5.8</v>
      </c>
      <c r="K270" s="4">
        <v>7.92</v>
      </c>
      <c r="L270" s="4">
        <v>32.799999999999997</v>
      </c>
      <c r="M270" s="4">
        <v>20</v>
      </c>
      <c r="N270" s="4">
        <v>13</v>
      </c>
      <c r="O270" s="4">
        <v>200</v>
      </c>
      <c r="P270" s="4">
        <v>27</v>
      </c>
      <c r="Q270" s="4">
        <v>3390</v>
      </c>
      <c r="R270" s="4">
        <v>25.8</v>
      </c>
      <c r="S270" s="4">
        <v>249</v>
      </c>
      <c r="T270" s="4">
        <v>87.3</v>
      </c>
      <c r="U270" s="4">
        <v>279</v>
      </c>
      <c r="V270" s="4">
        <v>3.3</v>
      </c>
      <c r="W270" s="4">
        <v>49.6</v>
      </c>
      <c r="X270" s="4">
        <v>31.2</v>
      </c>
      <c r="Y270" s="4">
        <v>76.099999999999994</v>
      </c>
      <c r="Z270" s="4">
        <v>71.3</v>
      </c>
      <c r="AA270" s="4">
        <v>32.5</v>
      </c>
      <c r="AB270" s="4">
        <v>6600</v>
      </c>
      <c r="AC270" s="4">
        <v>1.84</v>
      </c>
      <c r="AD270" s="4">
        <v>53.1</v>
      </c>
      <c r="AE270" s="4">
        <v>137</v>
      </c>
      <c r="AF270" s="4">
        <v>0.93400000000000005</v>
      </c>
      <c r="AG270" s="4" t="s">
        <v>588</v>
      </c>
      <c r="AH270" s="4">
        <v>8</v>
      </c>
      <c r="AI270" s="4">
        <v>18</v>
      </c>
    </row>
    <row r="271" spans="1:35" x14ac:dyDescent="0.25">
      <c r="A271" s="4"/>
      <c r="B271" s="5" t="s">
        <v>589</v>
      </c>
      <c r="C271" s="4" t="s">
        <v>284</v>
      </c>
      <c r="D271" s="4">
        <v>1</v>
      </c>
      <c r="E271" s="4"/>
      <c r="F271" s="4">
        <v>3</v>
      </c>
      <c r="G271" s="4">
        <v>203</v>
      </c>
      <c r="H271" s="4">
        <v>133</v>
      </c>
      <c r="I271" s="4">
        <v>6.4</v>
      </c>
      <c r="J271" s="4">
        <v>5</v>
      </c>
      <c r="K271" s="4">
        <v>10.4</v>
      </c>
      <c r="L271" s="4">
        <v>38</v>
      </c>
      <c r="M271" s="4">
        <v>18</v>
      </c>
      <c r="N271" s="4">
        <v>13</v>
      </c>
      <c r="O271" s="4">
        <v>200</v>
      </c>
      <c r="P271" s="4">
        <v>21</v>
      </c>
      <c r="Q271" s="4">
        <v>2700</v>
      </c>
      <c r="R271" s="4">
        <v>19.8</v>
      </c>
      <c r="S271" s="4">
        <v>195</v>
      </c>
      <c r="T271" s="4">
        <v>85.5</v>
      </c>
      <c r="U271" s="4">
        <v>217</v>
      </c>
      <c r="V271" s="4">
        <v>2.5099999999999998</v>
      </c>
      <c r="W271" s="4">
        <v>37.799999999999997</v>
      </c>
      <c r="X271" s="4">
        <v>30.5</v>
      </c>
      <c r="Y271" s="4">
        <v>58</v>
      </c>
      <c r="Z271" s="4">
        <v>35.6</v>
      </c>
      <c r="AA271" s="4">
        <v>24.3</v>
      </c>
      <c r="AB271" s="4">
        <v>6540</v>
      </c>
      <c r="AC271" s="4">
        <v>1.39</v>
      </c>
      <c r="AD271" s="4">
        <v>40.299999999999997</v>
      </c>
      <c r="AE271" s="4">
        <v>106</v>
      </c>
      <c r="AF271" s="4">
        <v>0.92800000000000005</v>
      </c>
      <c r="AG271" s="4" t="s">
        <v>590</v>
      </c>
      <c r="AH271" s="4">
        <v>8</v>
      </c>
      <c r="AI271" s="4">
        <v>14</v>
      </c>
    </row>
    <row r="272" spans="1:35" x14ac:dyDescent="0.25">
      <c r="A272" s="4" t="s">
        <v>59</v>
      </c>
      <c r="B272" s="6" t="s">
        <v>591</v>
      </c>
      <c r="C272" s="4" t="s">
        <v>59</v>
      </c>
      <c r="D272" s="4">
        <v>1</v>
      </c>
      <c r="E272" s="4"/>
      <c r="F272" s="4">
        <v>3</v>
      </c>
      <c r="G272" s="4">
        <v>206</v>
      </c>
      <c r="H272" s="4">
        <v>102</v>
      </c>
      <c r="I272" s="4">
        <v>8</v>
      </c>
      <c r="J272" s="4">
        <v>6.2</v>
      </c>
      <c r="K272" s="4">
        <v>6.38</v>
      </c>
      <c r="L272" s="4">
        <v>30.6</v>
      </c>
      <c r="M272" s="4">
        <v>20</v>
      </c>
      <c r="N272" s="4">
        <v>13</v>
      </c>
      <c r="O272" s="4">
        <v>200</v>
      </c>
      <c r="P272" s="4">
        <v>22</v>
      </c>
      <c r="Q272" s="4">
        <v>2860</v>
      </c>
      <c r="R272" s="4">
        <v>20</v>
      </c>
      <c r="S272" s="4">
        <v>194</v>
      </c>
      <c r="T272" s="4">
        <v>83.6</v>
      </c>
      <c r="U272" s="4">
        <v>222</v>
      </c>
      <c r="V272" s="4">
        <v>1.42</v>
      </c>
      <c r="W272" s="4">
        <v>27.8</v>
      </c>
      <c r="X272" s="4">
        <v>22.3</v>
      </c>
      <c r="Y272" s="4">
        <v>43.7</v>
      </c>
      <c r="Z272" s="4">
        <v>56.6</v>
      </c>
      <c r="AA272" s="4">
        <v>13.9</v>
      </c>
      <c r="AB272" s="4">
        <v>5050</v>
      </c>
      <c r="AC272" s="4">
        <v>1.03</v>
      </c>
      <c r="AD272" s="4">
        <v>37.9</v>
      </c>
      <c r="AE272" s="4">
        <v>109</v>
      </c>
      <c r="AF272" s="4">
        <v>0.80800000000000005</v>
      </c>
      <c r="AG272" s="4" t="s">
        <v>592</v>
      </c>
      <c r="AH272" s="4">
        <v>8</v>
      </c>
      <c r="AI272" s="4">
        <v>15</v>
      </c>
    </row>
    <row r="273" spans="1:35" x14ac:dyDescent="0.25">
      <c r="A273" s="4"/>
      <c r="B273" s="6" t="s">
        <v>593</v>
      </c>
      <c r="C273" s="4" t="s">
        <v>59</v>
      </c>
      <c r="D273" s="4">
        <v>1</v>
      </c>
      <c r="E273" s="4"/>
      <c r="F273" s="4">
        <v>3</v>
      </c>
      <c r="G273" s="4">
        <v>203</v>
      </c>
      <c r="H273" s="4">
        <v>102</v>
      </c>
      <c r="I273" s="4">
        <v>6.5</v>
      </c>
      <c r="J273" s="4">
        <v>5.8</v>
      </c>
      <c r="K273" s="4">
        <v>7.85</v>
      </c>
      <c r="L273" s="4">
        <v>32.799999999999997</v>
      </c>
      <c r="M273" s="4">
        <v>18</v>
      </c>
      <c r="N273" s="4">
        <v>13</v>
      </c>
      <c r="O273" s="4">
        <v>200</v>
      </c>
      <c r="P273" s="4">
        <v>19</v>
      </c>
      <c r="Q273" s="4">
        <v>2480</v>
      </c>
      <c r="R273" s="4">
        <v>16.600000000000001</v>
      </c>
      <c r="S273" s="4">
        <v>163</v>
      </c>
      <c r="T273" s="4">
        <v>81.7</v>
      </c>
      <c r="U273" s="4">
        <v>187</v>
      </c>
      <c r="V273" s="4">
        <v>1.1499999999999999</v>
      </c>
      <c r="W273" s="4">
        <v>22.6</v>
      </c>
      <c r="X273" s="4">
        <v>21.6</v>
      </c>
      <c r="Y273" s="4">
        <v>35.6</v>
      </c>
      <c r="Z273" s="4">
        <v>36.200000000000003</v>
      </c>
      <c r="AA273" s="4">
        <v>11.1</v>
      </c>
      <c r="AB273" s="4">
        <v>5010</v>
      </c>
      <c r="AC273" s="4">
        <v>0.83099999999999996</v>
      </c>
      <c r="AD273" s="4">
        <v>30.7</v>
      </c>
      <c r="AE273" s="4">
        <v>91.3</v>
      </c>
      <c r="AF273" s="4">
        <v>0.80200000000000005</v>
      </c>
      <c r="AG273" s="4" t="s">
        <v>594</v>
      </c>
      <c r="AH273" s="4">
        <v>8</v>
      </c>
      <c r="AI273" s="4">
        <v>13</v>
      </c>
    </row>
    <row r="274" spans="1:35" x14ac:dyDescent="0.25">
      <c r="A274" s="4"/>
      <c r="B274" s="6" t="s">
        <v>595</v>
      </c>
      <c r="C274" s="4" t="s">
        <v>59</v>
      </c>
      <c r="D274" s="4">
        <v>1</v>
      </c>
      <c r="E274" s="4"/>
      <c r="F274" s="4">
        <v>3</v>
      </c>
      <c r="G274" s="4">
        <v>200</v>
      </c>
      <c r="H274" s="4">
        <v>100</v>
      </c>
      <c r="I274" s="4">
        <v>5.2</v>
      </c>
      <c r="J274" s="4">
        <v>4.3</v>
      </c>
      <c r="K274" s="4">
        <v>9.6199999999999992</v>
      </c>
      <c r="L274" s="4">
        <v>44.1</v>
      </c>
      <c r="M274" s="4">
        <v>17</v>
      </c>
      <c r="N274" s="4">
        <v>12</v>
      </c>
      <c r="O274" s="4">
        <v>200</v>
      </c>
      <c r="P274" s="4">
        <v>15</v>
      </c>
      <c r="Q274" s="4">
        <v>1900</v>
      </c>
      <c r="R274" s="4">
        <v>12.7</v>
      </c>
      <c r="S274" s="4">
        <v>127</v>
      </c>
      <c r="T274" s="4">
        <v>81.8</v>
      </c>
      <c r="U274" s="4">
        <v>145</v>
      </c>
      <c r="V274" s="4">
        <v>0.86899999999999999</v>
      </c>
      <c r="W274" s="4">
        <v>17.399999999999999</v>
      </c>
      <c r="X274" s="4">
        <v>21.4</v>
      </c>
      <c r="Y274" s="4">
        <v>27.1</v>
      </c>
      <c r="Z274" s="4">
        <v>17.600000000000001</v>
      </c>
      <c r="AA274" s="4">
        <v>8.24</v>
      </c>
      <c r="AB274" s="4">
        <v>4870</v>
      </c>
      <c r="AC274" s="4">
        <v>0.63300000000000001</v>
      </c>
      <c r="AD274" s="4">
        <v>24.2</v>
      </c>
      <c r="AE274" s="4">
        <v>70</v>
      </c>
      <c r="AF274" s="4">
        <v>0.79100000000000004</v>
      </c>
      <c r="AG274" s="4" t="s">
        <v>596</v>
      </c>
      <c r="AH274" s="4">
        <v>8</v>
      </c>
      <c r="AI274" s="4">
        <v>10</v>
      </c>
    </row>
    <row r="275" spans="1:35" x14ac:dyDescent="0.25">
      <c r="A275" s="4" t="s">
        <v>59</v>
      </c>
      <c r="B275" s="6" t="s">
        <v>597</v>
      </c>
      <c r="C275" s="4" t="s">
        <v>59</v>
      </c>
      <c r="D275" s="4">
        <v>1</v>
      </c>
      <c r="E275" s="4"/>
      <c r="F275" s="4">
        <v>2</v>
      </c>
      <c r="G275" s="4">
        <v>162</v>
      </c>
      <c r="H275" s="4">
        <v>154</v>
      </c>
      <c r="I275" s="4">
        <v>11.6</v>
      </c>
      <c r="J275" s="4">
        <v>8.1</v>
      </c>
      <c r="K275" s="4">
        <v>6.64</v>
      </c>
      <c r="L275" s="4">
        <v>17.100000000000001</v>
      </c>
      <c r="M275" s="4">
        <v>23</v>
      </c>
      <c r="N275" s="4">
        <v>14</v>
      </c>
      <c r="O275" s="4">
        <v>150</v>
      </c>
      <c r="P275" s="4">
        <v>37</v>
      </c>
      <c r="Q275" s="4">
        <v>4750</v>
      </c>
      <c r="R275" s="4">
        <v>22.3</v>
      </c>
      <c r="S275" s="4">
        <v>275</v>
      </c>
      <c r="T275" s="4">
        <v>68.5</v>
      </c>
      <c r="U275" s="4">
        <v>311</v>
      </c>
      <c r="V275" s="4">
        <v>7.07</v>
      </c>
      <c r="W275" s="4">
        <v>91.8</v>
      </c>
      <c r="X275" s="4">
        <v>38.6</v>
      </c>
      <c r="Y275" s="4">
        <v>140</v>
      </c>
      <c r="Z275" s="4">
        <v>197</v>
      </c>
      <c r="AA275" s="4">
        <v>40</v>
      </c>
      <c r="AB275" s="4">
        <v>5790</v>
      </c>
      <c r="AC275" s="4">
        <v>2.59</v>
      </c>
      <c r="AD275" s="4">
        <v>63.6</v>
      </c>
      <c r="AE275" s="4">
        <v>154</v>
      </c>
      <c r="AF275" s="4">
        <v>0.92400000000000004</v>
      </c>
      <c r="AG275" s="4" t="s">
        <v>598</v>
      </c>
      <c r="AH275" s="4">
        <v>6</v>
      </c>
      <c r="AI275" s="4">
        <v>25</v>
      </c>
    </row>
    <row r="276" spans="1:35" x14ac:dyDescent="0.25">
      <c r="A276" s="4"/>
      <c r="B276" s="6" t="s">
        <v>599</v>
      </c>
      <c r="C276" s="4" t="s">
        <v>59</v>
      </c>
      <c r="D276" s="4">
        <v>1</v>
      </c>
      <c r="E276" s="4"/>
      <c r="F276" s="4">
        <v>2</v>
      </c>
      <c r="G276" s="4">
        <v>157</v>
      </c>
      <c r="H276" s="4">
        <v>153</v>
      </c>
      <c r="I276" s="4">
        <v>9.3000000000000007</v>
      </c>
      <c r="J276" s="4">
        <v>6.6</v>
      </c>
      <c r="K276" s="4">
        <v>8.23</v>
      </c>
      <c r="L276" s="4">
        <v>21</v>
      </c>
      <c r="M276" s="4">
        <v>21</v>
      </c>
      <c r="N276" s="4">
        <v>13</v>
      </c>
      <c r="O276" s="4">
        <v>150</v>
      </c>
      <c r="P276" s="4">
        <v>30</v>
      </c>
      <c r="Q276" s="4">
        <v>3810</v>
      </c>
      <c r="R276" s="4">
        <v>17.2</v>
      </c>
      <c r="S276" s="4">
        <v>219</v>
      </c>
      <c r="T276" s="4">
        <v>67.2</v>
      </c>
      <c r="U276" s="4">
        <v>245</v>
      </c>
      <c r="V276" s="4">
        <v>5.56</v>
      </c>
      <c r="W276" s="4">
        <v>72.599999999999994</v>
      </c>
      <c r="X276" s="4">
        <v>38.200000000000003</v>
      </c>
      <c r="Y276" s="4">
        <v>111</v>
      </c>
      <c r="Z276" s="4">
        <v>103</v>
      </c>
      <c r="AA276" s="4">
        <v>30.3</v>
      </c>
      <c r="AB276" s="4">
        <v>5650</v>
      </c>
      <c r="AC276" s="4">
        <v>2.0099999999999998</v>
      </c>
      <c r="AD276" s="4">
        <v>50.3</v>
      </c>
      <c r="AE276" s="4">
        <v>121</v>
      </c>
      <c r="AF276" s="4">
        <v>0.91300000000000003</v>
      </c>
      <c r="AG276" s="4" t="s">
        <v>600</v>
      </c>
      <c r="AH276" s="4">
        <v>6</v>
      </c>
      <c r="AI276" s="4">
        <v>20</v>
      </c>
    </row>
    <row r="277" spans="1:35" x14ac:dyDescent="0.25">
      <c r="A277" s="4"/>
      <c r="B277" s="6" t="s">
        <v>601</v>
      </c>
      <c r="C277" s="4" t="s">
        <v>59</v>
      </c>
      <c r="D277" s="4">
        <v>1</v>
      </c>
      <c r="E277" s="4"/>
      <c r="F277" s="4">
        <v>2</v>
      </c>
      <c r="G277" s="4">
        <v>152</v>
      </c>
      <c r="H277" s="4">
        <v>152</v>
      </c>
      <c r="I277" s="4">
        <v>6.6</v>
      </c>
      <c r="J277" s="4">
        <v>5.8</v>
      </c>
      <c r="K277" s="4">
        <v>11.5</v>
      </c>
      <c r="L277" s="4">
        <v>23.9</v>
      </c>
      <c r="M277" s="4">
        <v>18</v>
      </c>
      <c r="N277" s="4">
        <v>13</v>
      </c>
      <c r="O277" s="4">
        <v>150</v>
      </c>
      <c r="P277" s="4">
        <v>22</v>
      </c>
      <c r="Q277" s="4">
        <v>2860</v>
      </c>
      <c r="R277" s="4">
        <v>12.1</v>
      </c>
      <c r="S277" s="4">
        <v>160</v>
      </c>
      <c r="T277" s="4">
        <v>65.099999999999994</v>
      </c>
      <c r="U277" s="4">
        <v>177</v>
      </c>
      <c r="V277" s="4">
        <v>3.87</v>
      </c>
      <c r="W277" s="4">
        <v>50.9</v>
      </c>
      <c r="X277" s="4">
        <v>36.799999999999997</v>
      </c>
      <c r="Y277" s="4">
        <v>77.599999999999994</v>
      </c>
      <c r="Z277" s="4">
        <v>43.4</v>
      </c>
      <c r="AA277" s="4">
        <v>20.399999999999999</v>
      </c>
      <c r="AB277" s="4">
        <v>5530</v>
      </c>
      <c r="AC277" s="4">
        <v>1.39</v>
      </c>
      <c r="AD277" s="4">
        <v>35.1</v>
      </c>
      <c r="AE277" s="4">
        <v>86.9</v>
      </c>
      <c r="AF277" s="4">
        <v>0.9</v>
      </c>
      <c r="AG277" s="4" t="s">
        <v>602</v>
      </c>
      <c r="AH277" s="4">
        <v>6</v>
      </c>
      <c r="AI277" s="4">
        <v>15</v>
      </c>
    </row>
    <row r="278" spans="1:35" x14ac:dyDescent="0.25">
      <c r="A278" s="4" t="s">
        <v>59</v>
      </c>
      <c r="B278" s="5" t="s">
        <v>603</v>
      </c>
      <c r="C278" s="4" t="s">
        <v>59</v>
      </c>
      <c r="D278" s="4">
        <v>1</v>
      </c>
      <c r="E278" s="4"/>
      <c r="F278" s="4">
        <v>2</v>
      </c>
      <c r="G278" s="4">
        <v>160</v>
      </c>
      <c r="H278" s="4">
        <v>102</v>
      </c>
      <c r="I278" s="4">
        <v>10.3</v>
      </c>
      <c r="J278" s="4">
        <v>6.6</v>
      </c>
      <c r="K278" s="4">
        <v>4.95</v>
      </c>
      <c r="L278" s="4">
        <v>21.1</v>
      </c>
      <c r="M278" s="4">
        <v>22</v>
      </c>
      <c r="N278" s="4">
        <v>13</v>
      </c>
      <c r="O278" s="4">
        <v>150</v>
      </c>
      <c r="P278" s="4">
        <v>24</v>
      </c>
      <c r="Q278" s="4">
        <v>3060</v>
      </c>
      <c r="R278" s="4">
        <v>13.4</v>
      </c>
      <c r="S278" s="4">
        <v>168</v>
      </c>
      <c r="T278" s="4">
        <v>66.3</v>
      </c>
      <c r="U278" s="4">
        <v>192</v>
      </c>
      <c r="V278" s="4">
        <v>1.83</v>
      </c>
      <c r="W278" s="4">
        <v>35.799999999999997</v>
      </c>
      <c r="X278" s="4">
        <v>24.4</v>
      </c>
      <c r="Y278" s="4">
        <v>55.3</v>
      </c>
      <c r="Z278" s="4">
        <v>93.1</v>
      </c>
      <c r="AA278" s="4">
        <v>10.199999999999999</v>
      </c>
      <c r="AB278" s="4">
        <v>3820</v>
      </c>
      <c r="AC278" s="4">
        <v>1</v>
      </c>
      <c r="AD278" s="4">
        <v>36.799999999999997</v>
      </c>
      <c r="AE278" s="4">
        <v>94.7</v>
      </c>
      <c r="AF278" s="4">
        <v>0.71499999999999997</v>
      </c>
      <c r="AG278" s="4" t="s">
        <v>604</v>
      </c>
      <c r="AH278" s="4">
        <v>6</v>
      </c>
      <c r="AI278" s="4">
        <v>16</v>
      </c>
    </row>
    <row r="279" spans="1:35" x14ac:dyDescent="0.25">
      <c r="A279" s="4"/>
      <c r="B279" s="5" t="s">
        <v>605</v>
      </c>
      <c r="C279" s="4" t="s">
        <v>59</v>
      </c>
      <c r="D279" s="4">
        <v>1</v>
      </c>
      <c r="E279" s="4"/>
      <c r="F279" s="4">
        <v>2</v>
      </c>
      <c r="G279" s="4">
        <v>153</v>
      </c>
      <c r="H279" s="4">
        <v>102</v>
      </c>
      <c r="I279" s="4">
        <v>7.1</v>
      </c>
      <c r="J279" s="4">
        <v>5.8</v>
      </c>
      <c r="K279" s="4">
        <v>7.18</v>
      </c>
      <c r="L279" s="4">
        <v>23.9</v>
      </c>
      <c r="M279" s="4">
        <v>19</v>
      </c>
      <c r="N279" s="4">
        <v>13</v>
      </c>
      <c r="O279" s="4">
        <v>150</v>
      </c>
      <c r="P279" s="4">
        <v>18</v>
      </c>
      <c r="Q279" s="4">
        <v>2290</v>
      </c>
      <c r="R279" s="4">
        <v>9.17</v>
      </c>
      <c r="S279" s="4">
        <v>120</v>
      </c>
      <c r="T279" s="4">
        <v>63.3</v>
      </c>
      <c r="U279" s="4">
        <v>136</v>
      </c>
      <c r="V279" s="4">
        <v>1.26</v>
      </c>
      <c r="W279" s="4">
        <v>24.7</v>
      </c>
      <c r="X279" s="4">
        <v>23.5</v>
      </c>
      <c r="Y279" s="4">
        <v>38.299999999999997</v>
      </c>
      <c r="Z279" s="4">
        <v>37.4</v>
      </c>
      <c r="AA279" s="4">
        <v>6.7</v>
      </c>
      <c r="AB279" s="4">
        <v>3720</v>
      </c>
      <c r="AC279" s="4">
        <v>0.67400000000000004</v>
      </c>
      <c r="AD279" s="4">
        <v>24.9</v>
      </c>
      <c r="AE279" s="4">
        <v>66.8</v>
      </c>
      <c r="AF279" s="4">
        <v>0.70200000000000007</v>
      </c>
      <c r="AG279" s="4" t="s">
        <v>606</v>
      </c>
      <c r="AH279" s="4">
        <v>6</v>
      </c>
      <c r="AI279" s="4">
        <v>12</v>
      </c>
    </row>
    <row r="280" spans="1:35" x14ac:dyDescent="0.25">
      <c r="A280" s="4"/>
      <c r="B280" s="5" t="s">
        <v>607</v>
      </c>
      <c r="C280" s="4" t="s">
        <v>59</v>
      </c>
      <c r="D280" s="4">
        <v>1</v>
      </c>
      <c r="E280" s="4"/>
      <c r="F280" s="4">
        <v>2</v>
      </c>
      <c r="G280" s="4">
        <v>150</v>
      </c>
      <c r="H280" s="4">
        <v>100</v>
      </c>
      <c r="I280" s="4">
        <v>5.5</v>
      </c>
      <c r="J280" s="4">
        <v>4.3</v>
      </c>
      <c r="K280" s="4">
        <v>9.09</v>
      </c>
      <c r="L280" s="4">
        <v>32.299999999999997</v>
      </c>
      <c r="M280" s="4">
        <v>17</v>
      </c>
      <c r="N280" s="4">
        <v>12</v>
      </c>
      <c r="O280" s="4">
        <v>150</v>
      </c>
      <c r="P280" s="4">
        <v>14</v>
      </c>
      <c r="Q280" s="4">
        <v>1730</v>
      </c>
      <c r="R280" s="4">
        <v>6.87</v>
      </c>
      <c r="S280" s="4">
        <v>91.6</v>
      </c>
      <c r="T280" s="4">
        <v>63</v>
      </c>
      <c r="U280" s="4">
        <v>103</v>
      </c>
      <c r="V280" s="4">
        <v>0.91800000000000004</v>
      </c>
      <c r="W280" s="4">
        <v>18.399999999999999</v>
      </c>
      <c r="X280" s="4">
        <v>23</v>
      </c>
      <c r="Y280" s="4">
        <v>28.3</v>
      </c>
      <c r="Z280" s="4">
        <v>17.100000000000001</v>
      </c>
      <c r="AA280" s="4">
        <v>4.79</v>
      </c>
      <c r="AB280" s="4">
        <v>3610</v>
      </c>
      <c r="AC280" s="4">
        <v>0.497</v>
      </c>
      <c r="AD280" s="4">
        <v>19</v>
      </c>
      <c r="AE280" s="4">
        <v>50.1</v>
      </c>
      <c r="AF280" s="4">
        <v>0.69100000000000006</v>
      </c>
      <c r="AG280" s="4" t="s">
        <v>608</v>
      </c>
      <c r="AH280" s="4">
        <v>6</v>
      </c>
      <c r="AI280" s="4">
        <v>9</v>
      </c>
    </row>
    <row r="281" spans="1:35" x14ac:dyDescent="0.25">
      <c r="A281" s="4"/>
      <c r="B281" s="5" t="s">
        <v>609</v>
      </c>
      <c r="C281" s="4" t="s">
        <v>59</v>
      </c>
      <c r="D281" s="4">
        <v>1</v>
      </c>
      <c r="E281" s="4"/>
      <c r="F281" s="4">
        <v>2</v>
      </c>
      <c r="G281" s="4">
        <v>148</v>
      </c>
      <c r="H281" s="4">
        <v>100</v>
      </c>
      <c r="I281" s="4">
        <v>4.9000000000000004</v>
      </c>
      <c r="J281" s="4">
        <v>4.3</v>
      </c>
      <c r="K281" s="4">
        <v>10.199999999999999</v>
      </c>
      <c r="L281" s="4">
        <v>32.1</v>
      </c>
      <c r="M281" s="4">
        <v>16</v>
      </c>
      <c r="N281" s="4">
        <v>12</v>
      </c>
      <c r="O281" s="4">
        <v>150</v>
      </c>
      <c r="P281" s="4">
        <v>13</v>
      </c>
      <c r="Q281" s="4">
        <v>1610</v>
      </c>
      <c r="R281" s="4">
        <v>6.13</v>
      </c>
      <c r="S281" s="4">
        <v>82.8</v>
      </c>
      <c r="T281" s="4">
        <v>61.7</v>
      </c>
      <c r="U281" s="4">
        <v>93</v>
      </c>
      <c r="V281" s="4">
        <v>0.81799999999999995</v>
      </c>
      <c r="W281" s="4">
        <v>16.399999999999999</v>
      </c>
      <c r="X281" s="4">
        <v>22.5</v>
      </c>
      <c r="Y281" s="4">
        <v>25.3</v>
      </c>
      <c r="Z281" s="4">
        <v>13.6</v>
      </c>
      <c r="AA281" s="4">
        <v>4.1900000000000004</v>
      </c>
      <c r="AB281" s="4">
        <v>3580</v>
      </c>
      <c r="AC281" s="4">
        <v>0.438</v>
      </c>
      <c r="AD281" s="4">
        <v>16.8</v>
      </c>
      <c r="AE281" s="4">
        <v>45.3</v>
      </c>
      <c r="AF281" s="4">
        <v>0.68700000000000006</v>
      </c>
      <c r="AG281" s="4" t="s">
        <v>610</v>
      </c>
      <c r="AH281" s="4">
        <v>6</v>
      </c>
      <c r="AI281" s="4">
        <v>8.5</v>
      </c>
    </row>
    <row r="282" spans="1:35" x14ac:dyDescent="0.25">
      <c r="A282" s="4" t="s">
        <v>59</v>
      </c>
      <c r="B282" s="5" t="s">
        <v>611</v>
      </c>
      <c r="C282" s="4" t="s">
        <v>59</v>
      </c>
      <c r="D282" s="4">
        <v>1</v>
      </c>
      <c r="E282" s="4"/>
      <c r="F282" s="4">
        <v>1</v>
      </c>
      <c r="G282" s="4">
        <v>131</v>
      </c>
      <c r="H282" s="4">
        <v>128</v>
      </c>
      <c r="I282" s="4">
        <v>10.9</v>
      </c>
      <c r="J282" s="4">
        <v>6.9</v>
      </c>
      <c r="K282" s="4">
        <v>5.87</v>
      </c>
      <c r="L282" s="4">
        <v>15.8</v>
      </c>
      <c r="M282" s="4">
        <v>20</v>
      </c>
      <c r="N282" s="4">
        <v>11</v>
      </c>
      <c r="O282" s="4">
        <v>130</v>
      </c>
      <c r="P282" s="4">
        <v>28</v>
      </c>
      <c r="Q282" s="4">
        <v>3590</v>
      </c>
      <c r="R282" s="4">
        <v>11</v>
      </c>
      <c r="S282" s="4">
        <v>168</v>
      </c>
      <c r="T282" s="4">
        <v>55.3</v>
      </c>
      <c r="U282" s="4">
        <v>191</v>
      </c>
      <c r="V282" s="4">
        <v>3.81</v>
      </c>
      <c r="W282" s="4">
        <v>59.6</v>
      </c>
      <c r="X282" s="4">
        <v>32.6</v>
      </c>
      <c r="Y282" s="4">
        <v>90.8</v>
      </c>
      <c r="Z282" s="4">
        <v>131</v>
      </c>
      <c r="AA282" s="4">
        <v>13.8</v>
      </c>
      <c r="AB282" s="4">
        <v>3840</v>
      </c>
      <c r="AC282" s="4">
        <v>1.34</v>
      </c>
      <c r="AD282" s="4">
        <v>39.6</v>
      </c>
      <c r="AE282" s="4">
        <v>94.1</v>
      </c>
      <c r="AF282" s="4">
        <v>0.76</v>
      </c>
      <c r="AG282" s="4" t="s">
        <v>612</v>
      </c>
      <c r="AH282" s="4">
        <v>5</v>
      </c>
      <c r="AI282" s="4">
        <v>19</v>
      </c>
    </row>
    <row r="283" spans="1:35" x14ac:dyDescent="0.25">
      <c r="A283" s="4"/>
      <c r="B283" s="5" t="s">
        <v>613</v>
      </c>
      <c r="C283" s="4" t="s">
        <v>59</v>
      </c>
      <c r="D283" s="4">
        <v>1</v>
      </c>
      <c r="E283" s="4"/>
      <c r="F283" s="4">
        <v>1</v>
      </c>
      <c r="G283" s="4">
        <v>127</v>
      </c>
      <c r="H283" s="4">
        <v>127</v>
      </c>
      <c r="I283" s="4">
        <v>9.1</v>
      </c>
      <c r="J283" s="4">
        <v>6.1</v>
      </c>
      <c r="K283" s="4">
        <v>6.98</v>
      </c>
      <c r="L283" s="4">
        <v>17.8</v>
      </c>
      <c r="M283" s="4">
        <v>18</v>
      </c>
      <c r="N283" s="4">
        <v>11</v>
      </c>
      <c r="O283" s="4">
        <v>130</v>
      </c>
      <c r="P283" s="4">
        <v>24</v>
      </c>
      <c r="Q283" s="4">
        <v>3020</v>
      </c>
      <c r="R283" s="4">
        <v>8.84</v>
      </c>
      <c r="S283" s="4">
        <v>139</v>
      </c>
      <c r="T283" s="4">
        <v>54.1</v>
      </c>
      <c r="U283" s="4">
        <v>157</v>
      </c>
      <c r="V283" s="4">
        <v>3.11</v>
      </c>
      <c r="W283" s="4">
        <v>49</v>
      </c>
      <c r="X283" s="4">
        <v>32.1</v>
      </c>
      <c r="Y283" s="4">
        <v>74.599999999999994</v>
      </c>
      <c r="Z283" s="4">
        <v>79.099999999999994</v>
      </c>
      <c r="AA283" s="4">
        <v>10.8</v>
      </c>
      <c r="AB283" s="4">
        <v>3740</v>
      </c>
      <c r="AC283" s="4">
        <v>1.08</v>
      </c>
      <c r="AD283" s="4">
        <v>32.4</v>
      </c>
      <c r="AE283" s="4">
        <v>77.2</v>
      </c>
      <c r="AF283" s="4">
        <v>0.75</v>
      </c>
      <c r="AG283" s="4" t="s">
        <v>614</v>
      </c>
      <c r="AH283" s="4">
        <v>5</v>
      </c>
      <c r="AI283" s="4">
        <v>16</v>
      </c>
    </row>
    <row r="284" spans="1:35" x14ac:dyDescent="0.25">
      <c r="A284" s="4" t="s">
        <v>59</v>
      </c>
      <c r="B284" s="5" t="s">
        <v>615</v>
      </c>
      <c r="C284" s="4" t="s">
        <v>59</v>
      </c>
      <c r="D284" s="4">
        <v>1</v>
      </c>
      <c r="E284" s="4"/>
      <c r="F284" s="4">
        <v>1</v>
      </c>
      <c r="G284" s="4">
        <v>106</v>
      </c>
      <c r="H284" s="4">
        <v>103</v>
      </c>
      <c r="I284" s="4">
        <v>8.8000000000000007</v>
      </c>
      <c r="J284" s="4">
        <v>7.1</v>
      </c>
      <c r="K284" s="4">
        <v>5.85</v>
      </c>
      <c r="L284" s="4">
        <v>12.5</v>
      </c>
      <c r="M284" s="4">
        <v>18</v>
      </c>
      <c r="N284" s="4">
        <v>12</v>
      </c>
      <c r="O284" s="4">
        <v>100</v>
      </c>
      <c r="P284" s="4">
        <v>19</v>
      </c>
      <c r="Q284" s="4">
        <v>2480</v>
      </c>
      <c r="R284" s="4">
        <v>4.7699999999999996</v>
      </c>
      <c r="S284" s="4">
        <v>89.9</v>
      </c>
      <c r="T284" s="4">
        <v>43.9</v>
      </c>
      <c r="U284" s="4">
        <v>103</v>
      </c>
      <c r="V284" s="4">
        <v>1.61</v>
      </c>
      <c r="W284" s="4">
        <v>31.2</v>
      </c>
      <c r="X284" s="4">
        <v>25.5</v>
      </c>
      <c r="Y284" s="4">
        <v>48</v>
      </c>
      <c r="Z284" s="4">
        <v>63.6</v>
      </c>
      <c r="AA284" s="4">
        <v>3.79</v>
      </c>
      <c r="AB284" s="4">
        <v>2500</v>
      </c>
      <c r="AC284" s="4">
        <v>0.56699999999999995</v>
      </c>
      <c r="AD284" s="4">
        <v>20.5</v>
      </c>
      <c r="AE284" s="4">
        <v>51</v>
      </c>
      <c r="AF284" s="4">
        <v>0.61</v>
      </c>
      <c r="AG284" s="4" t="s">
        <v>616</v>
      </c>
      <c r="AH284" s="4">
        <v>4</v>
      </c>
      <c r="AI284" s="4">
        <v>13</v>
      </c>
    </row>
    <row r="285" spans="1:35"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spans="1:35" x14ac:dyDescent="0.25">
      <c r="A286" s="4"/>
      <c r="B286" s="7" t="s">
        <v>617</v>
      </c>
      <c r="C286" s="7"/>
      <c r="D286" s="7"/>
      <c r="E286" s="7"/>
      <c r="F286" s="7"/>
      <c r="G286" s="7"/>
      <c r="H286" s="7"/>
      <c r="I286" s="7"/>
      <c r="J286" s="7"/>
      <c r="K286" s="7"/>
      <c r="L286" s="7"/>
      <c r="M286" s="7"/>
      <c r="N286" s="7"/>
      <c r="O286" s="4"/>
      <c r="P286" s="4"/>
      <c r="Q286" s="4"/>
      <c r="R286" s="4"/>
      <c r="S286" s="4"/>
      <c r="T286" s="4"/>
      <c r="U286" s="4"/>
      <c r="V286" s="4"/>
      <c r="W286" s="4"/>
      <c r="X286" s="4"/>
      <c r="Y286" s="4"/>
      <c r="Z286" s="4"/>
      <c r="AA286" s="4"/>
      <c r="AB286" s="4"/>
      <c r="AC286" s="4"/>
      <c r="AD286" s="4"/>
      <c r="AE286" s="4"/>
      <c r="AF286" s="4"/>
      <c r="AG286" s="4"/>
      <c r="AH286" s="4"/>
      <c r="AI286"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5E374-7238-4589-8B50-446718F741BF}">
  <dimension ref="A1:AE218"/>
  <sheetViews>
    <sheetView topLeftCell="A176" workbookViewId="0">
      <selection activeCell="O192" sqref="O190:O192"/>
    </sheetView>
  </sheetViews>
  <sheetFormatPr defaultRowHeight="15" x14ac:dyDescent="0.25"/>
  <cols>
    <col min="2" max="2" width="15.85546875" customWidth="1"/>
  </cols>
  <sheetData>
    <row r="1" spans="1:31" x14ac:dyDescent="0.25">
      <c r="A1" s="2" t="s">
        <v>13</v>
      </c>
      <c r="B1" s="2" t="s">
        <v>14</v>
      </c>
      <c r="C1" s="2" t="s">
        <v>15</v>
      </c>
      <c r="D1" s="2" t="s">
        <v>16</v>
      </c>
      <c r="E1" s="2" t="s">
        <v>17</v>
      </c>
      <c r="F1" s="2" t="s">
        <v>19</v>
      </c>
      <c r="G1" s="2" t="s">
        <v>6</v>
      </c>
      <c r="H1" s="2" t="s">
        <v>20</v>
      </c>
      <c r="I1" s="2" t="s">
        <v>653</v>
      </c>
      <c r="J1" s="2" t="s">
        <v>22</v>
      </c>
      <c r="K1" s="2" t="s">
        <v>654</v>
      </c>
      <c r="L1" s="2" t="s">
        <v>24</v>
      </c>
      <c r="M1" s="2" t="s">
        <v>655</v>
      </c>
      <c r="N1" s="2" t="s">
        <v>27</v>
      </c>
      <c r="O1" s="2" t="s">
        <v>3</v>
      </c>
      <c r="P1" s="2" t="s">
        <v>28</v>
      </c>
      <c r="Q1" s="2" t="s">
        <v>29</v>
      </c>
      <c r="R1" s="2" t="s">
        <v>30</v>
      </c>
      <c r="S1" s="2" t="s">
        <v>656</v>
      </c>
      <c r="T1" s="2" t="s">
        <v>657</v>
      </c>
      <c r="U1" s="2" t="s">
        <v>658</v>
      </c>
      <c r="V1" s="2" t="s">
        <v>659</v>
      </c>
      <c r="W1" s="2" t="s">
        <v>660</v>
      </c>
      <c r="X1" s="2" t="s">
        <v>661</v>
      </c>
      <c r="Y1" s="2" t="s">
        <v>662</v>
      </c>
      <c r="Z1" s="2" t="s">
        <v>663</v>
      </c>
      <c r="AA1" s="2" t="s">
        <v>36</v>
      </c>
      <c r="AB1" s="2" t="s">
        <v>37</v>
      </c>
      <c r="AC1" s="2" t="s">
        <v>42</v>
      </c>
      <c r="AD1" s="2" t="s">
        <v>43</v>
      </c>
      <c r="AE1" s="2" t="s">
        <v>45</v>
      </c>
    </row>
    <row r="2" spans="1:31" x14ac:dyDescent="0.25">
      <c r="A2" s="2"/>
      <c r="B2" s="2"/>
      <c r="C2" s="2"/>
      <c r="D2" s="2"/>
      <c r="E2" s="2"/>
      <c r="F2" s="2"/>
      <c r="G2" s="2"/>
      <c r="H2" s="2"/>
      <c r="I2" s="2"/>
      <c r="J2" s="2"/>
      <c r="K2" s="2"/>
      <c r="L2" s="2"/>
      <c r="M2" s="2"/>
      <c r="N2" s="2"/>
      <c r="O2" s="2"/>
      <c r="P2" s="2" t="s">
        <v>46</v>
      </c>
      <c r="Q2" s="2" t="s">
        <v>47</v>
      </c>
      <c r="R2" s="2"/>
      <c r="S2" s="2"/>
      <c r="T2" s="2"/>
      <c r="U2" s="2"/>
      <c r="V2" s="2"/>
      <c r="W2" s="2"/>
      <c r="X2" s="2"/>
      <c r="Y2" s="2"/>
      <c r="Z2" s="2"/>
      <c r="AA2" s="2" t="s">
        <v>47</v>
      </c>
      <c r="AB2" s="2" t="s">
        <v>48</v>
      </c>
      <c r="AC2" s="2"/>
      <c r="AD2" s="2"/>
      <c r="AE2" s="2"/>
    </row>
    <row r="3" spans="1:31" x14ac:dyDescent="0.25">
      <c r="A3" s="3" t="s">
        <v>664</v>
      </c>
      <c r="B3" s="2"/>
      <c r="C3" s="2"/>
      <c r="D3" s="2"/>
      <c r="E3" s="2"/>
      <c r="F3" s="2" t="s">
        <v>50</v>
      </c>
      <c r="G3" s="2" t="s">
        <v>50</v>
      </c>
      <c r="H3" s="2" t="s">
        <v>50</v>
      </c>
      <c r="I3" s="2" t="s">
        <v>50</v>
      </c>
      <c r="J3" s="2"/>
      <c r="K3" s="2"/>
      <c r="L3" s="2" t="s">
        <v>50</v>
      </c>
      <c r="M3" s="2"/>
      <c r="N3" s="2" t="s">
        <v>51</v>
      </c>
      <c r="O3" s="2" t="s">
        <v>52</v>
      </c>
      <c r="P3" s="2" t="s">
        <v>53</v>
      </c>
      <c r="Q3" s="2" t="s">
        <v>54</v>
      </c>
      <c r="R3" s="2" t="s">
        <v>50</v>
      </c>
      <c r="S3" s="2" t="s">
        <v>50</v>
      </c>
      <c r="T3" s="2" t="s">
        <v>50</v>
      </c>
      <c r="U3" s="2" t="s">
        <v>50</v>
      </c>
      <c r="V3" s="2" t="s">
        <v>50</v>
      </c>
      <c r="W3" s="2" t="s">
        <v>50</v>
      </c>
      <c r="X3" s="2" t="s">
        <v>50</v>
      </c>
      <c r="Y3" s="2" t="s">
        <v>50</v>
      </c>
      <c r="Z3" s="2" t="s">
        <v>50</v>
      </c>
      <c r="AA3" s="2" t="s">
        <v>53</v>
      </c>
      <c r="AB3" s="2" t="s">
        <v>55</v>
      </c>
      <c r="AC3" s="2" t="s">
        <v>56</v>
      </c>
      <c r="AD3" s="2"/>
      <c r="AE3" s="2" t="s">
        <v>58</v>
      </c>
    </row>
    <row r="4" spans="1:31" x14ac:dyDescent="0.25">
      <c r="A4" s="3" t="s">
        <v>665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row>
    <row r="5" spans="1:31" hidden="1" x14ac:dyDescent="0.25">
      <c r="A5" s="4" t="s">
        <v>59</v>
      </c>
      <c r="B5" s="5" t="s">
        <v>666</v>
      </c>
      <c r="C5" s="4" t="s">
        <v>59</v>
      </c>
      <c r="D5" s="4">
        <v>11</v>
      </c>
      <c r="E5" s="4">
        <v>3</v>
      </c>
      <c r="F5" s="4">
        <v>152</v>
      </c>
      <c r="G5" s="4">
        <v>203</v>
      </c>
      <c r="H5" s="4">
        <v>25.4</v>
      </c>
      <c r="I5" s="4">
        <v>32.4</v>
      </c>
      <c r="J5" s="4">
        <v>7.99</v>
      </c>
      <c r="K5" s="4">
        <v>5.98</v>
      </c>
      <c r="L5" s="4">
        <v>40</v>
      </c>
      <c r="M5" s="4">
        <v>0.54100000000000004</v>
      </c>
      <c r="N5" s="4">
        <v>131</v>
      </c>
      <c r="O5" s="4">
        <v>16700</v>
      </c>
      <c r="P5" s="4">
        <v>32</v>
      </c>
      <c r="Q5" s="4">
        <v>291</v>
      </c>
      <c r="R5" s="4">
        <v>43.7</v>
      </c>
      <c r="S5" s="4">
        <v>41.9</v>
      </c>
      <c r="T5" s="4">
        <v>92.4</v>
      </c>
      <c r="U5" s="4">
        <v>95.4</v>
      </c>
      <c r="V5" s="4">
        <v>96.1</v>
      </c>
      <c r="W5" s="4">
        <v>96.9</v>
      </c>
      <c r="X5" s="4">
        <v>98.4</v>
      </c>
      <c r="Y5" s="4">
        <v>100</v>
      </c>
      <c r="Z5" s="4">
        <v>29.2</v>
      </c>
      <c r="AA5" s="4">
        <v>3600</v>
      </c>
      <c r="AB5" s="4">
        <v>8.73</v>
      </c>
      <c r="AC5" s="4">
        <v>1.42</v>
      </c>
      <c r="AD5" s="4" t="s">
        <v>667</v>
      </c>
      <c r="AE5" s="4">
        <v>88.3</v>
      </c>
    </row>
    <row r="6" spans="1:31" hidden="1" x14ac:dyDescent="0.25">
      <c r="A6" s="4"/>
      <c r="B6" s="5" t="s">
        <v>668</v>
      </c>
      <c r="C6" s="4" t="s">
        <v>59</v>
      </c>
      <c r="D6" s="4">
        <v>11</v>
      </c>
      <c r="E6" s="4">
        <v>3</v>
      </c>
      <c r="F6" s="4">
        <v>152</v>
      </c>
      <c r="G6" s="4">
        <v>203</v>
      </c>
      <c r="H6" s="4">
        <v>22.2</v>
      </c>
      <c r="I6" s="4">
        <v>32.5</v>
      </c>
      <c r="J6" s="4">
        <v>9.14</v>
      </c>
      <c r="K6" s="4">
        <v>6.85</v>
      </c>
      <c r="L6" s="4">
        <v>36</v>
      </c>
      <c r="M6" s="4">
        <v>0.54500000000000004</v>
      </c>
      <c r="N6" s="4">
        <v>116</v>
      </c>
      <c r="O6" s="4">
        <v>14800</v>
      </c>
      <c r="P6" s="4">
        <v>28.8</v>
      </c>
      <c r="Q6" s="4">
        <v>259</v>
      </c>
      <c r="R6" s="4">
        <v>44.1</v>
      </c>
      <c r="S6" s="4">
        <v>40.700000000000003</v>
      </c>
      <c r="T6" s="4">
        <v>91.9</v>
      </c>
      <c r="U6" s="4">
        <v>94.8</v>
      </c>
      <c r="V6" s="4">
        <v>95.6</v>
      </c>
      <c r="W6" s="4">
        <v>96.3</v>
      </c>
      <c r="X6" s="4">
        <v>97.8</v>
      </c>
      <c r="Y6" s="4">
        <v>99.3</v>
      </c>
      <c r="Z6" s="4">
        <v>29.6</v>
      </c>
      <c r="AA6" s="4">
        <v>2430</v>
      </c>
      <c r="AB6" s="4">
        <v>6</v>
      </c>
      <c r="AC6" s="4">
        <v>1.42</v>
      </c>
      <c r="AD6" s="4" t="s">
        <v>669</v>
      </c>
      <c r="AE6" s="4">
        <v>77.900000000000006</v>
      </c>
    </row>
    <row r="7" spans="1:31" hidden="1" x14ac:dyDescent="0.25">
      <c r="A7" s="4"/>
      <c r="B7" s="5" t="s">
        <v>670</v>
      </c>
      <c r="C7" s="4" t="s">
        <v>59</v>
      </c>
      <c r="D7" s="4">
        <v>11</v>
      </c>
      <c r="E7" s="4">
        <v>2</v>
      </c>
      <c r="F7" s="4">
        <v>152</v>
      </c>
      <c r="G7" s="4">
        <v>203</v>
      </c>
      <c r="H7" s="4">
        <v>19.100000000000001</v>
      </c>
      <c r="I7" s="4">
        <v>32.6</v>
      </c>
      <c r="J7" s="4">
        <v>10.6</v>
      </c>
      <c r="K7" s="4">
        <v>7.96</v>
      </c>
      <c r="L7" s="4">
        <v>34</v>
      </c>
      <c r="M7" s="4">
        <v>0.54900000000000004</v>
      </c>
      <c r="N7" s="4">
        <v>101</v>
      </c>
      <c r="O7" s="4">
        <v>12800</v>
      </c>
      <c r="P7" s="4">
        <v>25.4</v>
      </c>
      <c r="Q7" s="4">
        <v>226</v>
      </c>
      <c r="R7" s="4">
        <v>44.5</v>
      </c>
      <c r="S7" s="4">
        <v>39.6</v>
      </c>
      <c r="T7" s="4">
        <v>91.4</v>
      </c>
      <c r="U7" s="4">
        <v>94.3</v>
      </c>
      <c r="V7" s="4">
        <v>95</v>
      </c>
      <c r="W7" s="4">
        <v>95.7</v>
      </c>
      <c r="X7" s="4">
        <v>97.2</v>
      </c>
      <c r="Y7" s="4">
        <v>98.8</v>
      </c>
      <c r="Z7" s="4">
        <v>30.1</v>
      </c>
      <c r="AA7" s="4">
        <v>1560</v>
      </c>
      <c r="AB7" s="4">
        <v>3.92</v>
      </c>
      <c r="AC7" s="4">
        <v>1.42</v>
      </c>
      <c r="AD7" s="4" t="s">
        <v>671</v>
      </c>
      <c r="AE7" s="4">
        <v>67.7</v>
      </c>
    </row>
    <row r="8" spans="1:31" hidden="1" x14ac:dyDescent="0.25">
      <c r="A8" s="4"/>
      <c r="B8" s="5" t="s">
        <v>672</v>
      </c>
      <c r="C8" s="4" t="s">
        <v>59</v>
      </c>
      <c r="D8" s="4">
        <v>11</v>
      </c>
      <c r="E8" s="4">
        <v>2</v>
      </c>
      <c r="F8" s="4">
        <v>152</v>
      </c>
      <c r="G8" s="4">
        <v>203</v>
      </c>
      <c r="H8" s="4">
        <v>15.9</v>
      </c>
      <c r="I8" s="4">
        <v>32.799999999999997</v>
      </c>
      <c r="J8" s="4">
        <v>12.8</v>
      </c>
      <c r="K8" s="4">
        <v>9.56</v>
      </c>
      <c r="L8" s="4">
        <v>30</v>
      </c>
      <c r="M8" s="4">
        <v>0.55300000000000005</v>
      </c>
      <c r="N8" s="4">
        <v>84.6</v>
      </c>
      <c r="O8" s="4">
        <v>10800</v>
      </c>
      <c r="P8" s="4">
        <v>21.8</v>
      </c>
      <c r="Q8" s="4">
        <v>192</v>
      </c>
      <c r="R8" s="4">
        <v>44.9</v>
      </c>
      <c r="S8" s="4">
        <v>38.5</v>
      </c>
      <c r="T8" s="4">
        <v>90.9</v>
      </c>
      <c r="U8" s="4">
        <v>93.7</v>
      </c>
      <c r="V8" s="4">
        <v>94.5</v>
      </c>
      <c r="W8" s="4">
        <v>95.2</v>
      </c>
      <c r="X8" s="4">
        <v>96.7</v>
      </c>
      <c r="Y8" s="4">
        <v>98.2</v>
      </c>
      <c r="Z8" s="4">
        <v>30.5</v>
      </c>
      <c r="AA8" s="4">
        <v>909</v>
      </c>
      <c r="AB8" s="4">
        <v>2.3199999999999998</v>
      </c>
      <c r="AC8" s="4">
        <v>1.42</v>
      </c>
      <c r="AD8" s="4" t="s">
        <v>673</v>
      </c>
      <c r="AE8" s="4">
        <v>56.9</v>
      </c>
    </row>
    <row r="9" spans="1:31" hidden="1" x14ac:dyDescent="0.25">
      <c r="A9" s="4"/>
      <c r="B9" s="5" t="s">
        <v>674</v>
      </c>
      <c r="C9" s="4" t="s">
        <v>59</v>
      </c>
      <c r="D9" s="4">
        <v>11</v>
      </c>
      <c r="E9" s="4">
        <v>2</v>
      </c>
      <c r="F9" s="4">
        <v>152</v>
      </c>
      <c r="G9" s="4">
        <v>203</v>
      </c>
      <c r="H9" s="4">
        <v>14.3</v>
      </c>
      <c r="I9" s="4">
        <v>32.9</v>
      </c>
      <c r="J9" s="4">
        <v>14.2</v>
      </c>
      <c r="K9" s="4">
        <v>10.6</v>
      </c>
      <c r="L9" s="4">
        <v>28</v>
      </c>
      <c r="M9" s="4">
        <v>0.55400000000000005</v>
      </c>
      <c r="N9" s="4">
        <v>76.5</v>
      </c>
      <c r="O9" s="4">
        <v>9740</v>
      </c>
      <c r="P9" s="4">
        <v>19.899999999999999</v>
      </c>
      <c r="Q9" s="4">
        <v>174</v>
      </c>
      <c r="R9" s="4">
        <v>45.2</v>
      </c>
      <c r="S9" s="4">
        <v>37.9</v>
      </c>
      <c r="T9" s="4">
        <v>90.6</v>
      </c>
      <c r="U9" s="4">
        <v>93.5</v>
      </c>
      <c r="V9" s="4">
        <v>94.2</v>
      </c>
      <c r="W9" s="4">
        <v>94.9</v>
      </c>
      <c r="X9" s="4">
        <v>96.4</v>
      </c>
      <c r="Y9" s="4">
        <v>97.9</v>
      </c>
      <c r="Z9" s="4">
        <v>30.7</v>
      </c>
      <c r="AA9" s="4">
        <v>664</v>
      </c>
      <c r="AB9" s="4">
        <v>1.71</v>
      </c>
      <c r="AC9" s="4">
        <v>1.42</v>
      </c>
      <c r="AD9" s="4" t="s">
        <v>675</v>
      </c>
      <c r="AE9" s="4">
        <v>51.4</v>
      </c>
    </row>
    <row r="10" spans="1:31" hidden="1" x14ac:dyDescent="0.25">
      <c r="A10" s="4"/>
      <c r="B10" s="5" t="s">
        <v>676</v>
      </c>
      <c r="C10" s="4" t="s">
        <v>59</v>
      </c>
      <c r="D10" s="4">
        <v>11</v>
      </c>
      <c r="E10" s="4">
        <v>1</v>
      </c>
      <c r="F10" s="4">
        <v>152</v>
      </c>
      <c r="G10" s="4">
        <v>203</v>
      </c>
      <c r="H10" s="4">
        <v>12.7</v>
      </c>
      <c r="I10" s="4">
        <v>33</v>
      </c>
      <c r="J10" s="4">
        <v>16</v>
      </c>
      <c r="K10" s="4">
        <v>12</v>
      </c>
      <c r="L10" s="4">
        <v>26</v>
      </c>
      <c r="M10" s="4">
        <v>0.55600000000000005</v>
      </c>
      <c r="N10" s="4">
        <v>68.3</v>
      </c>
      <c r="O10" s="4">
        <v>8690</v>
      </c>
      <c r="P10" s="4">
        <v>17.899999999999999</v>
      </c>
      <c r="Q10" s="4">
        <v>156</v>
      </c>
      <c r="R10" s="4">
        <v>45.4</v>
      </c>
      <c r="S10" s="4">
        <v>37.299999999999997</v>
      </c>
      <c r="T10" s="4">
        <v>90.4</v>
      </c>
      <c r="U10" s="4">
        <v>93.2</v>
      </c>
      <c r="V10" s="4">
        <v>93.9</v>
      </c>
      <c r="W10" s="4">
        <v>94.6</v>
      </c>
      <c r="X10" s="4">
        <v>96.1</v>
      </c>
      <c r="Y10" s="4">
        <v>97.6</v>
      </c>
      <c r="Z10" s="4">
        <v>30.9</v>
      </c>
      <c r="AA10" s="4">
        <v>467</v>
      </c>
      <c r="AB10" s="4">
        <v>1.22</v>
      </c>
      <c r="AC10" s="4">
        <v>1.42</v>
      </c>
      <c r="AD10" s="4" t="s">
        <v>677</v>
      </c>
      <c r="AE10" s="4">
        <v>45.9</v>
      </c>
    </row>
    <row r="11" spans="1:31" hidden="1" x14ac:dyDescent="0.25">
      <c r="A11" s="4" t="s">
        <v>59</v>
      </c>
      <c r="B11" s="5" t="s">
        <v>678</v>
      </c>
      <c r="C11" s="4" t="s">
        <v>59</v>
      </c>
      <c r="D11" s="4">
        <v>11</v>
      </c>
      <c r="E11" s="4">
        <v>3</v>
      </c>
      <c r="F11" s="4">
        <v>102</v>
      </c>
      <c r="G11" s="4">
        <v>203</v>
      </c>
      <c r="H11" s="4">
        <v>25.4</v>
      </c>
      <c r="I11" s="4">
        <v>21.6</v>
      </c>
      <c r="J11" s="4">
        <v>7.99</v>
      </c>
      <c r="K11" s="4">
        <v>4.0199999999999996</v>
      </c>
      <c r="L11" s="4">
        <v>40</v>
      </c>
      <c r="M11" s="4">
        <v>0.249</v>
      </c>
      <c r="N11" s="4">
        <v>111</v>
      </c>
      <c r="O11" s="4">
        <v>14200</v>
      </c>
      <c r="P11" s="4">
        <v>9.81</v>
      </c>
      <c r="Q11" s="4">
        <v>130</v>
      </c>
      <c r="R11" s="4">
        <v>26.3</v>
      </c>
      <c r="S11" s="4">
        <v>26.7</v>
      </c>
      <c r="T11" s="4">
        <v>100</v>
      </c>
      <c r="U11" s="4">
        <v>103</v>
      </c>
      <c r="V11" s="4">
        <v>104</v>
      </c>
      <c r="W11" s="4">
        <v>105</v>
      </c>
      <c r="X11" s="4">
        <v>106</v>
      </c>
      <c r="Y11" s="4">
        <v>108</v>
      </c>
      <c r="Z11" s="4">
        <v>14</v>
      </c>
      <c r="AA11" s="4">
        <v>3050</v>
      </c>
      <c r="AB11" s="4">
        <v>6.92</v>
      </c>
      <c r="AC11" s="4">
        <v>1.22</v>
      </c>
      <c r="AD11" s="4" t="s">
        <v>679</v>
      </c>
      <c r="AE11" s="4">
        <v>74.900000000000006</v>
      </c>
    </row>
    <row r="12" spans="1:31" hidden="1" x14ac:dyDescent="0.25">
      <c r="A12" s="4"/>
      <c r="B12" s="5" t="s">
        <v>680</v>
      </c>
      <c r="C12" s="4" t="s">
        <v>59</v>
      </c>
      <c r="D12" s="4">
        <v>11</v>
      </c>
      <c r="E12" s="4">
        <v>2</v>
      </c>
      <c r="F12" s="4">
        <v>102</v>
      </c>
      <c r="G12" s="4">
        <v>203</v>
      </c>
      <c r="H12" s="4">
        <v>19.100000000000001</v>
      </c>
      <c r="I12" s="4">
        <v>21.7</v>
      </c>
      <c r="J12" s="4">
        <v>10.6</v>
      </c>
      <c r="K12" s="4">
        <v>5.34</v>
      </c>
      <c r="L12" s="4">
        <v>34</v>
      </c>
      <c r="M12" s="4">
        <v>0.26</v>
      </c>
      <c r="N12" s="4">
        <v>85.7</v>
      </c>
      <c r="O12" s="4">
        <v>10900</v>
      </c>
      <c r="P12" s="4">
        <v>7.9</v>
      </c>
      <c r="Q12" s="4">
        <v>102</v>
      </c>
      <c r="R12" s="4">
        <v>26.9</v>
      </c>
      <c r="S12" s="4">
        <v>24.3</v>
      </c>
      <c r="T12" s="4">
        <v>98.9</v>
      </c>
      <c r="U12" s="4">
        <v>102</v>
      </c>
      <c r="V12" s="4">
        <v>103</v>
      </c>
      <c r="W12" s="4">
        <v>104</v>
      </c>
      <c r="X12" s="4">
        <v>105</v>
      </c>
      <c r="Y12" s="4">
        <v>107</v>
      </c>
      <c r="Z12" s="4">
        <v>14.8</v>
      </c>
      <c r="AA12" s="4">
        <v>1330</v>
      </c>
      <c r="AB12" s="4">
        <v>3.11</v>
      </c>
      <c r="AC12" s="4">
        <v>1.22</v>
      </c>
      <c r="AD12" s="4" t="s">
        <v>681</v>
      </c>
      <c r="AE12" s="4">
        <v>57.6</v>
      </c>
    </row>
    <row r="13" spans="1:31" hidden="1" x14ac:dyDescent="0.25">
      <c r="A13" s="4"/>
      <c r="B13" s="5" t="s">
        <v>682</v>
      </c>
      <c r="C13" s="4" t="s">
        <v>59</v>
      </c>
      <c r="D13" s="4">
        <v>11</v>
      </c>
      <c r="E13" s="4">
        <v>1</v>
      </c>
      <c r="F13" s="4">
        <v>102</v>
      </c>
      <c r="G13" s="4">
        <v>203</v>
      </c>
      <c r="H13" s="4">
        <v>12.7</v>
      </c>
      <c r="I13" s="4">
        <v>22.1</v>
      </c>
      <c r="J13" s="4">
        <v>16</v>
      </c>
      <c r="K13" s="4">
        <v>8.0299999999999994</v>
      </c>
      <c r="L13" s="4">
        <v>26</v>
      </c>
      <c r="M13" s="4">
        <v>0.26900000000000002</v>
      </c>
      <c r="N13" s="4">
        <v>58.3</v>
      </c>
      <c r="O13" s="4">
        <v>7420</v>
      </c>
      <c r="P13" s="4">
        <v>5.67</v>
      </c>
      <c r="Q13" s="4">
        <v>70.900000000000006</v>
      </c>
      <c r="R13" s="4">
        <v>27.6</v>
      </c>
      <c r="S13" s="4">
        <v>21.9</v>
      </c>
      <c r="T13" s="4">
        <v>97.8</v>
      </c>
      <c r="U13" s="4">
        <v>101</v>
      </c>
      <c r="V13" s="4">
        <v>102</v>
      </c>
      <c r="W13" s="4">
        <v>102</v>
      </c>
      <c r="X13" s="4">
        <v>104</v>
      </c>
      <c r="Y13" s="4">
        <v>105</v>
      </c>
      <c r="Z13" s="4">
        <v>15.6</v>
      </c>
      <c r="AA13" s="4">
        <v>399</v>
      </c>
      <c r="AB13" s="4">
        <v>0.96499999999999997</v>
      </c>
      <c r="AC13" s="4">
        <v>1.22</v>
      </c>
      <c r="AD13" s="4" t="s">
        <v>683</v>
      </c>
      <c r="AE13" s="4">
        <v>39.200000000000003</v>
      </c>
    </row>
    <row r="14" spans="1:31" hidden="1" x14ac:dyDescent="0.25">
      <c r="A14" s="4" t="s">
        <v>59</v>
      </c>
      <c r="B14" s="5" t="s">
        <v>684</v>
      </c>
      <c r="C14" s="4" t="s">
        <v>59</v>
      </c>
      <c r="D14" s="4">
        <v>11</v>
      </c>
      <c r="E14" s="4">
        <v>2</v>
      </c>
      <c r="F14" s="4">
        <v>102</v>
      </c>
      <c r="G14" s="4">
        <v>178</v>
      </c>
      <c r="H14" s="4">
        <v>19.100000000000001</v>
      </c>
      <c r="I14" s="4">
        <v>21.9</v>
      </c>
      <c r="J14" s="4">
        <v>9.32</v>
      </c>
      <c r="K14" s="4">
        <v>5.34</v>
      </c>
      <c r="L14" s="4">
        <v>34</v>
      </c>
      <c r="M14" s="4">
        <v>0.32500000000000001</v>
      </c>
      <c r="N14" s="4">
        <v>78.2</v>
      </c>
      <c r="O14" s="4">
        <v>9970</v>
      </c>
      <c r="P14" s="4">
        <v>7.64</v>
      </c>
      <c r="Q14" s="4">
        <v>100</v>
      </c>
      <c r="R14" s="4">
        <v>27.7</v>
      </c>
      <c r="S14" s="4">
        <v>25.8</v>
      </c>
      <c r="T14" s="4">
        <v>85.1</v>
      </c>
      <c r="U14" s="4">
        <v>88.1</v>
      </c>
      <c r="V14" s="4">
        <v>88.9</v>
      </c>
      <c r="W14" s="4">
        <v>89.7</v>
      </c>
      <c r="X14" s="4">
        <v>91.3</v>
      </c>
      <c r="Y14" s="4">
        <v>92.8</v>
      </c>
      <c r="Z14" s="4">
        <v>16.2</v>
      </c>
      <c r="AA14" s="4">
        <v>1210</v>
      </c>
      <c r="AB14" s="4">
        <v>2.16</v>
      </c>
      <c r="AC14" s="4">
        <v>1.1200000000000001</v>
      </c>
      <c r="AD14" s="4" t="s">
        <v>685</v>
      </c>
      <c r="AE14" s="4">
        <v>52.6</v>
      </c>
    </row>
    <row r="15" spans="1:31" hidden="1" x14ac:dyDescent="0.25">
      <c r="A15" s="4"/>
      <c r="B15" s="5" t="s">
        <v>686</v>
      </c>
      <c r="C15" s="4" t="s">
        <v>59</v>
      </c>
      <c r="D15" s="4">
        <v>11</v>
      </c>
      <c r="E15" s="4">
        <v>2</v>
      </c>
      <c r="F15" s="4">
        <v>102</v>
      </c>
      <c r="G15" s="4">
        <v>178</v>
      </c>
      <c r="H15" s="4">
        <v>15.9</v>
      </c>
      <c r="I15" s="4">
        <v>22.1</v>
      </c>
      <c r="J15" s="4">
        <v>11.2</v>
      </c>
      <c r="K15" s="4">
        <v>6.42</v>
      </c>
      <c r="L15" s="4">
        <v>30</v>
      </c>
      <c r="M15" s="4">
        <v>0.33100000000000002</v>
      </c>
      <c r="N15" s="4">
        <v>65.900000000000006</v>
      </c>
      <c r="O15" s="4">
        <v>8400</v>
      </c>
      <c r="P15" s="4">
        <v>6.61</v>
      </c>
      <c r="Q15" s="4">
        <v>85.4</v>
      </c>
      <c r="R15" s="4">
        <v>28.1</v>
      </c>
      <c r="S15" s="4">
        <v>24.6</v>
      </c>
      <c r="T15" s="4">
        <v>84.5</v>
      </c>
      <c r="U15" s="4">
        <v>87.5</v>
      </c>
      <c r="V15" s="4">
        <v>88.3</v>
      </c>
      <c r="W15" s="4">
        <v>89.1</v>
      </c>
      <c r="X15" s="4">
        <v>90.6</v>
      </c>
      <c r="Y15" s="4">
        <v>92.2</v>
      </c>
      <c r="Z15" s="4">
        <v>16.600000000000001</v>
      </c>
      <c r="AA15" s="4">
        <v>708</v>
      </c>
      <c r="AB15" s="4">
        <v>1.28</v>
      </c>
      <c r="AC15" s="4">
        <v>1.1200000000000001</v>
      </c>
      <c r="AD15" s="4" t="s">
        <v>687</v>
      </c>
      <c r="AE15" s="4">
        <v>44.3</v>
      </c>
    </row>
    <row r="16" spans="1:31" hidden="1" x14ac:dyDescent="0.25">
      <c r="A16" s="4"/>
      <c r="B16" s="5" t="s">
        <v>688</v>
      </c>
      <c r="C16" s="4"/>
      <c r="D16" s="4">
        <v>11</v>
      </c>
      <c r="E16" s="4">
        <v>1</v>
      </c>
      <c r="F16" s="4">
        <v>102</v>
      </c>
      <c r="G16" s="4">
        <v>178</v>
      </c>
      <c r="H16" s="4">
        <v>12.7</v>
      </c>
      <c r="I16" s="4">
        <v>22.2</v>
      </c>
      <c r="J16" s="4">
        <v>14</v>
      </c>
      <c r="K16" s="4">
        <v>8.0299999999999994</v>
      </c>
      <c r="L16" s="4">
        <v>26</v>
      </c>
      <c r="M16" s="4">
        <v>0.33600000000000002</v>
      </c>
      <c r="N16" s="4">
        <v>53.3</v>
      </c>
      <c r="O16" s="4">
        <v>6790</v>
      </c>
      <c r="P16" s="4">
        <v>5.5</v>
      </c>
      <c r="Q16" s="4">
        <v>69.900000000000006</v>
      </c>
      <c r="R16" s="4">
        <v>28.5</v>
      </c>
      <c r="S16" s="4">
        <v>23.4</v>
      </c>
      <c r="T16" s="4">
        <v>84</v>
      </c>
      <c r="U16" s="4">
        <v>86.9</v>
      </c>
      <c r="V16" s="4">
        <v>87.7</v>
      </c>
      <c r="W16" s="4">
        <v>88.5</v>
      </c>
      <c r="X16" s="4">
        <v>90</v>
      </c>
      <c r="Y16" s="4">
        <v>91.5</v>
      </c>
      <c r="Z16" s="4">
        <v>17</v>
      </c>
      <c r="AA16" s="4">
        <v>365</v>
      </c>
      <c r="AB16" s="4">
        <v>0.67500000000000004</v>
      </c>
      <c r="AC16" s="4">
        <v>1.1200000000000001</v>
      </c>
      <c r="AD16" s="4" t="s">
        <v>689</v>
      </c>
      <c r="AE16" s="4">
        <v>35.799999999999997</v>
      </c>
    </row>
    <row r="17" spans="1:31" hidden="1" x14ac:dyDescent="0.25">
      <c r="A17" s="4"/>
      <c r="B17" s="5" t="s">
        <v>690</v>
      </c>
      <c r="C17" s="4" t="s">
        <v>59</v>
      </c>
      <c r="D17" s="4">
        <v>11</v>
      </c>
      <c r="E17" s="4">
        <v>1</v>
      </c>
      <c r="F17" s="4">
        <v>102</v>
      </c>
      <c r="G17" s="4">
        <v>178</v>
      </c>
      <c r="H17" s="4">
        <v>11.1</v>
      </c>
      <c r="I17" s="4">
        <v>22.3</v>
      </c>
      <c r="J17" s="4">
        <v>16</v>
      </c>
      <c r="K17" s="4">
        <v>9.19</v>
      </c>
      <c r="L17" s="4">
        <v>26</v>
      </c>
      <c r="M17" s="4">
        <v>0.33900000000000002</v>
      </c>
      <c r="N17" s="4">
        <v>46.9</v>
      </c>
      <c r="O17" s="4">
        <v>5970</v>
      </c>
      <c r="P17" s="4">
        <v>4.9000000000000004</v>
      </c>
      <c r="Q17" s="4">
        <v>61.9</v>
      </c>
      <c r="R17" s="4">
        <v>28.7</v>
      </c>
      <c r="S17" s="4">
        <v>22.8</v>
      </c>
      <c r="T17" s="4">
        <v>83.7</v>
      </c>
      <c r="U17" s="4">
        <v>86.6</v>
      </c>
      <c r="V17" s="4">
        <v>87.4</v>
      </c>
      <c r="W17" s="4">
        <v>88.2</v>
      </c>
      <c r="X17" s="4">
        <v>89.7</v>
      </c>
      <c r="Y17" s="4">
        <v>91.2</v>
      </c>
      <c r="Z17" s="4">
        <v>17.2</v>
      </c>
      <c r="AA17" s="4">
        <v>245</v>
      </c>
      <c r="AB17" s="4">
        <v>0.45800000000000002</v>
      </c>
      <c r="AC17" s="4">
        <v>1.1200000000000001</v>
      </c>
      <c r="AD17" s="4" t="s">
        <v>691</v>
      </c>
      <c r="AE17" s="4">
        <v>31.5</v>
      </c>
    </row>
    <row r="18" spans="1:31" hidden="1" x14ac:dyDescent="0.25">
      <c r="A18" s="4"/>
      <c r="B18" s="5" t="s">
        <v>692</v>
      </c>
      <c r="C18" s="4"/>
      <c r="D18" s="4">
        <v>11</v>
      </c>
      <c r="E18" s="4">
        <v>1</v>
      </c>
      <c r="F18" s="4">
        <v>102</v>
      </c>
      <c r="G18" s="4">
        <v>178</v>
      </c>
      <c r="H18" s="4">
        <v>9.5299999999999994</v>
      </c>
      <c r="I18" s="4">
        <v>22.4</v>
      </c>
      <c r="J18" s="4">
        <v>18.7</v>
      </c>
      <c r="K18" s="4">
        <v>10.7</v>
      </c>
      <c r="L18" s="4">
        <v>24</v>
      </c>
      <c r="M18" s="4">
        <v>0.34100000000000003</v>
      </c>
      <c r="N18" s="4">
        <v>40.5</v>
      </c>
      <c r="O18" s="4">
        <v>5160</v>
      </c>
      <c r="P18" s="4">
        <v>4.3</v>
      </c>
      <c r="Q18" s="4">
        <v>53.9</v>
      </c>
      <c r="R18" s="4">
        <v>28.9</v>
      </c>
      <c r="S18" s="4">
        <v>22.2</v>
      </c>
      <c r="T18" s="4">
        <v>83.4</v>
      </c>
      <c r="U18" s="4">
        <v>86.4</v>
      </c>
      <c r="V18" s="4">
        <v>87.1</v>
      </c>
      <c r="W18" s="4">
        <v>87.9</v>
      </c>
      <c r="X18" s="4">
        <v>89.4</v>
      </c>
      <c r="Y18" s="4">
        <v>90.9</v>
      </c>
      <c r="Z18" s="4">
        <v>17.399999999999999</v>
      </c>
      <c r="AA18" s="4">
        <v>156</v>
      </c>
      <c r="AB18" s="4">
        <v>0.29399999999999998</v>
      </c>
      <c r="AC18" s="4">
        <v>1.1200000000000001</v>
      </c>
      <c r="AD18" s="4" t="s">
        <v>693</v>
      </c>
      <c r="AE18" s="4">
        <v>27.2</v>
      </c>
    </row>
    <row r="19" spans="1:31" hidden="1" x14ac:dyDescent="0.25">
      <c r="A19" s="4" t="s">
        <v>59</v>
      </c>
      <c r="B19" s="5" t="s">
        <v>694</v>
      </c>
      <c r="C19" s="4" t="s">
        <v>59</v>
      </c>
      <c r="D19" s="4">
        <v>11</v>
      </c>
      <c r="E19" s="4">
        <v>3</v>
      </c>
      <c r="F19" s="4">
        <v>102</v>
      </c>
      <c r="G19" s="4">
        <v>152</v>
      </c>
      <c r="H19" s="4">
        <v>22.2</v>
      </c>
      <c r="I19" s="4">
        <v>21.9</v>
      </c>
      <c r="J19" s="4">
        <v>6.85</v>
      </c>
      <c r="K19" s="4">
        <v>4.59</v>
      </c>
      <c r="L19" s="4">
        <v>36</v>
      </c>
      <c r="M19" s="4">
        <v>0.42699999999999999</v>
      </c>
      <c r="N19" s="4">
        <v>80.8</v>
      </c>
      <c r="O19" s="4">
        <v>10300</v>
      </c>
      <c r="P19" s="4">
        <v>8.1999999999999993</v>
      </c>
      <c r="Q19" s="4">
        <v>112</v>
      </c>
      <c r="R19" s="4">
        <v>28.2</v>
      </c>
      <c r="S19" s="4">
        <v>28.7</v>
      </c>
      <c r="T19" s="4">
        <v>71.5</v>
      </c>
      <c r="U19" s="4">
        <v>74.5</v>
      </c>
      <c r="V19" s="4">
        <v>75.3</v>
      </c>
      <c r="W19" s="4">
        <v>76.099999999999994</v>
      </c>
      <c r="X19" s="4">
        <v>77.599999999999994</v>
      </c>
      <c r="Y19" s="4">
        <v>79.2</v>
      </c>
      <c r="Z19" s="4">
        <v>17.600000000000001</v>
      </c>
      <c r="AA19" s="4">
        <v>1690</v>
      </c>
      <c r="AB19" s="4">
        <v>2.16</v>
      </c>
      <c r="AC19" s="4">
        <v>1.02</v>
      </c>
      <c r="AD19" s="4" t="s">
        <v>695</v>
      </c>
      <c r="AE19" s="4">
        <v>54.3</v>
      </c>
    </row>
    <row r="20" spans="1:31" hidden="1" x14ac:dyDescent="0.25">
      <c r="A20" s="4"/>
      <c r="B20" s="5" t="s">
        <v>696</v>
      </c>
      <c r="C20" s="4"/>
      <c r="D20" s="4">
        <v>11</v>
      </c>
      <c r="E20" s="4">
        <v>2</v>
      </c>
      <c r="F20" s="4">
        <v>102</v>
      </c>
      <c r="G20" s="4">
        <v>152</v>
      </c>
      <c r="H20" s="4">
        <v>19.100000000000001</v>
      </c>
      <c r="I20" s="4">
        <v>21.9</v>
      </c>
      <c r="J20" s="4">
        <v>7.96</v>
      </c>
      <c r="K20" s="4">
        <v>5.34</v>
      </c>
      <c r="L20" s="4">
        <v>34</v>
      </c>
      <c r="M20" s="4">
        <v>0.434</v>
      </c>
      <c r="N20" s="4">
        <v>70.400000000000006</v>
      </c>
      <c r="O20" s="4">
        <v>8970</v>
      </c>
      <c r="P20" s="4">
        <v>7.32</v>
      </c>
      <c r="Q20" s="4">
        <v>98.3</v>
      </c>
      <c r="R20" s="4">
        <v>28.6</v>
      </c>
      <c r="S20" s="4">
        <v>27.5</v>
      </c>
      <c r="T20" s="4">
        <v>70.900000000000006</v>
      </c>
      <c r="U20" s="4">
        <v>73.900000000000006</v>
      </c>
      <c r="V20" s="4">
        <v>74.7</v>
      </c>
      <c r="W20" s="4">
        <v>75.5</v>
      </c>
      <c r="X20" s="4">
        <v>77</v>
      </c>
      <c r="Y20" s="4">
        <v>78.599999999999994</v>
      </c>
      <c r="Z20" s="4">
        <v>18</v>
      </c>
      <c r="AA20" s="4">
        <v>1090</v>
      </c>
      <c r="AB20" s="4">
        <v>1.42</v>
      </c>
      <c r="AC20" s="4">
        <v>1.02</v>
      </c>
      <c r="AD20" s="4" t="s">
        <v>697</v>
      </c>
      <c r="AE20" s="4">
        <v>47.3</v>
      </c>
    </row>
    <row r="21" spans="1:31" hidden="1" x14ac:dyDescent="0.25">
      <c r="A21" s="4"/>
      <c r="B21" s="5" t="s">
        <v>698</v>
      </c>
      <c r="C21" s="4"/>
      <c r="D21" s="4">
        <v>11</v>
      </c>
      <c r="E21" s="4">
        <v>2</v>
      </c>
      <c r="F21" s="4">
        <v>102</v>
      </c>
      <c r="G21" s="4">
        <v>152</v>
      </c>
      <c r="H21" s="4">
        <v>15.9</v>
      </c>
      <c r="I21" s="4">
        <v>22</v>
      </c>
      <c r="J21" s="4">
        <v>9.56</v>
      </c>
      <c r="K21" s="4">
        <v>6.42</v>
      </c>
      <c r="L21" s="4">
        <v>30</v>
      </c>
      <c r="M21" s="4">
        <v>0.44</v>
      </c>
      <c r="N21" s="4">
        <v>59.4</v>
      </c>
      <c r="O21" s="4">
        <v>7570</v>
      </c>
      <c r="P21" s="4">
        <v>6.34</v>
      </c>
      <c r="Q21" s="4">
        <v>83.8</v>
      </c>
      <c r="R21" s="4">
        <v>28.9</v>
      </c>
      <c r="S21" s="4">
        <v>26.4</v>
      </c>
      <c r="T21" s="4">
        <v>70.3</v>
      </c>
      <c r="U21" s="4">
        <v>73.3</v>
      </c>
      <c r="V21" s="4">
        <v>74.099999999999994</v>
      </c>
      <c r="W21" s="4">
        <v>74.8</v>
      </c>
      <c r="X21" s="4">
        <v>76.400000000000006</v>
      </c>
      <c r="Y21" s="4">
        <v>77.900000000000006</v>
      </c>
      <c r="Z21" s="4">
        <v>18.399999999999999</v>
      </c>
      <c r="AA21" s="4">
        <v>638</v>
      </c>
      <c r="AB21" s="4">
        <v>0.85299999999999998</v>
      </c>
      <c r="AC21" s="4">
        <v>1.02</v>
      </c>
      <c r="AD21" s="4" t="s">
        <v>699</v>
      </c>
      <c r="AE21" s="4">
        <v>39.9</v>
      </c>
    </row>
    <row r="22" spans="1:31" hidden="1" x14ac:dyDescent="0.25">
      <c r="A22" s="4"/>
      <c r="B22" s="5" t="s">
        <v>700</v>
      </c>
      <c r="C22" s="4" t="s">
        <v>59</v>
      </c>
      <c r="D22" s="4">
        <v>11</v>
      </c>
      <c r="E22" s="4">
        <v>2</v>
      </c>
      <c r="F22" s="4">
        <v>102</v>
      </c>
      <c r="G22" s="4">
        <v>152</v>
      </c>
      <c r="H22" s="4">
        <v>14.3</v>
      </c>
      <c r="I22" s="4">
        <v>22.1</v>
      </c>
      <c r="J22" s="4">
        <v>10.6</v>
      </c>
      <c r="K22" s="4">
        <v>7.13</v>
      </c>
      <c r="L22" s="4">
        <v>28</v>
      </c>
      <c r="M22" s="4">
        <v>0.443</v>
      </c>
      <c r="N22" s="4">
        <v>53.8</v>
      </c>
      <c r="O22" s="4">
        <v>6860</v>
      </c>
      <c r="P22" s="4">
        <v>5.82</v>
      </c>
      <c r="Q22" s="4">
        <v>76.400000000000006</v>
      </c>
      <c r="R22" s="4">
        <v>29.1</v>
      </c>
      <c r="S22" s="4">
        <v>25.8</v>
      </c>
      <c r="T22" s="4">
        <v>70.099999999999994</v>
      </c>
      <c r="U22" s="4">
        <v>73</v>
      </c>
      <c r="V22" s="4">
        <v>73.8</v>
      </c>
      <c r="W22" s="4">
        <v>74.5</v>
      </c>
      <c r="X22" s="4">
        <v>76.099999999999994</v>
      </c>
      <c r="Y22" s="4">
        <v>77.599999999999994</v>
      </c>
      <c r="Z22" s="4">
        <v>18.7</v>
      </c>
      <c r="AA22" s="4">
        <v>467</v>
      </c>
      <c r="AB22" s="4">
        <v>0.63200000000000001</v>
      </c>
      <c r="AC22" s="4">
        <v>1.02</v>
      </c>
      <c r="AD22" s="4" t="s">
        <v>701</v>
      </c>
      <c r="AE22" s="4">
        <v>36.200000000000003</v>
      </c>
    </row>
    <row r="23" spans="1:31" hidden="1" x14ac:dyDescent="0.25">
      <c r="A23" s="4"/>
      <c r="B23" s="5" t="s">
        <v>702</v>
      </c>
      <c r="C23" s="4"/>
      <c r="D23" s="4">
        <v>11</v>
      </c>
      <c r="E23" s="4">
        <v>1</v>
      </c>
      <c r="F23" s="4">
        <v>102</v>
      </c>
      <c r="G23" s="4">
        <v>152</v>
      </c>
      <c r="H23" s="4">
        <v>12.7</v>
      </c>
      <c r="I23" s="4">
        <v>22.2</v>
      </c>
      <c r="J23" s="4">
        <v>12</v>
      </c>
      <c r="K23" s="4">
        <v>8.0299999999999994</v>
      </c>
      <c r="L23" s="4">
        <v>26</v>
      </c>
      <c r="M23" s="4">
        <v>0.44600000000000001</v>
      </c>
      <c r="N23" s="4">
        <v>48.1</v>
      </c>
      <c r="O23" s="4">
        <v>6130</v>
      </c>
      <c r="P23" s="4">
        <v>5.28</v>
      </c>
      <c r="Q23" s="4">
        <v>68.7</v>
      </c>
      <c r="R23" s="4">
        <v>29.3</v>
      </c>
      <c r="S23" s="4">
        <v>25.2</v>
      </c>
      <c r="T23" s="4">
        <v>69.8</v>
      </c>
      <c r="U23" s="4">
        <v>72.7</v>
      </c>
      <c r="V23" s="4">
        <v>73.5</v>
      </c>
      <c r="W23" s="4">
        <v>74.2</v>
      </c>
      <c r="X23" s="4">
        <v>75.8</v>
      </c>
      <c r="Y23" s="4">
        <v>77.3</v>
      </c>
      <c r="Z23" s="4">
        <v>18.899999999999999</v>
      </c>
      <c r="AA23" s="4">
        <v>330</v>
      </c>
      <c r="AB23" s="4">
        <v>0.45100000000000001</v>
      </c>
      <c r="AC23" s="4">
        <v>1.02</v>
      </c>
      <c r="AD23" s="4" t="s">
        <v>703</v>
      </c>
      <c r="AE23" s="4">
        <v>32.299999999999997</v>
      </c>
    </row>
    <row r="24" spans="1:31" hidden="1" x14ac:dyDescent="0.25">
      <c r="A24" s="4"/>
      <c r="B24" s="5" t="s">
        <v>704</v>
      </c>
      <c r="C24" s="4" t="s">
        <v>59</v>
      </c>
      <c r="D24" s="4">
        <v>11</v>
      </c>
      <c r="E24" s="4">
        <v>1</v>
      </c>
      <c r="F24" s="4">
        <v>102</v>
      </c>
      <c r="G24" s="4">
        <v>152</v>
      </c>
      <c r="H24" s="4">
        <v>11.1</v>
      </c>
      <c r="I24" s="4">
        <v>22.3</v>
      </c>
      <c r="J24" s="4">
        <v>13.7</v>
      </c>
      <c r="K24" s="4">
        <v>9.19</v>
      </c>
      <c r="L24" s="4">
        <v>26</v>
      </c>
      <c r="M24" s="4">
        <v>0.44900000000000001</v>
      </c>
      <c r="N24" s="4">
        <v>42.3</v>
      </c>
      <c r="O24" s="4">
        <v>5390</v>
      </c>
      <c r="P24" s="4">
        <v>4.71</v>
      </c>
      <c r="Q24" s="4">
        <v>60.9</v>
      </c>
      <c r="R24" s="4">
        <v>29.6</v>
      </c>
      <c r="S24" s="4">
        <v>24.6</v>
      </c>
      <c r="T24" s="4">
        <v>69.5</v>
      </c>
      <c r="U24" s="4">
        <v>72.400000000000006</v>
      </c>
      <c r="V24" s="4">
        <v>73.2</v>
      </c>
      <c r="W24" s="4">
        <v>73.900000000000006</v>
      </c>
      <c r="X24" s="4">
        <v>75.5</v>
      </c>
      <c r="Y24" s="4">
        <v>77</v>
      </c>
      <c r="Z24" s="4">
        <v>19.100000000000001</v>
      </c>
      <c r="AA24" s="4">
        <v>221</v>
      </c>
      <c r="AB24" s="4">
        <v>0.307</v>
      </c>
      <c r="AC24" s="4">
        <v>1.02</v>
      </c>
      <c r="AD24" s="4" t="s">
        <v>705</v>
      </c>
      <c r="AE24" s="4">
        <v>28.4</v>
      </c>
    </row>
    <row r="25" spans="1:31" hidden="1" x14ac:dyDescent="0.25">
      <c r="A25" s="4"/>
      <c r="B25" s="5" t="s">
        <v>706</v>
      </c>
      <c r="C25" s="4"/>
      <c r="D25" s="4">
        <v>11</v>
      </c>
      <c r="E25" s="4">
        <v>1</v>
      </c>
      <c r="F25" s="4">
        <v>102</v>
      </c>
      <c r="G25" s="4">
        <v>152</v>
      </c>
      <c r="H25" s="4">
        <v>9.5299999999999994</v>
      </c>
      <c r="I25" s="4">
        <v>22.4</v>
      </c>
      <c r="J25" s="4">
        <v>15.9</v>
      </c>
      <c r="K25" s="4">
        <v>10.7</v>
      </c>
      <c r="L25" s="4">
        <v>24</v>
      </c>
      <c r="M25" s="4">
        <v>0.45100000000000001</v>
      </c>
      <c r="N25" s="4">
        <v>36.6</v>
      </c>
      <c r="O25" s="4">
        <v>4660</v>
      </c>
      <c r="P25" s="4">
        <v>4.13</v>
      </c>
      <c r="Q25" s="4">
        <v>53</v>
      </c>
      <c r="R25" s="4">
        <v>29.8</v>
      </c>
      <c r="S25" s="4">
        <v>24.1</v>
      </c>
      <c r="T25" s="4">
        <v>69.3</v>
      </c>
      <c r="U25" s="4">
        <v>72.2</v>
      </c>
      <c r="V25" s="4">
        <v>72.900000000000006</v>
      </c>
      <c r="W25" s="4">
        <v>73.7</v>
      </c>
      <c r="X25" s="4">
        <v>75.2</v>
      </c>
      <c r="Y25" s="4">
        <v>76.7</v>
      </c>
      <c r="Z25" s="4">
        <v>19.3</v>
      </c>
      <c r="AA25" s="4">
        <v>141</v>
      </c>
      <c r="AB25" s="4">
        <v>0.19800000000000001</v>
      </c>
      <c r="AC25" s="4">
        <v>1.02</v>
      </c>
      <c r="AD25" s="4" t="s">
        <v>707</v>
      </c>
      <c r="AE25" s="4">
        <v>24.6</v>
      </c>
    </row>
    <row r="26" spans="1:31" hidden="1" x14ac:dyDescent="0.25">
      <c r="A26" s="4"/>
      <c r="B26" s="5" t="s">
        <v>708</v>
      </c>
      <c r="C26" s="4"/>
      <c r="D26" s="4">
        <v>11</v>
      </c>
      <c r="E26" s="4">
        <v>1</v>
      </c>
      <c r="F26" s="4">
        <v>102</v>
      </c>
      <c r="G26" s="4">
        <v>152</v>
      </c>
      <c r="H26" s="4">
        <v>7.94</v>
      </c>
      <c r="I26" s="4">
        <v>22.5</v>
      </c>
      <c r="J26" s="4">
        <v>19.100000000000001</v>
      </c>
      <c r="K26" s="4">
        <v>12.8</v>
      </c>
      <c r="L26" s="4">
        <v>22</v>
      </c>
      <c r="M26" s="4">
        <v>0.45400000000000001</v>
      </c>
      <c r="N26" s="4">
        <v>30.7</v>
      </c>
      <c r="O26" s="4">
        <v>3910</v>
      </c>
      <c r="P26" s="4">
        <v>3.51</v>
      </c>
      <c r="Q26" s="4">
        <v>44.7</v>
      </c>
      <c r="R26" s="4">
        <v>30</v>
      </c>
      <c r="S26" s="4">
        <v>23.5</v>
      </c>
      <c r="T26" s="4">
        <v>69</v>
      </c>
      <c r="U26" s="4">
        <v>71.900000000000006</v>
      </c>
      <c r="V26" s="4">
        <v>72.599999999999994</v>
      </c>
      <c r="W26" s="4">
        <v>73.400000000000006</v>
      </c>
      <c r="X26" s="4">
        <v>74.900000000000006</v>
      </c>
      <c r="Y26" s="4">
        <v>76.400000000000006</v>
      </c>
      <c r="Z26" s="4">
        <v>19.5</v>
      </c>
      <c r="AA26" s="4">
        <v>82.1</v>
      </c>
      <c r="AB26" s="4">
        <v>0.11600000000000001</v>
      </c>
      <c r="AC26" s="4">
        <v>1.02</v>
      </c>
      <c r="AD26" s="4" t="s">
        <v>709</v>
      </c>
      <c r="AE26" s="4">
        <v>20.6</v>
      </c>
    </row>
    <row r="27" spans="1:31" hidden="1" x14ac:dyDescent="0.25">
      <c r="A27" s="4" t="s">
        <v>59</v>
      </c>
      <c r="B27" s="5" t="s">
        <v>710</v>
      </c>
      <c r="C27" s="4"/>
      <c r="D27" s="4">
        <v>11</v>
      </c>
      <c r="E27" s="4">
        <v>2</v>
      </c>
      <c r="F27" s="4">
        <v>88.9</v>
      </c>
      <c r="G27" s="4">
        <v>152</v>
      </c>
      <c r="H27" s="4">
        <v>15.9</v>
      </c>
      <c r="I27" s="4">
        <v>19.100000000000001</v>
      </c>
      <c r="J27" s="4">
        <v>9.56</v>
      </c>
      <c r="K27" s="4">
        <v>5.59</v>
      </c>
      <c r="L27" s="4">
        <v>30</v>
      </c>
      <c r="M27" s="4">
        <v>0.33900000000000002</v>
      </c>
      <c r="N27" s="4">
        <v>56.2</v>
      </c>
      <c r="O27" s="4">
        <v>7160</v>
      </c>
      <c r="P27" s="4">
        <v>4.2300000000000004</v>
      </c>
      <c r="Q27" s="4">
        <v>63.6</v>
      </c>
      <c r="R27" s="4">
        <v>24.3</v>
      </c>
      <c r="S27" s="4">
        <v>22.4</v>
      </c>
      <c r="T27" s="4">
        <v>72.3</v>
      </c>
      <c r="U27" s="4">
        <v>75.3</v>
      </c>
      <c r="V27" s="4">
        <v>76.099999999999994</v>
      </c>
      <c r="W27" s="4">
        <v>76.900000000000006</v>
      </c>
      <c r="X27" s="4">
        <v>78.5</v>
      </c>
      <c r="Y27" s="4">
        <v>80.099999999999994</v>
      </c>
      <c r="Z27" s="4">
        <v>14.4</v>
      </c>
      <c r="AA27" s="4">
        <v>603</v>
      </c>
      <c r="AB27" s="4">
        <v>0.78600000000000003</v>
      </c>
      <c r="AC27" s="4">
        <v>0.96399999999999997</v>
      </c>
      <c r="AD27" s="4" t="s">
        <v>711</v>
      </c>
      <c r="AE27" s="4">
        <v>37.700000000000003</v>
      </c>
    </row>
    <row r="28" spans="1:31" hidden="1" x14ac:dyDescent="0.25">
      <c r="A28" s="4"/>
      <c r="B28" s="5" t="s">
        <v>712</v>
      </c>
      <c r="C28" s="4"/>
      <c r="D28" s="4">
        <v>11</v>
      </c>
      <c r="E28" s="4">
        <v>1</v>
      </c>
      <c r="F28" s="4">
        <v>88.9</v>
      </c>
      <c r="G28" s="4">
        <v>152</v>
      </c>
      <c r="H28" s="4">
        <v>12.7</v>
      </c>
      <c r="I28" s="4">
        <v>19.3</v>
      </c>
      <c r="J28" s="4">
        <v>12</v>
      </c>
      <c r="K28" s="4">
        <v>7</v>
      </c>
      <c r="L28" s="4">
        <v>26</v>
      </c>
      <c r="M28" s="4">
        <v>0.34499999999999997</v>
      </c>
      <c r="N28" s="4">
        <v>45.5</v>
      </c>
      <c r="O28" s="4">
        <v>5800</v>
      </c>
      <c r="P28" s="4">
        <v>3.54</v>
      </c>
      <c r="Q28" s="4">
        <v>52.2</v>
      </c>
      <c r="R28" s="4">
        <v>24.7</v>
      </c>
      <c r="S28" s="4">
        <v>21.2</v>
      </c>
      <c r="T28" s="4">
        <v>71.7</v>
      </c>
      <c r="U28" s="4">
        <v>74.7</v>
      </c>
      <c r="V28" s="4">
        <v>75.5</v>
      </c>
      <c r="W28" s="4">
        <v>76.3</v>
      </c>
      <c r="X28" s="4">
        <v>77.8</v>
      </c>
      <c r="Y28" s="4">
        <v>79.400000000000006</v>
      </c>
      <c r="Z28" s="4">
        <v>14.8</v>
      </c>
      <c r="AA28" s="4">
        <v>312</v>
      </c>
      <c r="AB28" s="4">
        <v>0.41599999999999998</v>
      </c>
      <c r="AC28" s="4">
        <v>0.96399999999999997</v>
      </c>
      <c r="AD28" s="4" t="s">
        <v>713</v>
      </c>
      <c r="AE28" s="4">
        <v>30.6</v>
      </c>
    </row>
    <row r="29" spans="1:31" hidden="1" x14ac:dyDescent="0.25">
      <c r="A29" s="4"/>
      <c r="B29" s="5" t="s">
        <v>714</v>
      </c>
      <c r="C29" s="4"/>
      <c r="D29" s="4">
        <v>11</v>
      </c>
      <c r="E29" s="4">
        <v>1</v>
      </c>
      <c r="F29" s="4">
        <v>88.9</v>
      </c>
      <c r="G29" s="4">
        <v>152</v>
      </c>
      <c r="H29" s="4">
        <v>9.5299999999999994</v>
      </c>
      <c r="I29" s="4">
        <v>19.5</v>
      </c>
      <c r="J29" s="4">
        <v>15.9</v>
      </c>
      <c r="K29" s="4">
        <v>9.33</v>
      </c>
      <c r="L29" s="4">
        <v>24</v>
      </c>
      <c r="M29" s="4">
        <v>0.35099999999999998</v>
      </c>
      <c r="N29" s="4">
        <v>34.6</v>
      </c>
      <c r="O29" s="4">
        <v>4410</v>
      </c>
      <c r="P29" s="4">
        <v>2.78</v>
      </c>
      <c r="Q29" s="4">
        <v>40.4</v>
      </c>
      <c r="R29" s="4">
        <v>25.1</v>
      </c>
      <c r="S29" s="4">
        <v>20</v>
      </c>
      <c r="T29" s="4">
        <v>71.2</v>
      </c>
      <c r="U29" s="4">
        <v>74.2</v>
      </c>
      <c r="V29" s="4">
        <v>74.900000000000006</v>
      </c>
      <c r="W29" s="4">
        <v>75.7</v>
      </c>
      <c r="X29" s="4">
        <v>77.2</v>
      </c>
      <c r="Y29" s="4">
        <v>78.7</v>
      </c>
      <c r="Z29" s="4">
        <v>15.2</v>
      </c>
      <c r="AA29" s="4">
        <v>134</v>
      </c>
      <c r="AB29" s="4">
        <v>0.182</v>
      </c>
      <c r="AC29" s="4">
        <v>0.96399999999999997</v>
      </c>
      <c r="AD29" s="4" t="s">
        <v>715</v>
      </c>
      <c r="AE29" s="4">
        <v>23.3</v>
      </c>
    </row>
    <row r="30" spans="1:31" hidden="1" x14ac:dyDescent="0.25">
      <c r="A30" s="4"/>
      <c r="B30" s="5" t="s">
        <v>716</v>
      </c>
      <c r="C30" s="4"/>
      <c r="D30" s="4">
        <v>11</v>
      </c>
      <c r="E30" s="4">
        <v>1</v>
      </c>
      <c r="F30" s="4">
        <v>88.9</v>
      </c>
      <c r="G30" s="4">
        <v>152</v>
      </c>
      <c r="H30" s="4">
        <v>7.94</v>
      </c>
      <c r="I30" s="4">
        <v>19.600000000000001</v>
      </c>
      <c r="J30" s="4">
        <v>19.100000000000001</v>
      </c>
      <c r="K30" s="4">
        <v>11.2</v>
      </c>
      <c r="L30" s="4">
        <v>22</v>
      </c>
      <c r="M30" s="4">
        <v>0.35399999999999998</v>
      </c>
      <c r="N30" s="4">
        <v>29</v>
      </c>
      <c r="O30" s="4">
        <v>3700</v>
      </c>
      <c r="P30" s="4">
        <v>2.37</v>
      </c>
      <c r="Q30" s="4">
        <v>34.1</v>
      </c>
      <c r="R30" s="4">
        <v>25.3</v>
      </c>
      <c r="S30" s="4">
        <v>19.399999999999999</v>
      </c>
      <c r="T30" s="4">
        <v>70.900000000000006</v>
      </c>
      <c r="U30" s="4">
        <v>73.900000000000006</v>
      </c>
      <c r="V30" s="4">
        <v>74.599999999999994</v>
      </c>
      <c r="W30" s="4">
        <v>75.400000000000006</v>
      </c>
      <c r="X30" s="4">
        <v>76.900000000000006</v>
      </c>
      <c r="Y30" s="4">
        <v>78.400000000000006</v>
      </c>
      <c r="Z30" s="4">
        <v>15.4</v>
      </c>
      <c r="AA30" s="4">
        <v>77.7</v>
      </c>
      <c r="AB30" s="4">
        <v>0.107</v>
      </c>
      <c r="AC30" s="4">
        <v>0.96399999999999997</v>
      </c>
      <c r="AD30" s="4" t="s">
        <v>717</v>
      </c>
      <c r="AE30" s="4">
        <v>19.5</v>
      </c>
    </row>
    <row r="31" spans="1:31" hidden="1" x14ac:dyDescent="0.25">
      <c r="A31" s="4" t="s">
        <v>59</v>
      </c>
      <c r="B31" s="5" t="s">
        <v>718</v>
      </c>
      <c r="C31" s="4" t="s">
        <v>59</v>
      </c>
      <c r="D31" s="4">
        <v>11</v>
      </c>
      <c r="E31" s="4">
        <v>2</v>
      </c>
      <c r="F31" s="4">
        <v>88.9</v>
      </c>
      <c r="G31" s="4">
        <v>127</v>
      </c>
      <c r="H31" s="4">
        <v>19.100000000000001</v>
      </c>
      <c r="I31" s="4">
        <v>19</v>
      </c>
      <c r="J31" s="4">
        <v>6.65</v>
      </c>
      <c r="K31" s="4">
        <v>4.6500000000000004</v>
      </c>
      <c r="L31" s="4">
        <v>32</v>
      </c>
      <c r="M31" s="4">
        <v>0.46400000000000002</v>
      </c>
      <c r="N31" s="4">
        <v>59</v>
      </c>
      <c r="O31" s="4">
        <v>7520</v>
      </c>
      <c r="P31" s="4">
        <v>4.63</v>
      </c>
      <c r="Q31" s="4">
        <v>72.8</v>
      </c>
      <c r="R31" s="4">
        <v>24.8</v>
      </c>
      <c r="S31" s="4">
        <v>25.3</v>
      </c>
      <c r="T31" s="4">
        <v>59.3</v>
      </c>
      <c r="U31" s="4">
        <v>62.3</v>
      </c>
      <c r="V31" s="4">
        <v>63.1</v>
      </c>
      <c r="W31" s="4">
        <v>63.9</v>
      </c>
      <c r="X31" s="4">
        <v>65.5</v>
      </c>
      <c r="Y31" s="4">
        <v>67.099999999999994</v>
      </c>
      <c r="Z31" s="4">
        <v>15.8</v>
      </c>
      <c r="AA31" s="4">
        <v>914</v>
      </c>
      <c r="AB31" s="4">
        <v>0.82099999999999995</v>
      </c>
      <c r="AC31" s="4">
        <v>0.86399999999999999</v>
      </c>
      <c r="AD31" s="4" t="s">
        <v>719</v>
      </c>
      <c r="AE31" s="4">
        <v>39.700000000000003</v>
      </c>
    </row>
    <row r="32" spans="1:31" hidden="1" x14ac:dyDescent="0.25">
      <c r="A32" s="4"/>
      <c r="B32" s="5" t="s">
        <v>720</v>
      </c>
      <c r="C32" s="4" t="s">
        <v>59</v>
      </c>
      <c r="D32" s="4">
        <v>11</v>
      </c>
      <c r="E32" s="4">
        <v>2</v>
      </c>
      <c r="F32" s="4">
        <v>88.9</v>
      </c>
      <c r="G32" s="4">
        <v>127</v>
      </c>
      <c r="H32" s="4">
        <v>15.9</v>
      </c>
      <c r="I32" s="4">
        <v>19.100000000000001</v>
      </c>
      <c r="J32" s="4">
        <v>7.99</v>
      </c>
      <c r="K32" s="4">
        <v>5.59</v>
      </c>
      <c r="L32" s="4">
        <v>28</v>
      </c>
      <c r="M32" s="4">
        <v>0.47199999999999998</v>
      </c>
      <c r="N32" s="4">
        <v>49.9</v>
      </c>
      <c r="O32" s="4">
        <v>6360</v>
      </c>
      <c r="P32" s="4">
        <v>4.03</v>
      </c>
      <c r="Q32" s="4">
        <v>62.2</v>
      </c>
      <c r="R32" s="4">
        <v>25.2</v>
      </c>
      <c r="S32" s="4">
        <v>24.2</v>
      </c>
      <c r="T32" s="4">
        <v>58.7</v>
      </c>
      <c r="U32" s="4">
        <v>61.7</v>
      </c>
      <c r="V32" s="4">
        <v>62.5</v>
      </c>
      <c r="W32" s="4">
        <v>63.2</v>
      </c>
      <c r="X32" s="4">
        <v>64.8</v>
      </c>
      <c r="Y32" s="4">
        <v>66.400000000000006</v>
      </c>
      <c r="Z32" s="4">
        <v>16.2</v>
      </c>
      <c r="AA32" s="4">
        <v>536</v>
      </c>
      <c r="AB32" s="4">
        <v>0.495</v>
      </c>
      <c r="AC32" s="4">
        <v>0.86399999999999999</v>
      </c>
      <c r="AD32" s="4" t="s">
        <v>721</v>
      </c>
      <c r="AE32" s="4">
        <v>33.6</v>
      </c>
    </row>
    <row r="33" spans="1:31" hidden="1" x14ac:dyDescent="0.25">
      <c r="A33" s="4"/>
      <c r="B33" s="5" t="s">
        <v>722</v>
      </c>
      <c r="C33" s="4"/>
      <c r="D33" s="4">
        <v>11</v>
      </c>
      <c r="E33" s="4">
        <v>1</v>
      </c>
      <c r="F33" s="4">
        <v>88.9</v>
      </c>
      <c r="G33" s="4">
        <v>127</v>
      </c>
      <c r="H33" s="4">
        <v>12.7</v>
      </c>
      <c r="I33" s="4">
        <v>19.2</v>
      </c>
      <c r="J33" s="4">
        <v>10</v>
      </c>
      <c r="K33" s="4">
        <v>7</v>
      </c>
      <c r="L33" s="4">
        <v>24</v>
      </c>
      <c r="M33" s="4">
        <v>0.47899999999999998</v>
      </c>
      <c r="N33" s="4">
        <v>40.5</v>
      </c>
      <c r="O33" s="4">
        <v>5160</v>
      </c>
      <c r="P33" s="4">
        <v>3.37</v>
      </c>
      <c r="Q33" s="4">
        <v>51.2</v>
      </c>
      <c r="R33" s="4">
        <v>25.6</v>
      </c>
      <c r="S33" s="4">
        <v>23</v>
      </c>
      <c r="T33" s="4">
        <v>58.1</v>
      </c>
      <c r="U33" s="4">
        <v>61.1</v>
      </c>
      <c r="V33" s="4">
        <v>61.9</v>
      </c>
      <c r="W33" s="4">
        <v>62.6</v>
      </c>
      <c r="X33" s="4">
        <v>64.2</v>
      </c>
      <c r="Y33" s="4">
        <v>65.7</v>
      </c>
      <c r="Z33" s="4">
        <v>16.7</v>
      </c>
      <c r="AA33" s="4">
        <v>277</v>
      </c>
      <c r="AB33" s="4">
        <v>0.26400000000000001</v>
      </c>
      <c r="AC33" s="4">
        <v>0.86399999999999999</v>
      </c>
      <c r="AD33" s="4" t="s">
        <v>723</v>
      </c>
      <c r="AE33" s="4">
        <v>27.2</v>
      </c>
    </row>
    <row r="34" spans="1:31" hidden="1" x14ac:dyDescent="0.25">
      <c r="A34" s="4"/>
      <c r="B34" s="5" t="s">
        <v>724</v>
      </c>
      <c r="C34" s="4"/>
      <c r="D34" s="4">
        <v>11</v>
      </c>
      <c r="E34" s="4">
        <v>1</v>
      </c>
      <c r="F34" s="4">
        <v>88.9</v>
      </c>
      <c r="G34" s="4">
        <v>127</v>
      </c>
      <c r="H34" s="4">
        <v>9.5299999999999994</v>
      </c>
      <c r="I34" s="4">
        <v>19.3</v>
      </c>
      <c r="J34" s="4">
        <v>13.3</v>
      </c>
      <c r="K34" s="4">
        <v>9.33</v>
      </c>
      <c r="L34" s="4">
        <v>22</v>
      </c>
      <c r="M34" s="4">
        <v>0.48599999999999999</v>
      </c>
      <c r="N34" s="4">
        <v>30.9</v>
      </c>
      <c r="O34" s="4">
        <v>3930</v>
      </c>
      <c r="P34" s="4">
        <v>2.65</v>
      </c>
      <c r="Q34" s="4">
        <v>39.6</v>
      </c>
      <c r="R34" s="4">
        <v>26</v>
      </c>
      <c r="S34" s="4">
        <v>21.9</v>
      </c>
      <c r="T34" s="4">
        <v>57.6</v>
      </c>
      <c r="U34" s="4">
        <v>60.5</v>
      </c>
      <c r="V34" s="4">
        <v>61.3</v>
      </c>
      <c r="W34" s="4">
        <v>62</v>
      </c>
      <c r="X34" s="4">
        <v>63.6</v>
      </c>
      <c r="Y34" s="4">
        <v>65.099999999999994</v>
      </c>
      <c r="Z34" s="4">
        <v>17.100000000000001</v>
      </c>
      <c r="AA34" s="4">
        <v>119</v>
      </c>
      <c r="AB34" s="4">
        <v>0.11600000000000001</v>
      </c>
      <c r="AC34" s="4">
        <v>0.86399999999999999</v>
      </c>
      <c r="AD34" s="4" t="s">
        <v>725</v>
      </c>
      <c r="AE34" s="4">
        <v>20.7</v>
      </c>
    </row>
    <row r="35" spans="1:31" hidden="1" x14ac:dyDescent="0.25">
      <c r="A35" s="4"/>
      <c r="B35" s="5" t="s">
        <v>726</v>
      </c>
      <c r="C35" s="4"/>
      <c r="D35" s="4">
        <v>11</v>
      </c>
      <c r="E35" s="4">
        <v>1</v>
      </c>
      <c r="F35" s="4">
        <v>88.9</v>
      </c>
      <c r="G35" s="4">
        <v>127</v>
      </c>
      <c r="H35" s="4">
        <v>7.94</v>
      </c>
      <c r="I35" s="4">
        <v>19.399999999999999</v>
      </c>
      <c r="J35" s="4">
        <v>16</v>
      </c>
      <c r="K35" s="4">
        <v>11.2</v>
      </c>
      <c r="L35" s="4">
        <v>20</v>
      </c>
      <c r="M35" s="4">
        <v>0.48899999999999999</v>
      </c>
      <c r="N35" s="4">
        <v>25.9</v>
      </c>
      <c r="O35" s="4">
        <v>3300</v>
      </c>
      <c r="P35" s="4">
        <v>2.2599999999999998</v>
      </c>
      <c r="Q35" s="4">
        <v>33.5</v>
      </c>
      <c r="R35" s="4">
        <v>26.2</v>
      </c>
      <c r="S35" s="4">
        <v>21.3</v>
      </c>
      <c r="T35" s="4">
        <v>57.4</v>
      </c>
      <c r="U35" s="4">
        <v>60.3</v>
      </c>
      <c r="V35" s="4">
        <v>61</v>
      </c>
      <c r="W35" s="4">
        <v>61.7</v>
      </c>
      <c r="X35" s="4">
        <v>63.3</v>
      </c>
      <c r="Y35" s="4">
        <v>64.8</v>
      </c>
      <c r="Z35" s="4">
        <v>17.3</v>
      </c>
      <c r="AA35" s="4">
        <v>69.400000000000006</v>
      </c>
      <c r="AB35" s="4">
        <v>6.88E-2</v>
      </c>
      <c r="AC35" s="4">
        <v>0.86399999999999999</v>
      </c>
      <c r="AD35" s="4" t="s">
        <v>727</v>
      </c>
      <c r="AE35" s="4">
        <v>17.399999999999999</v>
      </c>
    </row>
    <row r="36" spans="1:31" hidden="1" x14ac:dyDescent="0.25">
      <c r="A36" s="4"/>
      <c r="B36" s="5" t="s">
        <v>728</v>
      </c>
      <c r="C36" s="4"/>
      <c r="D36" s="4">
        <v>11</v>
      </c>
      <c r="E36" s="4">
        <v>1</v>
      </c>
      <c r="F36" s="4">
        <v>88.9</v>
      </c>
      <c r="G36" s="4">
        <v>127</v>
      </c>
      <c r="H36" s="4">
        <v>6.35</v>
      </c>
      <c r="I36" s="4">
        <v>19.600000000000001</v>
      </c>
      <c r="J36" s="4">
        <v>20</v>
      </c>
      <c r="K36" s="4">
        <v>14</v>
      </c>
      <c r="L36" s="4">
        <v>18</v>
      </c>
      <c r="M36" s="4">
        <v>0.49199999999999999</v>
      </c>
      <c r="N36" s="4">
        <v>20.9</v>
      </c>
      <c r="O36" s="4">
        <v>2660</v>
      </c>
      <c r="P36" s="4">
        <v>1.86</v>
      </c>
      <c r="Q36" s="4">
        <v>27.2</v>
      </c>
      <c r="R36" s="4">
        <v>26.4</v>
      </c>
      <c r="S36" s="4">
        <v>20.7</v>
      </c>
      <c r="T36" s="4">
        <v>57.1</v>
      </c>
      <c r="U36" s="4">
        <v>60</v>
      </c>
      <c r="V36" s="4">
        <v>60.7</v>
      </c>
      <c r="W36" s="4">
        <v>61.5</v>
      </c>
      <c r="X36" s="4">
        <v>63</v>
      </c>
      <c r="Y36" s="4">
        <v>64.5</v>
      </c>
      <c r="Z36" s="4">
        <v>17.5</v>
      </c>
      <c r="AA36" s="4">
        <v>35.799999999999997</v>
      </c>
      <c r="AB36" s="4">
        <v>3.5999999999999997E-2</v>
      </c>
      <c r="AC36" s="4">
        <v>0.86399999999999999</v>
      </c>
      <c r="AD36" s="4" t="s">
        <v>729</v>
      </c>
      <c r="AE36" s="4">
        <v>14</v>
      </c>
    </row>
    <row r="37" spans="1:31" hidden="1" x14ac:dyDescent="0.25">
      <c r="A37" s="4" t="s">
        <v>59</v>
      </c>
      <c r="B37" s="5" t="s">
        <v>730</v>
      </c>
      <c r="C37" s="4"/>
      <c r="D37" s="4">
        <v>11</v>
      </c>
      <c r="E37" s="4">
        <v>1</v>
      </c>
      <c r="F37" s="4">
        <v>76.2</v>
      </c>
      <c r="G37" s="4">
        <v>127</v>
      </c>
      <c r="H37" s="4">
        <v>12.7</v>
      </c>
      <c r="I37" s="4">
        <v>16.5</v>
      </c>
      <c r="J37" s="4">
        <v>10</v>
      </c>
      <c r="K37" s="4">
        <v>6</v>
      </c>
      <c r="L37" s="4">
        <v>24</v>
      </c>
      <c r="M37" s="4">
        <v>0.35699999999999998</v>
      </c>
      <c r="N37" s="4">
        <v>38</v>
      </c>
      <c r="O37" s="4">
        <v>4840</v>
      </c>
      <c r="P37" s="4">
        <v>2.15</v>
      </c>
      <c r="Q37" s="4">
        <v>37.6</v>
      </c>
      <c r="R37" s="4">
        <v>21.1</v>
      </c>
      <c r="S37" s="4">
        <v>19.100000000000001</v>
      </c>
      <c r="T37" s="4">
        <v>60</v>
      </c>
      <c r="U37" s="4">
        <v>63</v>
      </c>
      <c r="V37" s="4">
        <v>63.8</v>
      </c>
      <c r="W37" s="4">
        <v>64.599999999999994</v>
      </c>
      <c r="X37" s="4">
        <v>66.2</v>
      </c>
      <c r="Y37" s="4">
        <v>67.8</v>
      </c>
      <c r="Z37" s="4">
        <v>12.7</v>
      </c>
      <c r="AA37" s="4">
        <v>260</v>
      </c>
      <c r="AB37" s="4">
        <v>0.23899999999999999</v>
      </c>
      <c r="AC37" s="4">
        <v>0.81300000000000006</v>
      </c>
      <c r="AD37" s="4" t="s">
        <v>731</v>
      </c>
      <c r="AE37" s="4">
        <v>25.5</v>
      </c>
    </row>
    <row r="38" spans="1:31" hidden="1" x14ac:dyDescent="0.25">
      <c r="A38" s="4"/>
      <c r="B38" s="5" t="s">
        <v>732</v>
      </c>
      <c r="C38" s="4" t="s">
        <v>59</v>
      </c>
      <c r="D38" s="4">
        <v>11</v>
      </c>
      <c r="E38" s="4">
        <v>1</v>
      </c>
      <c r="F38" s="4">
        <v>76.2</v>
      </c>
      <c r="G38" s="4">
        <v>127</v>
      </c>
      <c r="H38" s="4">
        <v>11.1</v>
      </c>
      <c r="I38" s="4">
        <v>16.5</v>
      </c>
      <c r="J38" s="4">
        <v>11.4</v>
      </c>
      <c r="K38" s="4">
        <v>6.86</v>
      </c>
      <c r="L38" s="4">
        <v>24</v>
      </c>
      <c r="M38" s="4">
        <v>0.36099999999999999</v>
      </c>
      <c r="N38" s="4">
        <v>33.5</v>
      </c>
      <c r="O38" s="4">
        <v>4260</v>
      </c>
      <c r="P38" s="4">
        <v>1.93</v>
      </c>
      <c r="Q38" s="4">
        <v>33.4</v>
      </c>
      <c r="R38" s="4">
        <v>21.3</v>
      </c>
      <c r="S38" s="4">
        <v>18.5</v>
      </c>
      <c r="T38" s="4">
        <v>59.7</v>
      </c>
      <c r="U38" s="4">
        <v>62.7</v>
      </c>
      <c r="V38" s="4">
        <v>63.5</v>
      </c>
      <c r="W38" s="4">
        <v>64.3</v>
      </c>
      <c r="X38" s="4">
        <v>65.8</v>
      </c>
      <c r="Y38" s="4">
        <v>67.400000000000006</v>
      </c>
      <c r="Z38" s="4">
        <v>12.9</v>
      </c>
      <c r="AA38" s="4">
        <v>175</v>
      </c>
      <c r="AB38" s="4">
        <v>0.16300000000000001</v>
      </c>
      <c r="AC38" s="4">
        <v>0.81300000000000006</v>
      </c>
      <c r="AD38" s="4" t="s">
        <v>733</v>
      </c>
      <c r="AE38" s="4">
        <v>22.5</v>
      </c>
    </row>
    <row r="39" spans="1:31" hidden="1" x14ac:dyDescent="0.25">
      <c r="A39" s="4"/>
      <c r="B39" s="5" t="s">
        <v>734</v>
      </c>
      <c r="C39" s="4"/>
      <c r="D39" s="4">
        <v>11</v>
      </c>
      <c r="E39" s="4">
        <v>1</v>
      </c>
      <c r="F39" s="4">
        <v>76.2</v>
      </c>
      <c r="G39" s="4">
        <v>127</v>
      </c>
      <c r="H39" s="4">
        <v>9.5299999999999994</v>
      </c>
      <c r="I39" s="4">
        <v>16.600000000000001</v>
      </c>
      <c r="J39" s="4">
        <v>13.3</v>
      </c>
      <c r="K39" s="4">
        <v>8</v>
      </c>
      <c r="L39" s="4">
        <v>22</v>
      </c>
      <c r="M39" s="4">
        <v>0.36399999999999999</v>
      </c>
      <c r="N39" s="4">
        <v>29</v>
      </c>
      <c r="O39" s="4">
        <v>3690</v>
      </c>
      <c r="P39" s="4">
        <v>1.7</v>
      </c>
      <c r="Q39" s="4">
        <v>29.1</v>
      </c>
      <c r="R39" s="4">
        <v>21.5</v>
      </c>
      <c r="S39" s="4">
        <v>17.899999999999999</v>
      </c>
      <c r="T39" s="4">
        <v>59.5</v>
      </c>
      <c r="U39" s="4">
        <v>62.4</v>
      </c>
      <c r="V39" s="4">
        <v>63.2</v>
      </c>
      <c r="W39" s="4">
        <v>64</v>
      </c>
      <c r="X39" s="4">
        <v>65.5</v>
      </c>
      <c r="Y39" s="4">
        <v>67.099999999999994</v>
      </c>
      <c r="Z39" s="4">
        <v>13.1</v>
      </c>
      <c r="AA39" s="4">
        <v>112</v>
      </c>
      <c r="AB39" s="4">
        <v>0.105</v>
      </c>
      <c r="AC39" s="4">
        <v>0.81300000000000006</v>
      </c>
      <c r="AD39" s="4" t="s">
        <v>735</v>
      </c>
      <c r="AE39" s="4">
        <v>19.5</v>
      </c>
    </row>
    <row r="40" spans="1:31" hidden="1" x14ac:dyDescent="0.25">
      <c r="A40" s="4"/>
      <c r="B40" s="5" t="s">
        <v>736</v>
      </c>
      <c r="C40" s="4"/>
      <c r="D40" s="4">
        <v>11</v>
      </c>
      <c r="E40" s="4">
        <v>1</v>
      </c>
      <c r="F40" s="4">
        <v>76.2</v>
      </c>
      <c r="G40" s="4">
        <v>127</v>
      </c>
      <c r="H40" s="4">
        <v>7.94</v>
      </c>
      <c r="I40" s="4">
        <v>16.7</v>
      </c>
      <c r="J40" s="4">
        <v>16</v>
      </c>
      <c r="K40" s="4">
        <v>9.6</v>
      </c>
      <c r="L40" s="4">
        <v>20</v>
      </c>
      <c r="M40" s="4">
        <v>0.36799999999999999</v>
      </c>
      <c r="N40" s="4">
        <v>24.3</v>
      </c>
      <c r="O40" s="4">
        <v>3100</v>
      </c>
      <c r="P40" s="4">
        <v>1.45</v>
      </c>
      <c r="Q40" s="4">
        <v>24.7</v>
      </c>
      <c r="R40" s="4">
        <v>21.7</v>
      </c>
      <c r="S40" s="4">
        <v>17.3</v>
      </c>
      <c r="T40" s="4">
        <v>59.2</v>
      </c>
      <c r="U40" s="4">
        <v>62.1</v>
      </c>
      <c r="V40" s="4">
        <v>62.9</v>
      </c>
      <c r="W40" s="4">
        <v>63.7</v>
      </c>
      <c r="X40" s="4">
        <v>65.2</v>
      </c>
      <c r="Y40" s="4">
        <v>66.8</v>
      </c>
      <c r="Z40" s="4">
        <v>13.3</v>
      </c>
      <c r="AA40" s="4">
        <v>65.2</v>
      </c>
      <c r="AB40" s="4">
        <v>6.2300000000000001E-2</v>
      </c>
      <c r="AC40" s="4">
        <v>0.81300000000000006</v>
      </c>
      <c r="AD40" s="4" t="s">
        <v>737</v>
      </c>
      <c r="AE40" s="4">
        <v>16.399999999999999</v>
      </c>
    </row>
    <row r="41" spans="1:31" hidden="1" x14ac:dyDescent="0.25">
      <c r="A41" s="4"/>
      <c r="B41" s="5" t="s">
        <v>738</v>
      </c>
      <c r="C41" s="4"/>
      <c r="D41" s="4">
        <v>11</v>
      </c>
      <c r="E41" s="4">
        <v>1</v>
      </c>
      <c r="F41" s="4">
        <v>76.2</v>
      </c>
      <c r="G41" s="4">
        <v>127</v>
      </c>
      <c r="H41" s="4">
        <v>6.35</v>
      </c>
      <c r="I41" s="4">
        <v>16.8</v>
      </c>
      <c r="J41" s="4">
        <v>20</v>
      </c>
      <c r="K41" s="4">
        <v>12</v>
      </c>
      <c r="L41" s="4">
        <v>18</v>
      </c>
      <c r="M41" s="4">
        <v>0.371</v>
      </c>
      <c r="N41" s="4">
        <v>19.600000000000001</v>
      </c>
      <c r="O41" s="4">
        <v>2500</v>
      </c>
      <c r="P41" s="4">
        <v>1.2</v>
      </c>
      <c r="Q41" s="4">
        <v>20.100000000000001</v>
      </c>
      <c r="R41" s="4">
        <v>21.9</v>
      </c>
      <c r="S41" s="4">
        <v>16.7</v>
      </c>
      <c r="T41" s="4">
        <v>58.9</v>
      </c>
      <c r="U41" s="4">
        <v>61.9</v>
      </c>
      <c r="V41" s="4">
        <v>62.6</v>
      </c>
      <c r="W41" s="4">
        <v>63.4</v>
      </c>
      <c r="X41" s="4">
        <v>64.900000000000006</v>
      </c>
      <c r="Y41" s="4">
        <v>66.400000000000006</v>
      </c>
      <c r="Z41" s="4">
        <v>13.5</v>
      </c>
      <c r="AA41" s="4">
        <v>33.6</v>
      </c>
      <c r="AB41" s="4">
        <v>3.2500000000000001E-2</v>
      </c>
      <c r="AC41" s="4">
        <v>0.81300000000000006</v>
      </c>
      <c r="AD41" s="4" t="s">
        <v>739</v>
      </c>
      <c r="AE41" s="4">
        <v>13.2</v>
      </c>
    </row>
    <row r="42" spans="1:31" hidden="1" x14ac:dyDescent="0.25">
      <c r="A42" s="4" t="s">
        <v>59</v>
      </c>
      <c r="B42" s="5" t="s">
        <v>740</v>
      </c>
      <c r="C42" s="4"/>
      <c r="D42" s="4">
        <v>11</v>
      </c>
      <c r="E42" s="4">
        <v>1</v>
      </c>
      <c r="F42" s="4">
        <v>88.9</v>
      </c>
      <c r="G42" s="4">
        <v>102</v>
      </c>
      <c r="H42" s="4">
        <v>12.7</v>
      </c>
      <c r="I42" s="4">
        <v>18.399999999999999</v>
      </c>
      <c r="J42" s="4">
        <v>8.0299999999999994</v>
      </c>
      <c r="K42" s="4">
        <v>7</v>
      </c>
      <c r="L42" s="4">
        <v>24</v>
      </c>
      <c r="M42" s="4">
        <v>0.74399999999999999</v>
      </c>
      <c r="N42" s="4">
        <v>35.5</v>
      </c>
      <c r="O42" s="4">
        <v>4530</v>
      </c>
      <c r="P42" s="4">
        <v>3.16</v>
      </c>
      <c r="Q42" s="4">
        <v>49.7</v>
      </c>
      <c r="R42" s="4">
        <v>26.4</v>
      </c>
      <c r="S42" s="4">
        <v>25.4</v>
      </c>
      <c r="T42" s="4">
        <v>44.8</v>
      </c>
      <c r="U42" s="4">
        <v>47.7</v>
      </c>
      <c r="V42" s="4">
        <v>48.5</v>
      </c>
      <c r="W42" s="4">
        <v>49.3</v>
      </c>
      <c r="X42" s="4">
        <v>50.8</v>
      </c>
      <c r="Y42" s="4">
        <v>52.4</v>
      </c>
      <c r="Z42" s="4">
        <v>19</v>
      </c>
      <c r="AA42" s="4">
        <v>243</v>
      </c>
      <c r="AB42" s="4">
        <v>0.16400000000000001</v>
      </c>
      <c r="AC42" s="4">
        <v>0.76400000000000001</v>
      </c>
      <c r="AD42" s="4" t="s">
        <v>741</v>
      </c>
      <c r="AE42" s="4">
        <v>23.9</v>
      </c>
    </row>
    <row r="43" spans="1:31" hidden="1" x14ac:dyDescent="0.25">
      <c r="A43" s="4"/>
      <c r="B43" s="5" t="s">
        <v>742</v>
      </c>
      <c r="C43" s="4" t="s">
        <v>59</v>
      </c>
      <c r="D43" s="4">
        <v>11</v>
      </c>
      <c r="E43" s="4">
        <v>1</v>
      </c>
      <c r="F43" s="4">
        <v>88.9</v>
      </c>
      <c r="G43" s="4">
        <v>102</v>
      </c>
      <c r="H43" s="4">
        <v>11.1</v>
      </c>
      <c r="I43" s="4">
        <v>18.399999999999999</v>
      </c>
      <c r="J43" s="4">
        <v>9.19</v>
      </c>
      <c r="K43" s="4">
        <v>8.01</v>
      </c>
      <c r="L43" s="4">
        <v>22</v>
      </c>
      <c r="M43" s="4">
        <v>0.746</v>
      </c>
      <c r="N43" s="4">
        <v>31.3</v>
      </c>
      <c r="O43" s="4">
        <v>3990</v>
      </c>
      <c r="P43" s="4">
        <v>2.83</v>
      </c>
      <c r="Q43" s="4">
        <v>44.1</v>
      </c>
      <c r="R43" s="4">
        <v>26.6</v>
      </c>
      <c r="S43" s="4">
        <v>24.8</v>
      </c>
      <c r="T43" s="4">
        <v>44.6</v>
      </c>
      <c r="U43" s="4">
        <v>47.5</v>
      </c>
      <c r="V43" s="4">
        <v>48.2</v>
      </c>
      <c r="W43" s="4">
        <v>49</v>
      </c>
      <c r="X43" s="4">
        <v>50.5</v>
      </c>
      <c r="Y43" s="4">
        <v>52.1</v>
      </c>
      <c r="Z43" s="4">
        <v>19.2</v>
      </c>
      <c r="AA43" s="4">
        <v>164</v>
      </c>
      <c r="AB43" s="4">
        <v>0.112</v>
      </c>
      <c r="AC43" s="4">
        <v>0.76400000000000001</v>
      </c>
      <c r="AD43" s="4" t="s">
        <v>743</v>
      </c>
      <c r="AE43" s="4">
        <v>21.1</v>
      </c>
    </row>
    <row r="44" spans="1:31" hidden="1" x14ac:dyDescent="0.25">
      <c r="A44" s="4"/>
      <c r="B44" s="5" t="s">
        <v>744</v>
      </c>
      <c r="C44" s="4"/>
      <c r="D44" s="4">
        <v>11</v>
      </c>
      <c r="E44" s="4">
        <v>1</v>
      </c>
      <c r="F44" s="4">
        <v>88.9</v>
      </c>
      <c r="G44" s="4">
        <v>102</v>
      </c>
      <c r="H44" s="4">
        <v>9.5299999999999994</v>
      </c>
      <c r="I44" s="4">
        <v>18.5</v>
      </c>
      <c r="J44" s="4">
        <v>10.7</v>
      </c>
      <c r="K44" s="4">
        <v>9.33</v>
      </c>
      <c r="L44" s="4">
        <v>20</v>
      </c>
      <c r="M44" s="4">
        <v>0.749</v>
      </c>
      <c r="N44" s="4">
        <v>27.1</v>
      </c>
      <c r="O44" s="4">
        <v>3460</v>
      </c>
      <c r="P44" s="4">
        <v>2.4900000000000002</v>
      </c>
      <c r="Q44" s="4">
        <v>38.5</v>
      </c>
      <c r="R44" s="4">
        <v>26.8</v>
      </c>
      <c r="S44" s="4">
        <v>24.2</v>
      </c>
      <c r="T44" s="4">
        <v>44.3</v>
      </c>
      <c r="U44" s="4">
        <v>47.2</v>
      </c>
      <c r="V44" s="4">
        <v>47.9</v>
      </c>
      <c r="W44" s="4">
        <v>48.7</v>
      </c>
      <c r="X44" s="4">
        <v>50.2</v>
      </c>
      <c r="Y44" s="4">
        <v>51.8</v>
      </c>
      <c r="Z44" s="4">
        <v>19.5</v>
      </c>
      <c r="AA44" s="4">
        <v>105</v>
      </c>
      <c r="AB44" s="4">
        <v>7.2800000000000004E-2</v>
      </c>
      <c r="AC44" s="4">
        <v>0.76400000000000001</v>
      </c>
      <c r="AD44" s="4" t="s">
        <v>745</v>
      </c>
      <c r="AE44" s="4">
        <v>18.2</v>
      </c>
    </row>
    <row r="45" spans="1:31" hidden="1" x14ac:dyDescent="0.25">
      <c r="A45" s="4"/>
      <c r="B45" s="5" t="s">
        <v>746</v>
      </c>
      <c r="C45" s="4"/>
      <c r="D45" s="4">
        <v>11</v>
      </c>
      <c r="E45" s="4">
        <v>1</v>
      </c>
      <c r="F45" s="4">
        <v>88.9</v>
      </c>
      <c r="G45" s="4">
        <v>102</v>
      </c>
      <c r="H45" s="4">
        <v>7.94</v>
      </c>
      <c r="I45" s="4">
        <v>18.600000000000001</v>
      </c>
      <c r="J45" s="4">
        <v>12.8</v>
      </c>
      <c r="K45" s="4">
        <v>11.2</v>
      </c>
      <c r="L45" s="4">
        <v>18</v>
      </c>
      <c r="M45" s="4">
        <v>0.751</v>
      </c>
      <c r="N45" s="4">
        <v>22.8</v>
      </c>
      <c r="O45" s="4">
        <v>2910</v>
      </c>
      <c r="P45" s="4">
        <v>2.13</v>
      </c>
      <c r="Q45" s="4">
        <v>32.6</v>
      </c>
      <c r="R45" s="4">
        <v>27.1</v>
      </c>
      <c r="S45" s="4">
        <v>23.6</v>
      </c>
      <c r="T45" s="4">
        <v>44.1</v>
      </c>
      <c r="U45" s="4">
        <v>46.9</v>
      </c>
      <c r="V45" s="4">
        <v>47.6</v>
      </c>
      <c r="W45" s="4">
        <v>48.4</v>
      </c>
      <c r="X45" s="4">
        <v>49.9</v>
      </c>
      <c r="Y45" s="4">
        <v>51.4</v>
      </c>
      <c r="Z45" s="4">
        <v>19.7</v>
      </c>
      <c r="AA45" s="4">
        <v>61.1</v>
      </c>
      <c r="AB45" s="4">
        <v>4.3200000000000002E-2</v>
      </c>
      <c r="AC45" s="4">
        <v>0.76400000000000001</v>
      </c>
      <c r="AD45" s="4" t="s">
        <v>747</v>
      </c>
      <c r="AE45" s="4">
        <v>15.3</v>
      </c>
    </row>
    <row r="46" spans="1:31" hidden="1" x14ac:dyDescent="0.25">
      <c r="A46" s="4"/>
      <c r="B46" s="5" t="s">
        <v>748</v>
      </c>
      <c r="C46" s="4"/>
      <c r="D46" s="4">
        <v>11</v>
      </c>
      <c r="E46" s="4">
        <v>1</v>
      </c>
      <c r="F46" s="4">
        <v>88.9</v>
      </c>
      <c r="G46" s="4">
        <v>102</v>
      </c>
      <c r="H46" s="4">
        <v>6.35</v>
      </c>
      <c r="I46" s="4">
        <v>18.7</v>
      </c>
      <c r="J46" s="4">
        <v>16.100000000000001</v>
      </c>
      <c r="K46" s="4">
        <v>14</v>
      </c>
      <c r="L46" s="4">
        <v>18</v>
      </c>
      <c r="M46" s="4">
        <v>0.753</v>
      </c>
      <c r="N46" s="4">
        <v>18.399999999999999</v>
      </c>
      <c r="O46" s="4">
        <v>2340</v>
      </c>
      <c r="P46" s="4">
        <v>1.74</v>
      </c>
      <c r="Q46" s="4">
        <v>26.5</v>
      </c>
      <c r="R46" s="4">
        <v>27.3</v>
      </c>
      <c r="S46" s="4">
        <v>23.1</v>
      </c>
      <c r="T46" s="4">
        <v>43.8</v>
      </c>
      <c r="U46" s="4">
        <v>46.6</v>
      </c>
      <c r="V46" s="4">
        <v>47.4</v>
      </c>
      <c r="W46" s="4">
        <v>48.1</v>
      </c>
      <c r="X46" s="4">
        <v>49.6</v>
      </c>
      <c r="Y46" s="4">
        <v>51.1</v>
      </c>
      <c r="Z46" s="4">
        <v>19.899999999999999</v>
      </c>
      <c r="AA46" s="4">
        <v>31.5</v>
      </c>
      <c r="AB46" s="4">
        <v>2.2700000000000001E-2</v>
      </c>
      <c r="AC46" s="4">
        <v>0.76400000000000001</v>
      </c>
      <c r="AD46" s="4" t="s">
        <v>749</v>
      </c>
      <c r="AE46" s="4">
        <v>12.4</v>
      </c>
    </row>
    <row r="47" spans="1:31" hidden="1" x14ac:dyDescent="0.25">
      <c r="A47" s="4" t="s">
        <v>59</v>
      </c>
      <c r="B47" s="5" t="s">
        <v>750</v>
      </c>
      <c r="C47" s="4" t="s">
        <v>59</v>
      </c>
      <c r="D47" s="4">
        <v>11</v>
      </c>
      <c r="E47" s="4">
        <v>2</v>
      </c>
      <c r="F47" s="4">
        <v>76.2</v>
      </c>
      <c r="G47" s="4">
        <v>102</v>
      </c>
      <c r="H47" s="4">
        <v>15.9</v>
      </c>
      <c r="I47" s="4">
        <v>16.2</v>
      </c>
      <c r="J47" s="4">
        <v>6.42</v>
      </c>
      <c r="K47" s="4">
        <v>4.79</v>
      </c>
      <c r="L47" s="4">
        <v>26</v>
      </c>
      <c r="M47" s="4">
        <v>0.52900000000000003</v>
      </c>
      <c r="N47" s="4">
        <v>40.5</v>
      </c>
      <c r="O47" s="4">
        <v>5160</v>
      </c>
      <c r="P47" s="4">
        <v>2.4</v>
      </c>
      <c r="Q47" s="4">
        <v>44.3</v>
      </c>
      <c r="R47" s="4">
        <v>21.6</v>
      </c>
      <c r="S47" s="4">
        <v>22.1</v>
      </c>
      <c r="T47" s="4">
        <v>47</v>
      </c>
      <c r="U47" s="4">
        <v>50.1</v>
      </c>
      <c r="V47" s="4">
        <v>50.9</v>
      </c>
      <c r="W47" s="4">
        <v>51.6</v>
      </c>
      <c r="X47" s="4">
        <v>53.2</v>
      </c>
      <c r="Y47" s="4">
        <v>54.9</v>
      </c>
      <c r="Z47" s="4">
        <v>14.2</v>
      </c>
      <c r="AA47" s="4">
        <v>435</v>
      </c>
      <c r="AB47" s="4">
        <v>0.25700000000000001</v>
      </c>
      <c r="AC47" s="4">
        <v>0.71299999999999997</v>
      </c>
      <c r="AD47" s="4" t="s">
        <v>751</v>
      </c>
      <c r="AE47" s="4">
        <v>27.2</v>
      </c>
    </row>
    <row r="48" spans="1:31" hidden="1" x14ac:dyDescent="0.25">
      <c r="A48" s="4"/>
      <c r="B48" s="5" t="s">
        <v>752</v>
      </c>
      <c r="C48" s="4"/>
      <c r="D48" s="4">
        <v>11</v>
      </c>
      <c r="E48" s="4">
        <v>1</v>
      </c>
      <c r="F48" s="4">
        <v>76.2</v>
      </c>
      <c r="G48" s="4">
        <v>102</v>
      </c>
      <c r="H48" s="4">
        <v>12.7</v>
      </c>
      <c r="I48" s="4">
        <v>16.2</v>
      </c>
      <c r="J48" s="4">
        <v>8.0299999999999994</v>
      </c>
      <c r="K48" s="4">
        <v>6</v>
      </c>
      <c r="L48" s="4">
        <v>24</v>
      </c>
      <c r="M48" s="4">
        <v>0.53800000000000003</v>
      </c>
      <c r="N48" s="4">
        <v>33</v>
      </c>
      <c r="O48" s="4">
        <v>4200</v>
      </c>
      <c r="P48" s="4">
        <v>2.02</v>
      </c>
      <c r="Q48" s="4">
        <v>36.6</v>
      </c>
      <c r="R48" s="4">
        <v>21.9</v>
      </c>
      <c r="S48" s="4">
        <v>21</v>
      </c>
      <c r="T48" s="4">
        <v>46.5</v>
      </c>
      <c r="U48" s="4">
        <v>49.4</v>
      </c>
      <c r="V48" s="4">
        <v>50.2</v>
      </c>
      <c r="W48" s="4">
        <v>51</v>
      </c>
      <c r="X48" s="4">
        <v>52.6</v>
      </c>
      <c r="Y48" s="4">
        <v>54.2</v>
      </c>
      <c r="Z48" s="4">
        <v>14.6</v>
      </c>
      <c r="AA48" s="4">
        <v>226</v>
      </c>
      <c r="AB48" s="4">
        <v>0.13800000000000001</v>
      </c>
      <c r="AC48" s="4">
        <v>0.71299999999999997</v>
      </c>
      <c r="AD48" s="4" t="s">
        <v>753</v>
      </c>
      <c r="AE48" s="4">
        <v>22.2</v>
      </c>
    </row>
    <row r="49" spans="1:31" hidden="1" x14ac:dyDescent="0.25">
      <c r="A49" s="4"/>
      <c r="B49" s="5" t="s">
        <v>754</v>
      </c>
      <c r="C49" s="4" t="s">
        <v>59</v>
      </c>
      <c r="D49" s="4">
        <v>11</v>
      </c>
      <c r="E49" s="4">
        <v>1</v>
      </c>
      <c r="F49" s="4">
        <v>76.2</v>
      </c>
      <c r="G49" s="4">
        <v>102</v>
      </c>
      <c r="H49" s="4">
        <v>11.1</v>
      </c>
      <c r="I49" s="4">
        <v>16.3</v>
      </c>
      <c r="J49" s="4">
        <v>9.19</v>
      </c>
      <c r="K49" s="4">
        <v>6.86</v>
      </c>
      <c r="L49" s="4">
        <v>22</v>
      </c>
      <c r="M49" s="4">
        <v>0.54300000000000004</v>
      </c>
      <c r="N49" s="4">
        <v>29.1</v>
      </c>
      <c r="O49" s="4">
        <v>3710</v>
      </c>
      <c r="P49" s="4">
        <v>1.81</v>
      </c>
      <c r="Q49" s="4">
        <v>32.5</v>
      </c>
      <c r="R49" s="4">
        <v>22.1</v>
      </c>
      <c r="S49" s="4">
        <v>20.399999999999999</v>
      </c>
      <c r="T49" s="4">
        <v>46.2</v>
      </c>
      <c r="U49" s="4">
        <v>49.1</v>
      </c>
      <c r="V49" s="4">
        <v>49.9</v>
      </c>
      <c r="W49" s="4">
        <v>50.7</v>
      </c>
      <c r="X49" s="4">
        <v>52.2</v>
      </c>
      <c r="Y49" s="4">
        <v>53.8</v>
      </c>
      <c r="Z49" s="4">
        <v>14.8</v>
      </c>
      <c r="AA49" s="4">
        <v>152</v>
      </c>
      <c r="AB49" s="4">
        <v>9.5000000000000001E-2</v>
      </c>
      <c r="AC49" s="4">
        <v>0.71299999999999997</v>
      </c>
      <c r="AD49" s="4" t="s">
        <v>755</v>
      </c>
      <c r="AE49" s="4">
        <v>19.600000000000001</v>
      </c>
    </row>
    <row r="50" spans="1:31" hidden="1" x14ac:dyDescent="0.25">
      <c r="A50" s="4"/>
      <c r="B50" s="5" t="s">
        <v>756</v>
      </c>
      <c r="C50" s="4"/>
      <c r="D50" s="4">
        <v>11</v>
      </c>
      <c r="E50" s="4">
        <v>1</v>
      </c>
      <c r="F50" s="4">
        <v>76.2</v>
      </c>
      <c r="G50" s="4">
        <v>102</v>
      </c>
      <c r="H50" s="4">
        <v>9.5299999999999994</v>
      </c>
      <c r="I50" s="4">
        <v>16.399999999999999</v>
      </c>
      <c r="J50" s="4">
        <v>10.7</v>
      </c>
      <c r="K50" s="4">
        <v>8</v>
      </c>
      <c r="L50" s="4">
        <v>20</v>
      </c>
      <c r="M50" s="4">
        <v>0.54700000000000004</v>
      </c>
      <c r="N50" s="4">
        <v>25.2</v>
      </c>
      <c r="O50" s="4">
        <v>3210</v>
      </c>
      <c r="P50" s="4">
        <v>1.6</v>
      </c>
      <c r="Q50" s="4">
        <v>28.4</v>
      </c>
      <c r="R50" s="4">
        <v>22.3</v>
      </c>
      <c r="S50" s="4">
        <v>19.8</v>
      </c>
      <c r="T50" s="4">
        <v>45.9</v>
      </c>
      <c r="U50" s="4">
        <v>48.9</v>
      </c>
      <c r="V50" s="4">
        <v>49.6</v>
      </c>
      <c r="W50" s="4">
        <v>50.4</v>
      </c>
      <c r="X50" s="4">
        <v>51.9</v>
      </c>
      <c r="Y50" s="4">
        <v>53.5</v>
      </c>
      <c r="Z50" s="4">
        <v>15.1</v>
      </c>
      <c r="AA50" s="4">
        <v>97.3</v>
      </c>
      <c r="AB50" s="4">
        <v>6.1699999999999998E-2</v>
      </c>
      <c r="AC50" s="4">
        <v>0.71299999999999997</v>
      </c>
      <c r="AD50" s="4" t="s">
        <v>757</v>
      </c>
      <c r="AE50" s="4">
        <v>17</v>
      </c>
    </row>
    <row r="51" spans="1:31" hidden="1" x14ac:dyDescent="0.25">
      <c r="A51" s="4"/>
      <c r="B51" s="5" t="s">
        <v>758</v>
      </c>
      <c r="C51" s="4"/>
      <c r="D51" s="4">
        <v>11</v>
      </c>
      <c r="E51" s="4">
        <v>1</v>
      </c>
      <c r="F51" s="4">
        <v>76.2</v>
      </c>
      <c r="G51" s="4">
        <v>102</v>
      </c>
      <c r="H51" s="4">
        <v>7.94</v>
      </c>
      <c r="I51" s="4">
        <v>16.5</v>
      </c>
      <c r="J51" s="4">
        <v>12.8</v>
      </c>
      <c r="K51" s="4">
        <v>9.6</v>
      </c>
      <c r="L51" s="4">
        <v>18</v>
      </c>
      <c r="M51" s="4">
        <v>0.55000000000000004</v>
      </c>
      <c r="N51" s="4">
        <v>21.2</v>
      </c>
      <c r="O51" s="4">
        <v>2700</v>
      </c>
      <c r="P51" s="4">
        <v>1.37</v>
      </c>
      <c r="Q51" s="4">
        <v>24.1</v>
      </c>
      <c r="R51" s="4">
        <v>22.5</v>
      </c>
      <c r="S51" s="4">
        <v>19.2</v>
      </c>
      <c r="T51" s="4">
        <v>45.7</v>
      </c>
      <c r="U51" s="4">
        <v>48.6</v>
      </c>
      <c r="V51" s="4">
        <v>49.3</v>
      </c>
      <c r="W51" s="4">
        <v>50.1</v>
      </c>
      <c r="X51" s="4">
        <v>51.6</v>
      </c>
      <c r="Y51" s="4">
        <v>53.2</v>
      </c>
      <c r="Z51" s="4">
        <v>15.3</v>
      </c>
      <c r="AA51" s="4">
        <v>56.8</v>
      </c>
      <c r="AB51" s="4">
        <v>3.6700000000000003E-2</v>
      </c>
      <c r="AC51" s="4">
        <v>0.71299999999999997</v>
      </c>
      <c r="AD51" s="4" t="s">
        <v>759</v>
      </c>
      <c r="AE51" s="4">
        <v>14.3</v>
      </c>
    </row>
    <row r="52" spans="1:31" hidden="1" x14ac:dyDescent="0.25">
      <c r="A52" s="4"/>
      <c r="B52" s="5" t="s">
        <v>760</v>
      </c>
      <c r="C52" s="4"/>
      <c r="D52" s="4">
        <v>11</v>
      </c>
      <c r="E52" s="4">
        <v>1</v>
      </c>
      <c r="F52" s="4">
        <v>76.2</v>
      </c>
      <c r="G52" s="4">
        <v>102</v>
      </c>
      <c r="H52" s="4">
        <v>6.35</v>
      </c>
      <c r="I52" s="4">
        <v>16.600000000000001</v>
      </c>
      <c r="J52" s="4">
        <v>16.100000000000001</v>
      </c>
      <c r="K52" s="4">
        <v>12</v>
      </c>
      <c r="L52" s="4">
        <v>18</v>
      </c>
      <c r="M52" s="4">
        <v>0.55400000000000005</v>
      </c>
      <c r="N52" s="4">
        <v>17.100000000000001</v>
      </c>
      <c r="O52" s="4">
        <v>2180</v>
      </c>
      <c r="P52" s="4">
        <v>1.1299999999999999</v>
      </c>
      <c r="Q52" s="4">
        <v>19.600000000000001</v>
      </c>
      <c r="R52" s="4">
        <v>22.7</v>
      </c>
      <c r="S52" s="4">
        <v>18.7</v>
      </c>
      <c r="T52" s="4">
        <v>45.4</v>
      </c>
      <c r="U52" s="4">
        <v>48.3</v>
      </c>
      <c r="V52" s="4">
        <v>49</v>
      </c>
      <c r="W52" s="4">
        <v>49.8</v>
      </c>
      <c r="X52" s="4">
        <v>51.3</v>
      </c>
      <c r="Y52" s="4">
        <v>52.9</v>
      </c>
      <c r="Z52" s="4">
        <v>15.5</v>
      </c>
      <c r="AA52" s="4">
        <v>29.3</v>
      </c>
      <c r="AB52" s="4">
        <v>1.9300000000000001E-2</v>
      </c>
      <c r="AC52" s="4">
        <v>0.71299999999999997</v>
      </c>
      <c r="AD52" s="4" t="s">
        <v>761</v>
      </c>
      <c r="AE52" s="4">
        <v>11.5</v>
      </c>
    </row>
    <row r="53" spans="1:31" hidden="1" x14ac:dyDescent="0.25">
      <c r="A53" s="4" t="s">
        <v>59</v>
      </c>
      <c r="B53" s="5" t="s">
        <v>762</v>
      </c>
      <c r="C53" s="4"/>
      <c r="D53" s="4">
        <v>11</v>
      </c>
      <c r="E53" s="4">
        <v>1</v>
      </c>
      <c r="F53" s="4">
        <v>76.2</v>
      </c>
      <c r="G53" s="4">
        <v>88.9</v>
      </c>
      <c r="H53" s="4">
        <v>12.7</v>
      </c>
      <c r="I53" s="4">
        <v>15.8</v>
      </c>
      <c r="J53" s="4">
        <v>7</v>
      </c>
      <c r="K53" s="4">
        <v>6</v>
      </c>
      <c r="L53" s="4">
        <v>24</v>
      </c>
      <c r="M53" s="4">
        <v>0.71399999999999997</v>
      </c>
      <c r="N53" s="4">
        <v>30.4</v>
      </c>
      <c r="O53" s="4">
        <v>3870</v>
      </c>
      <c r="P53" s="4">
        <v>1.94</v>
      </c>
      <c r="Q53" s="4">
        <v>35.9</v>
      </c>
      <c r="R53" s="4">
        <v>22.4</v>
      </c>
      <c r="S53" s="4">
        <v>22.2</v>
      </c>
      <c r="T53" s="4">
        <v>39.5</v>
      </c>
      <c r="U53" s="4">
        <v>42.5</v>
      </c>
      <c r="V53" s="4">
        <v>43.2</v>
      </c>
      <c r="W53" s="4">
        <v>44</v>
      </c>
      <c r="X53" s="4">
        <v>45.6</v>
      </c>
      <c r="Y53" s="4">
        <v>47.2</v>
      </c>
      <c r="Z53" s="4">
        <v>15.9</v>
      </c>
      <c r="AA53" s="4">
        <v>208</v>
      </c>
      <c r="AB53" s="4">
        <v>0.10299999999999999</v>
      </c>
      <c r="AC53" s="4">
        <v>0.66</v>
      </c>
      <c r="AD53" s="4" t="s">
        <v>763</v>
      </c>
      <c r="AE53" s="4">
        <v>20.399999999999999</v>
      </c>
    </row>
    <row r="54" spans="1:31" hidden="1" x14ac:dyDescent="0.25">
      <c r="A54" s="4"/>
      <c r="B54" s="5" t="s">
        <v>764</v>
      </c>
      <c r="C54" s="4"/>
      <c r="D54" s="4">
        <v>11</v>
      </c>
      <c r="E54" s="4">
        <v>1</v>
      </c>
      <c r="F54" s="4">
        <v>76.2</v>
      </c>
      <c r="G54" s="4">
        <v>88.9</v>
      </c>
      <c r="H54" s="4">
        <v>9.5299999999999994</v>
      </c>
      <c r="I54" s="4">
        <v>15.9</v>
      </c>
      <c r="J54" s="4">
        <v>9.33</v>
      </c>
      <c r="K54" s="4">
        <v>8</v>
      </c>
      <c r="L54" s="4">
        <v>20</v>
      </c>
      <c r="M54" s="4">
        <v>0.72099999999999997</v>
      </c>
      <c r="N54" s="4">
        <v>23.3</v>
      </c>
      <c r="O54" s="4">
        <v>2970</v>
      </c>
      <c r="P54" s="4">
        <v>1.54</v>
      </c>
      <c r="Q54" s="4">
        <v>27.9</v>
      </c>
      <c r="R54" s="4">
        <v>22.8</v>
      </c>
      <c r="S54" s="4">
        <v>21.1</v>
      </c>
      <c r="T54" s="4">
        <v>39</v>
      </c>
      <c r="U54" s="4">
        <v>41.9</v>
      </c>
      <c r="V54" s="4">
        <v>42.6</v>
      </c>
      <c r="W54" s="4">
        <v>43.4</v>
      </c>
      <c r="X54" s="4">
        <v>45</v>
      </c>
      <c r="Y54" s="4">
        <v>46.6</v>
      </c>
      <c r="Z54" s="4">
        <v>16.3</v>
      </c>
      <c r="AA54" s="4">
        <v>89.8</v>
      </c>
      <c r="AB54" s="4">
        <v>4.6199999999999998E-2</v>
      </c>
      <c r="AC54" s="4">
        <v>0.66</v>
      </c>
      <c r="AD54" s="4" t="s">
        <v>765</v>
      </c>
      <c r="AE54" s="4">
        <v>15.6</v>
      </c>
    </row>
    <row r="55" spans="1:31" hidden="1" x14ac:dyDescent="0.25">
      <c r="A55" s="4"/>
      <c r="B55" s="5" t="s">
        <v>766</v>
      </c>
      <c r="C55" s="4"/>
      <c r="D55" s="4">
        <v>11</v>
      </c>
      <c r="E55" s="4">
        <v>1</v>
      </c>
      <c r="F55" s="4">
        <v>76.2</v>
      </c>
      <c r="G55" s="4">
        <v>88.9</v>
      </c>
      <c r="H55" s="4">
        <v>7.94</v>
      </c>
      <c r="I55" s="4">
        <v>15.9</v>
      </c>
      <c r="J55" s="4">
        <v>11.2</v>
      </c>
      <c r="K55" s="4">
        <v>9.6</v>
      </c>
      <c r="L55" s="4">
        <v>18</v>
      </c>
      <c r="M55" s="4">
        <v>0.72399999999999998</v>
      </c>
      <c r="N55" s="4">
        <v>19.600000000000001</v>
      </c>
      <c r="O55" s="4">
        <v>2500</v>
      </c>
      <c r="P55" s="4">
        <v>1.32</v>
      </c>
      <c r="Q55" s="4">
        <v>23.7</v>
      </c>
      <c r="R55" s="4">
        <v>23</v>
      </c>
      <c r="S55" s="4">
        <v>20.5</v>
      </c>
      <c r="T55" s="4">
        <v>38.700000000000003</v>
      </c>
      <c r="U55" s="4">
        <v>41.6</v>
      </c>
      <c r="V55" s="4">
        <v>42.3</v>
      </c>
      <c r="W55" s="4">
        <v>43.1</v>
      </c>
      <c r="X55" s="4">
        <v>44.6</v>
      </c>
      <c r="Y55" s="4">
        <v>46.2</v>
      </c>
      <c r="Z55" s="4">
        <v>16.5</v>
      </c>
      <c r="AA55" s="4">
        <v>52.4</v>
      </c>
      <c r="AB55" s="4">
        <v>2.75E-2</v>
      </c>
      <c r="AC55" s="4">
        <v>0.66</v>
      </c>
      <c r="AD55" s="4" t="s">
        <v>767</v>
      </c>
      <c r="AE55" s="4">
        <v>13.2</v>
      </c>
    </row>
    <row r="56" spans="1:31" hidden="1" x14ac:dyDescent="0.25">
      <c r="A56" s="4"/>
      <c r="B56" s="5" t="s">
        <v>768</v>
      </c>
      <c r="C56" s="4"/>
      <c r="D56" s="4">
        <v>11</v>
      </c>
      <c r="E56" s="4">
        <v>1</v>
      </c>
      <c r="F56" s="4">
        <v>76.2</v>
      </c>
      <c r="G56" s="4">
        <v>88.9</v>
      </c>
      <c r="H56" s="4">
        <v>6.35</v>
      </c>
      <c r="I56" s="4">
        <v>16</v>
      </c>
      <c r="J56" s="4">
        <v>14</v>
      </c>
      <c r="K56" s="4">
        <v>12</v>
      </c>
      <c r="L56" s="4">
        <v>18</v>
      </c>
      <c r="M56" s="4">
        <v>0.72699999999999998</v>
      </c>
      <c r="N56" s="4">
        <v>15.8</v>
      </c>
      <c r="O56" s="4">
        <v>2020</v>
      </c>
      <c r="P56" s="4">
        <v>1.0900000000000001</v>
      </c>
      <c r="Q56" s="4">
        <v>19.3</v>
      </c>
      <c r="R56" s="4">
        <v>23.2</v>
      </c>
      <c r="S56" s="4">
        <v>19.899999999999999</v>
      </c>
      <c r="T56" s="4">
        <v>38.5</v>
      </c>
      <c r="U56" s="4">
        <v>41.3</v>
      </c>
      <c r="V56" s="4">
        <v>42.1</v>
      </c>
      <c r="W56" s="4">
        <v>42.8</v>
      </c>
      <c r="X56" s="4">
        <v>44.3</v>
      </c>
      <c r="Y56" s="4">
        <v>45.9</v>
      </c>
      <c r="Z56" s="4">
        <v>16.8</v>
      </c>
      <c r="AA56" s="4">
        <v>27.1</v>
      </c>
      <c r="AB56" s="4">
        <v>1.4500000000000001E-2</v>
      </c>
      <c r="AC56" s="4">
        <v>0.66</v>
      </c>
      <c r="AD56" s="4" t="s">
        <v>769</v>
      </c>
      <c r="AE56" s="4">
        <v>10.6</v>
      </c>
    </row>
    <row r="57" spans="1:31" hidden="1" x14ac:dyDescent="0.25">
      <c r="A57" s="4" t="s">
        <v>59</v>
      </c>
      <c r="B57" s="5" t="s">
        <v>770</v>
      </c>
      <c r="C57" s="4"/>
      <c r="D57" s="4">
        <v>11</v>
      </c>
      <c r="E57" s="4">
        <v>1</v>
      </c>
      <c r="F57" s="4">
        <v>63.5</v>
      </c>
      <c r="G57" s="4">
        <v>88.9</v>
      </c>
      <c r="H57" s="4">
        <v>12.7</v>
      </c>
      <c r="I57" s="4">
        <v>13.6</v>
      </c>
      <c r="J57" s="4">
        <v>7</v>
      </c>
      <c r="K57" s="4">
        <v>5</v>
      </c>
      <c r="L57" s="4">
        <v>24</v>
      </c>
      <c r="M57" s="4">
        <v>0.48599999999999999</v>
      </c>
      <c r="N57" s="4">
        <v>27.9</v>
      </c>
      <c r="O57" s="4">
        <v>3550</v>
      </c>
      <c r="P57" s="4">
        <v>1.1399999999999999</v>
      </c>
      <c r="Q57" s="4">
        <v>24.9</v>
      </c>
      <c r="R57" s="4">
        <v>17.899999999999999</v>
      </c>
      <c r="S57" s="4">
        <v>17.899999999999999</v>
      </c>
      <c r="T57" s="4">
        <v>41.2</v>
      </c>
      <c r="U57" s="4">
        <v>44.2</v>
      </c>
      <c r="V57" s="4">
        <v>45</v>
      </c>
      <c r="W57" s="4">
        <v>45.8</v>
      </c>
      <c r="X57" s="4">
        <v>47.4</v>
      </c>
      <c r="Y57" s="4">
        <v>49.1</v>
      </c>
      <c r="Z57" s="4">
        <v>11.5</v>
      </c>
      <c r="AA57" s="4">
        <v>191</v>
      </c>
      <c r="AB57" s="4">
        <v>8.5300000000000001E-2</v>
      </c>
      <c r="AC57" s="4">
        <v>0.61</v>
      </c>
      <c r="AD57" s="4" t="s">
        <v>771</v>
      </c>
      <c r="AE57" s="4">
        <v>18.7</v>
      </c>
    </row>
    <row r="58" spans="1:31" hidden="1" x14ac:dyDescent="0.25">
      <c r="A58" s="4"/>
      <c r="B58" s="5" t="s">
        <v>772</v>
      </c>
      <c r="C58" s="4"/>
      <c r="D58" s="4">
        <v>11</v>
      </c>
      <c r="E58" s="4">
        <v>1</v>
      </c>
      <c r="F58" s="4">
        <v>63.5</v>
      </c>
      <c r="G58" s="4">
        <v>88.9</v>
      </c>
      <c r="H58" s="4">
        <v>9.5299999999999994</v>
      </c>
      <c r="I58" s="4">
        <v>13.6</v>
      </c>
      <c r="J58" s="4">
        <v>9.33</v>
      </c>
      <c r="K58" s="4">
        <v>6.66</v>
      </c>
      <c r="L58" s="4">
        <v>20</v>
      </c>
      <c r="M58" s="4">
        <v>0.496</v>
      </c>
      <c r="N58" s="4">
        <v>21.4</v>
      </c>
      <c r="O58" s="4">
        <v>2720</v>
      </c>
      <c r="P58" s="4">
        <v>0.90800000000000003</v>
      </c>
      <c r="Q58" s="4">
        <v>19.399999999999999</v>
      </c>
      <c r="R58" s="4">
        <v>18.3</v>
      </c>
      <c r="S58" s="4">
        <v>16.8</v>
      </c>
      <c r="T58" s="4">
        <v>40.6</v>
      </c>
      <c r="U58" s="4">
        <v>43.6</v>
      </c>
      <c r="V58" s="4">
        <v>44.4</v>
      </c>
      <c r="W58" s="4">
        <v>45.2</v>
      </c>
      <c r="X58" s="4">
        <v>46.8</v>
      </c>
      <c r="Y58" s="4">
        <v>48.4</v>
      </c>
      <c r="Z58" s="4">
        <v>12</v>
      </c>
      <c r="AA58" s="4">
        <v>82.4</v>
      </c>
      <c r="AB58" s="4">
        <v>3.8399999999999997E-2</v>
      </c>
      <c r="AC58" s="4">
        <v>0.61</v>
      </c>
      <c r="AD58" s="4" t="s">
        <v>773</v>
      </c>
      <c r="AE58" s="4">
        <v>14.4</v>
      </c>
    </row>
    <row r="59" spans="1:31" hidden="1" x14ac:dyDescent="0.25">
      <c r="A59" s="4"/>
      <c r="B59" s="5" t="s">
        <v>774</v>
      </c>
      <c r="C59" s="4"/>
      <c r="D59" s="4">
        <v>11</v>
      </c>
      <c r="E59" s="4">
        <v>1</v>
      </c>
      <c r="F59" s="4">
        <v>63.5</v>
      </c>
      <c r="G59" s="4">
        <v>88.9</v>
      </c>
      <c r="H59" s="4">
        <v>7.94</v>
      </c>
      <c r="I59" s="4">
        <v>13.7</v>
      </c>
      <c r="J59" s="4">
        <v>11.2</v>
      </c>
      <c r="K59" s="4">
        <v>8</v>
      </c>
      <c r="L59" s="4">
        <v>18</v>
      </c>
      <c r="M59" s="4">
        <v>0.501</v>
      </c>
      <c r="N59" s="4">
        <v>18</v>
      </c>
      <c r="O59" s="4">
        <v>2290</v>
      </c>
      <c r="P59" s="4">
        <v>0.78200000000000003</v>
      </c>
      <c r="Q59" s="4">
        <v>16.5</v>
      </c>
      <c r="R59" s="4">
        <v>18.5</v>
      </c>
      <c r="S59" s="4">
        <v>16.2</v>
      </c>
      <c r="T59" s="4">
        <v>40.4</v>
      </c>
      <c r="U59" s="4">
        <v>43.3</v>
      </c>
      <c r="V59" s="4">
        <v>44.1</v>
      </c>
      <c r="W59" s="4">
        <v>44.9</v>
      </c>
      <c r="X59" s="4">
        <v>46.4</v>
      </c>
      <c r="Y59" s="4">
        <v>48</v>
      </c>
      <c r="Z59" s="4">
        <v>12.2</v>
      </c>
      <c r="AA59" s="4">
        <v>48.2</v>
      </c>
      <c r="AB59" s="4">
        <v>2.29E-2</v>
      </c>
      <c r="AC59" s="4">
        <v>0.61</v>
      </c>
      <c r="AD59" s="4" t="s">
        <v>775</v>
      </c>
      <c r="AE59" s="4">
        <v>12.1</v>
      </c>
    </row>
    <row r="60" spans="1:31" hidden="1" x14ac:dyDescent="0.25">
      <c r="A60" s="4"/>
      <c r="B60" s="5" t="s">
        <v>776</v>
      </c>
      <c r="C60" s="4"/>
      <c r="D60" s="4">
        <v>11</v>
      </c>
      <c r="E60" s="4">
        <v>1</v>
      </c>
      <c r="F60" s="4">
        <v>63.5</v>
      </c>
      <c r="G60" s="4">
        <v>88.9</v>
      </c>
      <c r="H60" s="4">
        <v>6.35</v>
      </c>
      <c r="I60" s="4">
        <v>13.8</v>
      </c>
      <c r="J60" s="4">
        <v>14</v>
      </c>
      <c r="K60" s="4">
        <v>10</v>
      </c>
      <c r="L60" s="4">
        <v>18</v>
      </c>
      <c r="M60" s="4">
        <v>0.50600000000000001</v>
      </c>
      <c r="N60" s="4">
        <v>14.6</v>
      </c>
      <c r="O60" s="4">
        <v>1850</v>
      </c>
      <c r="P60" s="4">
        <v>0.64700000000000002</v>
      </c>
      <c r="Q60" s="4">
        <v>13.5</v>
      </c>
      <c r="R60" s="4">
        <v>18.7</v>
      </c>
      <c r="S60" s="4">
        <v>15.6</v>
      </c>
      <c r="T60" s="4">
        <v>40.1</v>
      </c>
      <c r="U60" s="4">
        <v>43</v>
      </c>
      <c r="V60" s="4">
        <v>43.8</v>
      </c>
      <c r="W60" s="4">
        <v>44.5</v>
      </c>
      <c r="X60" s="4">
        <v>46.1</v>
      </c>
      <c r="Y60" s="4">
        <v>47.7</v>
      </c>
      <c r="Z60" s="4">
        <v>12.4</v>
      </c>
      <c r="AA60" s="4">
        <v>24.9</v>
      </c>
      <c r="AB60" s="4">
        <v>1.21E-2</v>
      </c>
      <c r="AC60" s="4">
        <v>0.61</v>
      </c>
      <c r="AD60" s="4" t="s">
        <v>777</v>
      </c>
      <c r="AE60" s="4">
        <v>9.7799999999999994</v>
      </c>
    </row>
    <row r="61" spans="1:31" hidden="1" x14ac:dyDescent="0.25">
      <c r="A61" s="4" t="s">
        <v>59</v>
      </c>
      <c r="B61" s="5" t="s">
        <v>778</v>
      </c>
      <c r="C61" s="4" t="s">
        <v>59</v>
      </c>
      <c r="D61" s="4">
        <v>11</v>
      </c>
      <c r="E61" s="4">
        <v>1</v>
      </c>
      <c r="F61" s="4">
        <v>63.5</v>
      </c>
      <c r="G61" s="4">
        <v>76.2</v>
      </c>
      <c r="H61" s="4">
        <v>12.7</v>
      </c>
      <c r="I61" s="4">
        <v>13.2</v>
      </c>
      <c r="J61" s="4">
        <v>6</v>
      </c>
      <c r="K61" s="4">
        <v>5</v>
      </c>
      <c r="L61" s="4">
        <v>24</v>
      </c>
      <c r="M61" s="4">
        <v>0.66700000000000004</v>
      </c>
      <c r="N61" s="4">
        <v>25.3</v>
      </c>
      <c r="O61" s="4">
        <v>3230</v>
      </c>
      <c r="P61" s="4">
        <v>1.08</v>
      </c>
      <c r="Q61" s="4">
        <v>24.4</v>
      </c>
      <c r="R61" s="4">
        <v>18.3</v>
      </c>
      <c r="S61" s="4">
        <v>19.100000000000001</v>
      </c>
      <c r="T61" s="4">
        <v>34.4</v>
      </c>
      <c r="U61" s="4">
        <v>37.4</v>
      </c>
      <c r="V61" s="4">
        <v>38.200000000000003</v>
      </c>
      <c r="W61" s="4">
        <v>39</v>
      </c>
      <c r="X61" s="4">
        <v>40.700000000000003</v>
      </c>
      <c r="Y61" s="4">
        <v>42.3</v>
      </c>
      <c r="Z61" s="4">
        <v>12.7</v>
      </c>
      <c r="AA61" s="4">
        <v>173</v>
      </c>
      <c r="AB61" s="4">
        <v>0.06</v>
      </c>
      <c r="AC61" s="4">
        <v>0.55900000000000005</v>
      </c>
      <c r="AD61" s="4" t="s">
        <v>779</v>
      </c>
      <c r="AE61" s="4">
        <v>17</v>
      </c>
    </row>
    <row r="62" spans="1:31" hidden="1" x14ac:dyDescent="0.25">
      <c r="A62" s="4"/>
      <c r="B62" s="5" t="s">
        <v>780</v>
      </c>
      <c r="C62" s="4"/>
      <c r="D62" s="4">
        <v>11</v>
      </c>
      <c r="E62" s="4">
        <v>1</v>
      </c>
      <c r="F62" s="4">
        <v>63.5</v>
      </c>
      <c r="G62" s="4">
        <v>76.2</v>
      </c>
      <c r="H62" s="4">
        <v>9.5299999999999994</v>
      </c>
      <c r="I62" s="4">
        <v>13.3</v>
      </c>
      <c r="J62" s="4">
        <v>8</v>
      </c>
      <c r="K62" s="4">
        <v>6.66</v>
      </c>
      <c r="L62" s="4">
        <v>20</v>
      </c>
      <c r="M62" s="4">
        <v>0.67600000000000005</v>
      </c>
      <c r="N62" s="4">
        <v>19.5</v>
      </c>
      <c r="O62" s="4">
        <v>2480</v>
      </c>
      <c r="P62" s="4">
        <v>0.86799999999999999</v>
      </c>
      <c r="Q62" s="4">
        <v>19</v>
      </c>
      <c r="R62" s="4">
        <v>18.7</v>
      </c>
      <c r="S62" s="4">
        <v>17.899999999999999</v>
      </c>
      <c r="T62" s="4">
        <v>33.799999999999997</v>
      </c>
      <c r="U62" s="4">
        <v>36.799999999999997</v>
      </c>
      <c r="V62" s="4">
        <v>37.6</v>
      </c>
      <c r="W62" s="4">
        <v>38.4</v>
      </c>
      <c r="X62" s="4">
        <v>40</v>
      </c>
      <c r="Y62" s="4">
        <v>41.6</v>
      </c>
      <c r="Z62" s="4">
        <v>13.2</v>
      </c>
      <c r="AA62" s="4">
        <v>75.099999999999994</v>
      </c>
      <c r="AB62" s="4">
        <v>2.7300000000000001E-2</v>
      </c>
      <c r="AC62" s="4">
        <v>0.55900000000000005</v>
      </c>
      <c r="AD62" s="4" t="s">
        <v>781</v>
      </c>
      <c r="AE62" s="4">
        <v>13.1</v>
      </c>
    </row>
    <row r="63" spans="1:31" hidden="1" x14ac:dyDescent="0.25">
      <c r="A63" s="4"/>
      <c r="B63" s="5" t="s">
        <v>782</v>
      </c>
      <c r="C63" s="4"/>
      <c r="D63" s="4">
        <v>11</v>
      </c>
      <c r="E63" s="4">
        <v>1</v>
      </c>
      <c r="F63" s="4">
        <v>63.5</v>
      </c>
      <c r="G63" s="4">
        <v>76.2</v>
      </c>
      <c r="H63" s="4">
        <v>7.94</v>
      </c>
      <c r="I63" s="4">
        <v>13.3</v>
      </c>
      <c r="J63" s="4">
        <v>9.6</v>
      </c>
      <c r="K63" s="4">
        <v>8</v>
      </c>
      <c r="L63" s="4">
        <v>18</v>
      </c>
      <c r="M63" s="4">
        <v>0.68</v>
      </c>
      <c r="N63" s="4">
        <v>16.399999999999999</v>
      </c>
      <c r="O63" s="4">
        <v>2090</v>
      </c>
      <c r="P63" s="4">
        <v>0.748</v>
      </c>
      <c r="Q63" s="4">
        <v>16.2</v>
      </c>
      <c r="R63" s="4">
        <v>18.899999999999999</v>
      </c>
      <c r="S63" s="4">
        <v>17.399999999999999</v>
      </c>
      <c r="T63" s="4">
        <v>33.6</v>
      </c>
      <c r="U63" s="4">
        <v>36.5</v>
      </c>
      <c r="V63" s="4">
        <v>37.299999999999997</v>
      </c>
      <c r="W63" s="4">
        <v>38.1</v>
      </c>
      <c r="X63" s="4">
        <v>39.6</v>
      </c>
      <c r="Y63" s="4">
        <v>41.3</v>
      </c>
      <c r="Z63" s="4">
        <v>13.4</v>
      </c>
      <c r="AA63" s="4">
        <v>44</v>
      </c>
      <c r="AB63" s="4">
        <v>1.6299999999999999E-2</v>
      </c>
      <c r="AC63" s="4">
        <v>0.55900000000000005</v>
      </c>
      <c r="AD63" s="4" t="s">
        <v>783</v>
      </c>
      <c r="AE63" s="4">
        <v>11</v>
      </c>
    </row>
    <row r="64" spans="1:31" hidden="1" x14ac:dyDescent="0.25">
      <c r="A64" s="4"/>
      <c r="B64" s="5" t="s">
        <v>784</v>
      </c>
      <c r="C64" s="4"/>
      <c r="D64" s="4">
        <v>11</v>
      </c>
      <c r="E64" s="4">
        <v>1</v>
      </c>
      <c r="F64" s="4">
        <v>63.5</v>
      </c>
      <c r="G64" s="4">
        <v>76.2</v>
      </c>
      <c r="H64" s="4">
        <v>6.35</v>
      </c>
      <c r="I64" s="4">
        <v>13.4</v>
      </c>
      <c r="J64" s="4">
        <v>12</v>
      </c>
      <c r="K64" s="4">
        <v>10</v>
      </c>
      <c r="L64" s="4">
        <v>18</v>
      </c>
      <c r="M64" s="4">
        <v>0.68400000000000005</v>
      </c>
      <c r="N64" s="4">
        <v>13.3</v>
      </c>
      <c r="O64" s="4">
        <v>1690</v>
      </c>
      <c r="P64" s="4">
        <v>0.61899999999999999</v>
      </c>
      <c r="Q64" s="4">
        <v>13.2</v>
      </c>
      <c r="R64" s="4">
        <v>19.100000000000001</v>
      </c>
      <c r="S64" s="4">
        <v>16.8</v>
      </c>
      <c r="T64" s="4">
        <v>33.299999999999997</v>
      </c>
      <c r="U64" s="4">
        <v>36.200000000000003</v>
      </c>
      <c r="V64" s="4">
        <v>37</v>
      </c>
      <c r="W64" s="4">
        <v>37.799999999999997</v>
      </c>
      <c r="X64" s="4">
        <v>39.299999999999997</v>
      </c>
      <c r="Y64" s="4">
        <v>40.9</v>
      </c>
      <c r="Z64" s="4">
        <v>13.6</v>
      </c>
      <c r="AA64" s="4">
        <v>22.8</v>
      </c>
      <c r="AB64" s="4">
        <v>8.6599999999999993E-3</v>
      </c>
      <c r="AC64" s="4">
        <v>0.55900000000000005</v>
      </c>
      <c r="AD64" s="4" t="s">
        <v>785</v>
      </c>
      <c r="AE64" s="4">
        <v>8.93</v>
      </c>
    </row>
    <row r="65" spans="1:31" hidden="1" x14ac:dyDescent="0.25">
      <c r="A65" s="4"/>
      <c r="B65" s="5" t="s">
        <v>786</v>
      </c>
      <c r="C65" s="4" t="s">
        <v>59</v>
      </c>
      <c r="D65" s="4">
        <v>11</v>
      </c>
      <c r="E65" s="4">
        <v>1</v>
      </c>
      <c r="F65" s="4">
        <v>63.5</v>
      </c>
      <c r="G65" s="4">
        <v>76.2</v>
      </c>
      <c r="H65" s="4">
        <v>4.76</v>
      </c>
      <c r="I65" s="4">
        <v>13.5</v>
      </c>
      <c r="J65" s="4">
        <v>16</v>
      </c>
      <c r="K65" s="4">
        <v>13.3</v>
      </c>
      <c r="L65" s="4">
        <v>16</v>
      </c>
      <c r="M65" s="4">
        <v>0.68799999999999994</v>
      </c>
      <c r="N65" s="4">
        <v>10.1</v>
      </c>
      <c r="O65" s="4">
        <v>1280</v>
      </c>
      <c r="P65" s="4">
        <v>0.48</v>
      </c>
      <c r="Q65" s="4">
        <v>10.199999999999999</v>
      </c>
      <c r="R65" s="4">
        <v>19.3</v>
      </c>
      <c r="S65" s="4">
        <v>16.2</v>
      </c>
      <c r="T65" s="4">
        <v>33.1</v>
      </c>
      <c r="U65" s="4">
        <v>36</v>
      </c>
      <c r="V65" s="4">
        <v>36.700000000000003</v>
      </c>
      <c r="W65" s="4">
        <v>37.5</v>
      </c>
      <c r="X65" s="4">
        <v>39</v>
      </c>
      <c r="Y65" s="4">
        <v>40.6</v>
      </c>
      <c r="Z65" s="4">
        <v>13.8</v>
      </c>
      <c r="AA65" s="4">
        <v>9.6999999999999993</v>
      </c>
      <c r="AB65" s="4">
        <v>3.7799999999999999E-3</v>
      </c>
      <c r="AC65" s="4">
        <v>0.55900000000000005</v>
      </c>
      <c r="AD65" s="4" t="s">
        <v>787</v>
      </c>
      <c r="AE65" s="4">
        <v>6.78</v>
      </c>
    </row>
    <row r="66" spans="1:31" hidden="1" x14ac:dyDescent="0.25">
      <c r="A66" s="4" t="s">
        <v>59</v>
      </c>
      <c r="B66" s="5" t="s">
        <v>788</v>
      </c>
      <c r="C66" s="4"/>
      <c r="D66" s="4">
        <v>11</v>
      </c>
      <c r="E66" s="4">
        <v>1</v>
      </c>
      <c r="F66" s="4">
        <v>50.8</v>
      </c>
      <c r="G66" s="4">
        <v>76.2</v>
      </c>
      <c r="H66" s="4">
        <v>12.7</v>
      </c>
      <c r="I66" s="4">
        <v>10.9</v>
      </c>
      <c r="J66" s="4">
        <v>6</v>
      </c>
      <c r="K66" s="4">
        <v>4</v>
      </c>
      <c r="L66" s="4">
        <v>22</v>
      </c>
      <c r="M66" s="4">
        <v>0.41399999999999998</v>
      </c>
      <c r="N66" s="4">
        <v>22.8</v>
      </c>
      <c r="O66" s="4">
        <v>2900</v>
      </c>
      <c r="P66" s="4">
        <v>0.55900000000000005</v>
      </c>
      <c r="Q66" s="4">
        <v>15.5</v>
      </c>
      <c r="R66" s="4">
        <v>13.9</v>
      </c>
      <c r="S66" s="4">
        <v>14.8</v>
      </c>
      <c r="T66" s="4">
        <v>36.200000000000003</v>
      </c>
      <c r="U66" s="4">
        <v>39.299999999999997</v>
      </c>
      <c r="V66" s="4">
        <v>40.1</v>
      </c>
      <c r="W66" s="4">
        <v>40.9</v>
      </c>
      <c r="X66" s="4">
        <v>42.6</v>
      </c>
      <c r="Y66" s="4">
        <v>44.3</v>
      </c>
      <c r="Z66" s="4">
        <v>8.4700000000000006</v>
      </c>
      <c r="AA66" s="4">
        <v>156</v>
      </c>
      <c r="AB66" s="4">
        <v>4.8800000000000003E-2</v>
      </c>
      <c r="AC66" s="4">
        <v>0.50800000000000001</v>
      </c>
      <c r="AD66" s="4" t="s">
        <v>789</v>
      </c>
      <c r="AE66" s="4">
        <v>15.3</v>
      </c>
    </row>
    <row r="67" spans="1:31" hidden="1" x14ac:dyDescent="0.25">
      <c r="A67" s="4"/>
      <c r="B67" s="5" t="s">
        <v>790</v>
      </c>
      <c r="C67" s="4"/>
      <c r="D67" s="4">
        <v>11</v>
      </c>
      <c r="E67" s="4">
        <v>1</v>
      </c>
      <c r="F67" s="4">
        <v>50.8</v>
      </c>
      <c r="G67" s="4">
        <v>76.2</v>
      </c>
      <c r="H67" s="4">
        <v>9.5299999999999994</v>
      </c>
      <c r="I67" s="4">
        <v>10.9</v>
      </c>
      <c r="J67" s="4">
        <v>8</v>
      </c>
      <c r="K67" s="4">
        <v>5.33</v>
      </c>
      <c r="L67" s="4">
        <v>18</v>
      </c>
      <c r="M67" s="4">
        <v>0.42799999999999999</v>
      </c>
      <c r="N67" s="4">
        <v>17.600000000000001</v>
      </c>
      <c r="O67" s="4">
        <v>2240</v>
      </c>
      <c r="P67" s="4">
        <v>0.45200000000000001</v>
      </c>
      <c r="Q67" s="4">
        <v>12.2</v>
      </c>
      <c r="R67" s="4">
        <v>14.2</v>
      </c>
      <c r="S67" s="4">
        <v>13.7</v>
      </c>
      <c r="T67" s="4">
        <v>35.6</v>
      </c>
      <c r="U67" s="4">
        <v>38.6</v>
      </c>
      <c r="V67" s="4">
        <v>39.4</v>
      </c>
      <c r="W67" s="4">
        <v>40.200000000000003</v>
      </c>
      <c r="X67" s="4">
        <v>41.9</v>
      </c>
      <c r="Y67" s="4">
        <v>43.5</v>
      </c>
      <c r="Z67" s="4">
        <v>8.92</v>
      </c>
      <c r="AA67" s="4">
        <v>67.8</v>
      </c>
      <c r="AB67" s="4">
        <v>2.2200000000000001E-2</v>
      </c>
      <c r="AC67" s="4">
        <v>0.50800000000000001</v>
      </c>
      <c r="AD67" s="4" t="s">
        <v>791</v>
      </c>
      <c r="AE67" s="4">
        <v>11.8</v>
      </c>
    </row>
    <row r="68" spans="1:31" hidden="1" x14ac:dyDescent="0.25">
      <c r="A68" s="4"/>
      <c r="B68" s="5" t="s">
        <v>792</v>
      </c>
      <c r="C68" s="4"/>
      <c r="D68" s="4">
        <v>11</v>
      </c>
      <c r="E68" s="4">
        <v>1</v>
      </c>
      <c r="F68" s="4">
        <v>50.8</v>
      </c>
      <c r="G68" s="4">
        <v>76.2</v>
      </c>
      <c r="H68" s="4">
        <v>7.94</v>
      </c>
      <c r="I68" s="4">
        <v>11</v>
      </c>
      <c r="J68" s="4">
        <v>9.6</v>
      </c>
      <c r="K68" s="4">
        <v>6.4</v>
      </c>
      <c r="L68" s="4">
        <v>16</v>
      </c>
      <c r="M68" s="4">
        <v>0.435</v>
      </c>
      <c r="N68" s="4">
        <v>14.8</v>
      </c>
      <c r="O68" s="4">
        <v>1890</v>
      </c>
      <c r="P68" s="4">
        <v>0.39200000000000002</v>
      </c>
      <c r="Q68" s="4">
        <v>10.4</v>
      </c>
      <c r="R68" s="4">
        <v>14.4</v>
      </c>
      <c r="S68" s="4">
        <v>13.1</v>
      </c>
      <c r="T68" s="4">
        <v>35.299999999999997</v>
      </c>
      <c r="U68" s="4">
        <v>38.299999999999997</v>
      </c>
      <c r="V68" s="4">
        <v>39.1</v>
      </c>
      <c r="W68" s="4">
        <v>39.9</v>
      </c>
      <c r="X68" s="4">
        <v>41.5</v>
      </c>
      <c r="Y68" s="4">
        <v>43.2</v>
      </c>
      <c r="Z68" s="4">
        <v>9.14</v>
      </c>
      <c r="AA68" s="4">
        <v>39.700000000000003</v>
      </c>
      <c r="AB68" s="4">
        <v>1.3299999999999999E-2</v>
      </c>
      <c r="AC68" s="4">
        <v>0.50800000000000001</v>
      </c>
      <c r="AD68" s="4" t="s">
        <v>793</v>
      </c>
      <c r="AE68" s="4">
        <v>9.9700000000000006</v>
      </c>
    </row>
    <row r="69" spans="1:31" hidden="1" x14ac:dyDescent="0.25">
      <c r="A69" s="4"/>
      <c r="B69" s="5" t="s">
        <v>794</v>
      </c>
      <c r="C69" s="4"/>
      <c r="D69" s="4">
        <v>11</v>
      </c>
      <c r="E69" s="4">
        <v>1</v>
      </c>
      <c r="F69" s="4">
        <v>50.8</v>
      </c>
      <c r="G69" s="4">
        <v>76.2</v>
      </c>
      <c r="H69" s="4">
        <v>6.35</v>
      </c>
      <c r="I69" s="4">
        <v>11</v>
      </c>
      <c r="J69" s="4">
        <v>12</v>
      </c>
      <c r="K69" s="4">
        <v>8</v>
      </c>
      <c r="L69" s="4">
        <v>16</v>
      </c>
      <c r="M69" s="4">
        <v>0.44</v>
      </c>
      <c r="N69" s="4">
        <v>12</v>
      </c>
      <c r="O69" s="4">
        <v>1530</v>
      </c>
      <c r="P69" s="4">
        <v>0.32600000000000001</v>
      </c>
      <c r="Q69" s="4">
        <v>8.52</v>
      </c>
      <c r="R69" s="4">
        <v>14.6</v>
      </c>
      <c r="S69" s="4">
        <v>12.5</v>
      </c>
      <c r="T69" s="4">
        <v>35</v>
      </c>
      <c r="U69" s="4">
        <v>38</v>
      </c>
      <c r="V69" s="4">
        <v>38.799999999999997</v>
      </c>
      <c r="W69" s="4">
        <v>39.6</v>
      </c>
      <c r="X69" s="4">
        <v>41.2</v>
      </c>
      <c r="Y69" s="4">
        <v>42.8</v>
      </c>
      <c r="Z69" s="4">
        <v>9.36</v>
      </c>
      <c r="AA69" s="4">
        <v>20.6</v>
      </c>
      <c r="AB69" s="4">
        <v>7.0800000000000004E-3</v>
      </c>
      <c r="AC69" s="4">
        <v>0.50800000000000001</v>
      </c>
      <c r="AD69" s="4" t="s">
        <v>795</v>
      </c>
      <c r="AE69" s="4">
        <v>8.08</v>
      </c>
    </row>
    <row r="70" spans="1:31" hidden="1" x14ac:dyDescent="0.25">
      <c r="A70" s="4"/>
      <c r="B70" s="5" t="s">
        <v>796</v>
      </c>
      <c r="C70" s="4"/>
      <c r="D70" s="4">
        <v>11</v>
      </c>
      <c r="E70" s="4">
        <v>1</v>
      </c>
      <c r="F70" s="4">
        <v>50.8</v>
      </c>
      <c r="G70" s="4">
        <v>76.2</v>
      </c>
      <c r="H70" s="4">
        <v>4.76</v>
      </c>
      <c r="I70" s="4">
        <v>11.1</v>
      </c>
      <c r="J70" s="4">
        <v>16</v>
      </c>
      <c r="K70" s="4">
        <v>10.7</v>
      </c>
      <c r="L70" s="4">
        <v>14</v>
      </c>
      <c r="M70" s="4">
        <v>0.44600000000000001</v>
      </c>
      <c r="N70" s="4">
        <v>9.14</v>
      </c>
      <c r="O70" s="4">
        <v>1160</v>
      </c>
      <c r="P70" s="4">
        <v>0.255</v>
      </c>
      <c r="Q70" s="4">
        <v>6.56</v>
      </c>
      <c r="R70" s="4">
        <v>14.8</v>
      </c>
      <c r="S70" s="4">
        <v>11.9</v>
      </c>
      <c r="T70" s="4">
        <v>34.799999999999997</v>
      </c>
      <c r="U70" s="4">
        <v>37.700000000000003</v>
      </c>
      <c r="V70" s="4">
        <v>38.5</v>
      </c>
      <c r="W70" s="4">
        <v>39.299999999999997</v>
      </c>
      <c r="X70" s="4">
        <v>40.799999999999997</v>
      </c>
      <c r="Y70" s="4">
        <v>42.5</v>
      </c>
      <c r="Z70" s="4">
        <v>9.57</v>
      </c>
      <c r="AA70" s="4">
        <v>8.7899999999999991</v>
      </c>
      <c r="AB70" s="4">
        <v>3.0899999999999999E-3</v>
      </c>
      <c r="AC70" s="4">
        <v>0.50800000000000001</v>
      </c>
      <c r="AD70" s="4" t="s">
        <v>797</v>
      </c>
      <c r="AE70" s="4">
        <v>6.14</v>
      </c>
    </row>
    <row r="71" spans="1:31" hidden="1" x14ac:dyDescent="0.25">
      <c r="A71" s="4" t="s">
        <v>59</v>
      </c>
      <c r="B71" s="5" t="s">
        <v>798</v>
      </c>
      <c r="C71" s="4"/>
      <c r="D71" s="4">
        <v>11</v>
      </c>
      <c r="E71" s="4">
        <v>1</v>
      </c>
      <c r="F71" s="4">
        <v>50.8</v>
      </c>
      <c r="G71" s="4">
        <v>63.5</v>
      </c>
      <c r="H71" s="4">
        <v>9.5299999999999994</v>
      </c>
      <c r="I71" s="4">
        <v>10.7</v>
      </c>
      <c r="J71" s="4">
        <v>6.66</v>
      </c>
      <c r="K71" s="4">
        <v>5.33</v>
      </c>
      <c r="L71" s="4">
        <v>16</v>
      </c>
      <c r="M71" s="4">
        <v>0.61399999999999999</v>
      </c>
      <c r="N71" s="4">
        <v>15.7</v>
      </c>
      <c r="O71" s="4">
        <v>2000</v>
      </c>
      <c r="P71" s="4">
        <v>0.42799999999999999</v>
      </c>
      <c r="Q71" s="4">
        <v>11.9</v>
      </c>
      <c r="R71" s="4">
        <v>14.6</v>
      </c>
      <c r="S71" s="4">
        <v>14.8</v>
      </c>
      <c r="T71" s="4">
        <v>28.7</v>
      </c>
      <c r="U71" s="4">
        <v>31.8</v>
      </c>
      <c r="V71" s="4">
        <v>32.6</v>
      </c>
      <c r="W71" s="4">
        <v>33.4</v>
      </c>
      <c r="X71" s="4">
        <v>35</v>
      </c>
      <c r="Y71" s="4">
        <v>36.700000000000003</v>
      </c>
      <c r="Z71" s="4">
        <v>10</v>
      </c>
      <c r="AA71" s="4">
        <v>60.5</v>
      </c>
      <c r="AB71" s="4">
        <v>1.44E-2</v>
      </c>
      <c r="AC71" s="4">
        <v>0.45700000000000002</v>
      </c>
      <c r="AD71" s="4" t="s">
        <v>799</v>
      </c>
      <c r="AE71" s="4">
        <v>10.5</v>
      </c>
    </row>
    <row r="72" spans="1:31" hidden="1" x14ac:dyDescent="0.25">
      <c r="A72" s="4"/>
      <c r="B72" s="5" t="s">
        <v>800</v>
      </c>
      <c r="C72" s="4"/>
      <c r="D72" s="4">
        <v>11</v>
      </c>
      <c r="E72" s="4">
        <v>1</v>
      </c>
      <c r="F72" s="4">
        <v>50.8</v>
      </c>
      <c r="G72" s="4">
        <v>63.5</v>
      </c>
      <c r="H72" s="4">
        <v>7.94</v>
      </c>
      <c r="I72" s="4">
        <v>10.7</v>
      </c>
      <c r="J72" s="4">
        <v>8</v>
      </c>
      <c r="K72" s="4">
        <v>6.4</v>
      </c>
      <c r="L72" s="4">
        <v>14</v>
      </c>
      <c r="M72" s="4">
        <v>0.62</v>
      </c>
      <c r="N72" s="4">
        <v>13.3</v>
      </c>
      <c r="O72" s="4">
        <v>1690</v>
      </c>
      <c r="P72" s="4">
        <v>0.372</v>
      </c>
      <c r="Q72" s="4">
        <v>10.199999999999999</v>
      </c>
      <c r="R72" s="4">
        <v>14.8</v>
      </c>
      <c r="S72" s="4">
        <v>14.2</v>
      </c>
      <c r="T72" s="4">
        <v>28.5</v>
      </c>
      <c r="U72" s="4">
        <v>31.5</v>
      </c>
      <c r="V72" s="4">
        <v>32.299999999999997</v>
      </c>
      <c r="W72" s="4">
        <v>33.1</v>
      </c>
      <c r="X72" s="4">
        <v>34.700000000000003</v>
      </c>
      <c r="Y72" s="4">
        <v>36.4</v>
      </c>
      <c r="Z72" s="4">
        <v>10.199999999999999</v>
      </c>
      <c r="AA72" s="4">
        <v>35.5</v>
      </c>
      <c r="AB72" s="4">
        <v>8.7200000000000003E-3</v>
      </c>
      <c r="AC72" s="4">
        <v>0.45700000000000002</v>
      </c>
      <c r="AD72" s="4" t="s">
        <v>801</v>
      </c>
      <c r="AE72" s="4">
        <v>8.91</v>
      </c>
    </row>
    <row r="73" spans="1:31" hidden="1" x14ac:dyDescent="0.25">
      <c r="A73" s="4"/>
      <c r="B73" s="5" t="s">
        <v>802</v>
      </c>
      <c r="C73" s="4"/>
      <c r="D73" s="4">
        <v>11</v>
      </c>
      <c r="E73" s="4">
        <v>1</v>
      </c>
      <c r="F73" s="4">
        <v>50.8</v>
      </c>
      <c r="G73" s="4">
        <v>63.5</v>
      </c>
      <c r="H73" s="4">
        <v>6.35</v>
      </c>
      <c r="I73" s="4">
        <v>10.8</v>
      </c>
      <c r="J73" s="4">
        <v>10</v>
      </c>
      <c r="K73" s="4">
        <v>8</v>
      </c>
      <c r="L73" s="4">
        <v>14</v>
      </c>
      <c r="M73" s="4">
        <v>0.626</v>
      </c>
      <c r="N73" s="4">
        <v>10.8</v>
      </c>
      <c r="O73" s="4">
        <v>1370</v>
      </c>
      <c r="P73" s="4">
        <v>0.31</v>
      </c>
      <c r="Q73" s="4">
        <v>8.34</v>
      </c>
      <c r="R73" s="4">
        <v>15</v>
      </c>
      <c r="S73" s="4">
        <v>13.6</v>
      </c>
      <c r="T73" s="4">
        <v>28.2</v>
      </c>
      <c r="U73" s="4">
        <v>31.2</v>
      </c>
      <c r="V73" s="4">
        <v>32</v>
      </c>
      <c r="W73" s="4">
        <v>32.700000000000003</v>
      </c>
      <c r="X73" s="4">
        <v>34.299999999999997</v>
      </c>
      <c r="Y73" s="4">
        <v>36</v>
      </c>
      <c r="Z73" s="4">
        <v>10.5</v>
      </c>
      <c r="AA73" s="4">
        <v>18.399999999999999</v>
      </c>
      <c r="AB73" s="4">
        <v>4.6600000000000001E-3</v>
      </c>
      <c r="AC73" s="4">
        <v>0.45700000000000002</v>
      </c>
      <c r="AD73" s="4" t="s">
        <v>803</v>
      </c>
      <c r="AE73" s="4">
        <v>7.23</v>
      </c>
    </row>
    <row r="74" spans="1:31" hidden="1" x14ac:dyDescent="0.25">
      <c r="A74" s="4"/>
      <c r="B74" s="5" t="s">
        <v>804</v>
      </c>
      <c r="C74" s="4"/>
      <c r="D74" s="4">
        <v>11</v>
      </c>
      <c r="E74" s="4">
        <v>1</v>
      </c>
      <c r="F74" s="4">
        <v>50.8</v>
      </c>
      <c r="G74" s="4">
        <v>63.5</v>
      </c>
      <c r="H74" s="4">
        <v>4.76</v>
      </c>
      <c r="I74" s="4">
        <v>10.9</v>
      </c>
      <c r="J74" s="4">
        <v>13.3</v>
      </c>
      <c r="K74" s="4">
        <v>10.7</v>
      </c>
      <c r="L74" s="4">
        <v>12</v>
      </c>
      <c r="M74" s="4">
        <v>0.63100000000000001</v>
      </c>
      <c r="N74" s="4">
        <v>8.19</v>
      </c>
      <c r="O74" s="4">
        <v>1040</v>
      </c>
      <c r="P74" s="4">
        <v>0.24199999999999999</v>
      </c>
      <c r="Q74" s="4">
        <v>6.42</v>
      </c>
      <c r="R74" s="4">
        <v>15.2</v>
      </c>
      <c r="S74" s="4">
        <v>13.1</v>
      </c>
      <c r="T74" s="4">
        <v>28</v>
      </c>
      <c r="U74" s="4">
        <v>30.9</v>
      </c>
      <c r="V74" s="4">
        <v>31.6</v>
      </c>
      <c r="W74" s="4">
        <v>32.4</v>
      </c>
      <c r="X74" s="4">
        <v>34</v>
      </c>
      <c r="Y74" s="4">
        <v>35.6</v>
      </c>
      <c r="Z74" s="4">
        <v>10.7</v>
      </c>
      <c r="AA74" s="4">
        <v>7.88</v>
      </c>
      <c r="AB74" s="4">
        <v>2.0500000000000002E-3</v>
      </c>
      <c r="AC74" s="4">
        <v>0.45700000000000002</v>
      </c>
      <c r="AD74" s="4" t="s">
        <v>805</v>
      </c>
      <c r="AE74" s="4">
        <v>5.5</v>
      </c>
    </row>
    <row r="75" spans="1:31" hidden="1" x14ac:dyDescent="0.25">
      <c r="A75" s="4" t="s">
        <v>59</v>
      </c>
      <c r="B75" s="5" t="s">
        <v>806</v>
      </c>
      <c r="C75" s="4"/>
      <c r="D75" s="4">
        <v>11</v>
      </c>
      <c r="E75" s="4">
        <v>1</v>
      </c>
      <c r="F75" s="4">
        <v>38.1</v>
      </c>
      <c r="G75" s="4">
        <v>50.8</v>
      </c>
      <c r="H75" s="4">
        <v>6.35</v>
      </c>
      <c r="I75" s="4">
        <v>8.1199999999999992</v>
      </c>
      <c r="J75" s="4">
        <v>8</v>
      </c>
      <c r="K75" s="4">
        <v>6</v>
      </c>
      <c r="L75" s="4">
        <v>14</v>
      </c>
      <c r="M75" s="4">
        <v>0.54300000000000004</v>
      </c>
      <c r="N75" s="4">
        <v>8.23</v>
      </c>
      <c r="O75" s="4">
        <v>1050</v>
      </c>
      <c r="P75" s="4">
        <v>0.126</v>
      </c>
      <c r="Q75" s="4">
        <v>4.57</v>
      </c>
      <c r="R75" s="4">
        <v>11</v>
      </c>
      <c r="S75" s="4">
        <v>10.5</v>
      </c>
      <c r="T75" s="4">
        <v>23.1</v>
      </c>
      <c r="U75" s="4">
        <v>26.2</v>
      </c>
      <c r="V75" s="4">
        <v>27</v>
      </c>
      <c r="W75" s="4">
        <v>27.8</v>
      </c>
      <c r="X75" s="4">
        <v>29.5</v>
      </c>
      <c r="Y75" s="4">
        <v>31.2</v>
      </c>
      <c r="Z75" s="4">
        <v>7.33</v>
      </c>
      <c r="AA75" s="4">
        <v>14.1</v>
      </c>
      <c r="AB75" s="4">
        <v>2.14E-3</v>
      </c>
      <c r="AC75" s="4">
        <v>0.35599999999999998</v>
      </c>
      <c r="AD75" s="4" t="s">
        <v>807</v>
      </c>
      <c r="AE75" s="4">
        <v>5.53</v>
      </c>
    </row>
    <row r="76" spans="1:31" hidden="1" x14ac:dyDescent="0.25">
      <c r="A76" s="4"/>
      <c r="B76" s="5" t="s">
        <v>808</v>
      </c>
      <c r="C76" s="4"/>
      <c r="D76" s="4">
        <v>11</v>
      </c>
      <c r="E76" s="4">
        <v>1</v>
      </c>
      <c r="F76" s="4">
        <v>38.1</v>
      </c>
      <c r="G76" s="4">
        <v>50.8</v>
      </c>
      <c r="H76" s="4">
        <v>4.76</v>
      </c>
      <c r="I76" s="4">
        <v>8.18</v>
      </c>
      <c r="J76" s="4">
        <v>10.7</v>
      </c>
      <c r="K76" s="4">
        <v>8</v>
      </c>
      <c r="L76" s="4">
        <v>12</v>
      </c>
      <c r="M76" s="4">
        <v>0.55100000000000005</v>
      </c>
      <c r="N76" s="4">
        <v>6.29</v>
      </c>
      <c r="O76" s="4">
        <v>801</v>
      </c>
      <c r="P76" s="4">
        <v>9.9900000000000003E-2</v>
      </c>
      <c r="Q76" s="4">
        <v>3.54</v>
      </c>
      <c r="R76" s="4">
        <v>11.2</v>
      </c>
      <c r="S76" s="4">
        <v>9.93</v>
      </c>
      <c r="T76" s="4">
        <v>22.9</v>
      </c>
      <c r="U76" s="4">
        <v>25.9</v>
      </c>
      <c r="V76" s="4">
        <v>26.6</v>
      </c>
      <c r="W76" s="4">
        <v>27.5</v>
      </c>
      <c r="X76" s="4">
        <v>29.1</v>
      </c>
      <c r="Y76" s="4">
        <v>30.8</v>
      </c>
      <c r="Z76" s="4">
        <v>7.55</v>
      </c>
      <c r="AA76" s="4">
        <v>6.05</v>
      </c>
      <c r="AB76" s="4">
        <v>9.5299999999999996E-4</v>
      </c>
      <c r="AC76" s="4">
        <v>0.35599999999999998</v>
      </c>
      <c r="AD76" s="4" t="s">
        <v>809</v>
      </c>
      <c r="AE76" s="4">
        <v>4.2300000000000004</v>
      </c>
    </row>
    <row r="77" spans="1:31" hidden="1" x14ac:dyDescent="0.25">
      <c r="A77" s="4"/>
      <c r="B77" s="5" t="s">
        <v>810</v>
      </c>
      <c r="C77" s="4"/>
      <c r="D77" s="4">
        <v>11</v>
      </c>
      <c r="E77" s="4">
        <v>1</v>
      </c>
      <c r="F77" s="4">
        <v>38.1</v>
      </c>
      <c r="G77" s="4">
        <v>50.8</v>
      </c>
      <c r="H77" s="4">
        <v>3.18</v>
      </c>
      <c r="I77" s="4">
        <v>8.27</v>
      </c>
      <c r="J77" s="4">
        <v>16</v>
      </c>
      <c r="K77" s="4">
        <v>12</v>
      </c>
      <c r="L77" s="4">
        <v>10</v>
      </c>
      <c r="M77" s="4">
        <v>0.55800000000000005</v>
      </c>
      <c r="N77" s="4">
        <v>4.28</v>
      </c>
      <c r="O77" s="4">
        <v>545</v>
      </c>
      <c r="P77" s="4">
        <v>7.0599999999999996E-2</v>
      </c>
      <c r="Q77" s="4">
        <v>2.46</v>
      </c>
      <c r="R77" s="4">
        <v>11.4</v>
      </c>
      <c r="S77" s="4">
        <v>9.35</v>
      </c>
      <c r="T77" s="4">
        <v>22.6</v>
      </c>
      <c r="U77" s="4">
        <v>25.5</v>
      </c>
      <c r="V77" s="4">
        <v>26.3</v>
      </c>
      <c r="W77" s="4">
        <v>27.1</v>
      </c>
      <c r="X77" s="4">
        <v>28.7</v>
      </c>
      <c r="Y77" s="4">
        <v>30.4</v>
      </c>
      <c r="Z77" s="4">
        <v>7.76</v>
      </c>
      <c r="AA77" s="4">
        <v>1.84</v>
      </c>
      <c r="AB77" s="4">
        <v>2.9999999999999997E-4</v>
      </c>
      <c r="AC77" s="4">
        <v>0.35599999999999998</v>
      </c>
      <c r="AD77" s="4" t="s">
        <v>811</v>
      </c>
      <c r="AE77" s="4">
        <v>2.88</v>
      </c>
    </row>
    <row r="78" spans="1:31" x14ac:dyDescent="0.25">
      <c r="A78" s="3" t="s">
        <v>812</v>
      </c>
      <c r="B78" s="41"/>
      <c r="C78" s="42"/>
      <c r="D78" s="42"/>
      <c r="E78" s="42"/>
      <c r="F78" s="42"/>
      <c r="G78" s="42"/>
      <c r="H78" s="42"/>
      <c r="I78" s="42"/>
      <c r="J78" s="42"/>
      <c r="K78" s="42"/>
      <c r="L78" s="42"/>
      <c r="M78" s="42"/>
      <c r="N78" s="42"/>
      <c r="O78" s="42"/>
      <c r="P78" s="42"/>
      <c r="Q78" s="42"/>
      <c r="R78" s="42"/>
      <c r="S78" s="42"/>
      <c r="T78" s="42"/>
      <c r="U78" s="42"/>
      <c r="V78" s="42"/>
      <c r="W78" s="42"/>
      <c r="X78" s="42"/>
      <c r="Y78" s="42"/>
      <c r="Z78" s="42"/>
      <c r="AA78" s="42"/>
      <c r="AB78" s="42"/>
      <c r="AC78" s="42"/>
      <c r="AD78" s="42"/>
      <c r="AE78" s="42"/>
    </row>
    <row r="79" spans="1:31" x14ac:dyDescent="0.25">
      <c r="A79" s="4" t="s">
        <v>59</v>
      </c>
      <c r="B79" s="5" t="s">
        <v>666</v>
      </c>
      <c r="C79" s="4" t="s">
        <v>59</v>
      </c>
      <c r="D79" s="4">
        <v>12</v>
      </c>
      <c r="E79" s="4">
        <v>3</v>
      </c>
      <c r="F79" s="4">
        <v>203</v>
      </c>
      <c r="G79" s="4">
        <v>152</v>
      </c>
      <c r="H79" s="4">
        <v>25.4</v>
      </c>
      <c r="I79" s="4">
        <v>32.4</v>
      </c>
      <c r="J79" s="4">
        <v>5.98</v>
      </c>
      <c r="K79" s="4">
        <v>7.99</v>
      </c>
      <c r="L79" s="4">
        <v>40</v>
      </c>
      <c r="M79" s="4">
        <v>0.54100000000000004</v>
      </c>
      <c r="N79" s="4">
        <v>131</v>
      </c>
      <c r="O79" s="4">
        <v>16700</v>
      </c>
      <c r="P79" s="4">
        <v>67</v>
      </c>
      <c r="Q79" s="4">
        <v>494</v>
      </c>
      <c r="R79" s="4">
        <v>63.3</v>
      </c>
      <c r="S79" s="4">
        <v>67.400000000000006</v>
      </c>
      <c r="T79" s="4">
        <v>60.6</v>
      </c>
      <c r="U79" s="4">
        <v>63.4</v>
      </c>
      <c r="V79" s="4">
        <v>64.099999999999994</v>
      </c>
      <c r="W79" s="4">
        <v>64.900000000000006</v>
      </c>
      <c r="X79" s="4">
        <v>66.3</v>
      </c>
      <c r="Y79" s="4">
        <v>67.900000000000006</v>
      </c>
      <c r="Z79" s="4">
        <v>54.7</v>
      </c>
      <c r="AA79" s="4">
        <v>3600</v>
      </c>
      <c r="AB79" s="4">
        <v>8.73</v>
      </c>
      <c r="AC79" s="4">
        <v>1.42</v>
      </c>
      <c r="AD79" s="4" t="s">
        <v>667</v>
      </c>
      <c r="AE79" s="4">
        <v>88.3</v>
      </c>
    </row>
    <row r="80" spans="1:31" x14ac:dyDescent="0.25">
      <c r="A80" s="4"/>
      <c r="B80" s="5" t="s">
        <v>668</v>
      </c>
      <c r="C80" s="4" t="s">
        <v>59</v>
      </c>
      <c r="D80" s="4">
        <v>12</v>
      </c>
      <c r="E80" s="4">
        <v>3</v>
      </c>
      <c r="F80" s="4">
        <v>203</v>
      </c>
      <c r="G80" s="4">
        <v>152</v>
      </c>
      <c r="H80" s="4">
        <v>22.2</v>
      </c>
      <c r="I80" s="4">
        <v>32.5</v>
      </c>
      <c r="J80" s="4">
        <v>6.85</v>
      </c>
      <c r="K80" s="4">
        <v>9.14</v>
      </c>
      <c r="L80" s="4">
        <v>36</v>
      </c>
      <c r="M80" s="4">
        <v>0.54500000000000004</v>
      </c>
      <c r="N80" s="4">
        <v>116</v>
      </c>
      <c r="O80" s="4">
        <v>14800</v>
      </c>
      <c r="P80" s="4">
        <v>59.9</v>
      </c>
      <c r="Q80" s="4">
        <v>438</v>
      </c>
      <c r="R80" s="4">
        <v>63.7</v>
      </c>
      <c r="S80" s="4">
        <v>66.2</v>
      </c>
      <c r="T80" s="4">
        <v>60.1</v>
      </c>
      <c r="U80" s="4">
        <v>62.8</v>
      </c>
      <c r="V80" s="4">
        <v>63.6</v>
      </c>
      <c r="W80" s="4">
        <v>64.3</v>
      </c>
      <c r="X80" s="4">
        <v>65.7</v>
      </c>
      <c r="Y80" s="4">
        <v>67.2</v>
      </c>
      <c r="Z80" s="4">
        <v>55.1</v>
      </c>
      <c r="AA80" s="4">
        <v>2430</v>
      </c>
      <c r="AB80" s="4">
        <v>6</v>
      </c>
      <c r="AC80" s="4">
        <v>1.42</v>
      </c>
      <c r="AD80" s="4" t="s">
        <v>669</v>
      </c>
      <c r="AE80" s="4">
        <v>77.900000000000006</v>
      </c>
    </row>
    <row r="81" spans="1:31" x14ac:dyDescent="0.25">
      <c r="A81" s="4"/>
      <c r="B81" s="5" t="s">
        <v>670</v>
      </c>
      <c r="C81" s="4" t="s">
        <v>59</v>
      </c>
      <c r="D81" s="4">
        <v>12</v>
      </c>
      <c r="E81" s="4">
        <v>2</v>
      </c>
      <c r="F81" s="4">
        <v>203</v>
      </c>
      <c r="G81" s="4">
        <v>152</v>
      </c>
      <c r="H81" s="4">
        <v>19.100000000000001</v>
      </c>
      <c r="I81" s="4">
        <v>32.6</v>
      </c>
      <c r="J81" s="4">
        <v>7.96</v>
      </c>
      <c r="K81" s="4">
        <v>10.6</v>
      </c>
      <c r="L81" s="4">
        <v>34</v>
      </c>
      <c r="M81" s="4">
        <v>0.54900000000000004</v>
      </c>
      <c r="N81" s="4">
        <v>101</v>
      </c>
      <c r="O81" s="4">
        <v>12800</v>
      </c>
      <c r="P81" s="4">
        <v>52.7</v>
      </c>
      <c r="Q81" s="4">
        <v>382</v>
      </c>
      <c r="R81" s="4">
        <v>64.099999999999994</v>
      </c>
      <c r="S81" s="4">
        <v>65.099999999999994</v>
      </c>
      <c r="T81" s="4">
        <v>59.6</v>
      </c>
      <c r="U81" s="4">
        <v>62.3</v>
      </c>
      <c r="V81" s="4">
        <v>63</v>
      </c>
      <c r="W81" s="4">
        <v>63.7</v>
      </c>
      <c r="X81" s="4">
        <v>65.2</v>
      </c>
      <c r="Y81" s="4">
        <v>66.7</v>
      </c>
      <c r="Z81" s="4">
        <v>55.6</v>
      </c>
      <c r="AA81" s="4">
        <v>1560</v>
      </c>
      <c r="AB81" s="4">
        <v>3.92</v>
      </c>
      <c r="AC81" s="4">
        <v>1.42</v>
      </c>
      <c r="AD81" s="4" t="s">
        <v>671</v>
      </c>
      <c r="AE81" s="4">
        <v>67.7</v>
      </c>
    </row>
    <row r="82" spans="1:31" x14ac:dyDescent="0.25">
      <c r="A82" s="4"/>
      <c r="B82" s="5" t="s">
        <v>672</v>
      </c>
      <c r="C82" s="4" t="s">
        <v>59</v>
      </c>
      <c r="D82" s="4">
        <v>12</v>
      </c>
      <c r="E82" s="4">
        <v>2</v>
      </c>
      <c r="F82" s="4">
        <v>203</v>
      </c>
      <c r="G82" s="4">
        <v>152</v>
      </c>
      <c r="H82" s="4">
        <v>15.9</v>
      </c>
      <c r="I82" s="4">
        <v>32.799999999999997</v>
      </c>
      <c r="J82" s="4">
        <v>9.56</v>
      </c>
      <c r="K82" s="4">
        <v>12.8</v>
      </c>
      <c r="L82" s="4">
        <v>30</v>
      </c>
      <c r="M82" s="4">
        <v>0.55300000000000005</v>
      </c>
      <c r="N82" s="4">
        <v>84.6</v>
      </c>
      <c r="O82" s="4">
        <v>10800</v>
      </c>
      <c r="P82" s="4">
        <v>44.9</v>
      </c>
      <c r="Q82" s="4">
        <v>323</v>
      </c>
      <c r="R82" s="4">
        <v>64.599999999999994</v>
      </c>
      <c r="S82" s="4">
        <v>64</v>
      </c>
      <c r="T82" s="4">
        <v>59.1</v>
      </c>
      <c r="U82" s="4">
        <v>61.8</v>
      </c>
      <c r="V82" s="4">
        <v>62.5</v>
      </c>
      <c r="W82" s="4">
        <v>63.2</v>
      </c>
      <c r="X82" s="4">
        <v>64.599999999999994</v>
      </c>
      <c r="Y82" s="4">
        <v>66.099999999999994</v>
      </c>
      <c r="Z82" s="4">
        <v>56</v>
      </c>
      <c r="AA82" s="4">
        <v>909</v>
      </c>
      <c r="AB82" s="4">
        <v>2.3199999999999998</v>
      </c>
      <c r="AC82" s="4">
        <v>1.42</v>
      </c>
      <c r="AD82" s="4" t="s">
        <v>673</v>
      </c>
      <c r="AE82" s="4">
        <v>56.9</v>
      </c>
    </row>
    <row r="83" spans="1:31" x14ac:dyDescent="0.25">
      <c r="A83" s="4"/>
      <c r="B83" s="5" t="s">
        <v>674</v>
      </c>
      <c r="C83" s="4" t="s">
        <v>59</v>
      </c>
      <c r="D83" s="4">
        <v>12</v>
      </c>
      <c r="E83" s="4">
        <v>2</v>
      </c>
      <c r="F83" s="4">
        <v>203</v>
      </c>
      <c r="G83" s="4">
        <v>152</v>
      </c>
      <c r="H83" s="4">
        <v>14.3</v>
      </c>
      <c r="I83" s="4">
        <v>32.9</v>
      </c>
      <c r="J83" s="4">
        <v>10.6</v>
      </c>
      <c r="K83" s="4">
        <v>14.2</v>
      </c>
      <c r="L83" s="4">
        <v>28</v>
      </c>
      <c r="M83" s="4">
        <v>0.55400000000000005</v>
      </c>
      <c r="N83" s="4">
        <v>76.5</v>
      </c>
      <c r="O83" s="4">
        <v>9740</v>
      </c>
      <c r="P83" s="4">
        <v>40.9</v>
      </c>
      <c r="Q83" s="4">
        <v>293</v>
      </c>
      <c r="R83" s="4">
        <v>64.8</v>
      </c>
      <c r="S83" s="4">
        <v>63.4</v>
      </c>
      <c r="T83" s="4">
        <v>58.9</v>
      </c>
      <c r="U83" s="4">
        <v>61.6</v>
      </c>
      <c r="V83" s="4">
        <v>62.3</v>
      </c>
      <c r="W83" s="4">
        <v>63</v>
      </c>
      <c r="X83" s="4">
        <v>64.400000000000006</v>
      </c>
      <c r="Y83" s="4">
        <v>65.8</v>
      </c>
      <c r="Z83" s="4">
        <v>56.2</v>
      </c>
      <c r="AA83" s="4">
        <v>664</v>
      </c>
      <c r="AB83" s="4">
        <v>1.71</v>
      </c>
      <c r="AC83" s="4">
        <v>1.42</v>
      </c>
      <c r="AD83" s="4" t="s">
        <v>675</v>
      </c>
      <c r="AE83" s="4">
        <v>51.4</v>
      </c>
    </row>
    <row r="84" spans="1:31" x14ac:dyDescent="0.25">
      <c r="A84" s="4"/>
      <c r="B84" s="5" t="s">
        <v>676</v>
      </c>
      <c r="C84" s="4" t="s">
        <v>59</v>
      </c>
      <c r="D84" s="4">
        <v>12</v>
      </c>
      <c r="E84" s="4">
        <v>1</v>
      </c>
      <c r="F84" s="4">
        <v>203</v>
      </c>
      <c r="G84" s="4">
        <v>152</v>
      </c>
      <c r="H84" s="4">
        <v>12.7</v>
      </c>
      <c r="I84" s="4">
        <v>33</v>
      </c>
      <c r="J84" s="4">
        <v>12</v>
      </c>
      <c r="K84" s="4">
        <v>16</v>
      </c>
      <c r="L84" s="4">
        <v>26</v>
      </c>
      <c r="M84" s="4">
        <v>0.55600000000000005</v>
      </c>
      <c r="N84" s="4">
        <v>68.3</v>
      </c>
      <c r="O84" s="4">
        <v>8690</v>
      </c>
      <c r="P84" s="4">
        <v>36.799999999999997</v>
      </c>
      <c r="Q84" s="4">
        <v>262</v>
      </c>
      <c r="R84" s="4">
        <v>65</v>
      </c>
      <c r="S84" s="4">
        <v>62.8</v>
      </c>
      <c r="T84" s="4">
        <v>58.7</v>
      </c>
      <c r="U84" s="4">
        <v>61.4</v>
      </c>
      <c r="V84" s="4">
        <v>62</v>
      </c>
      <c r="W84" s="4">
        <v>62.7</v>
      </c>
      <c r="X84" s="4">
        <v>64.099999999999994</v>
      </c>
      <c r="Y84" s="4">
        <v>65.5</v>
      </c>
      <c r="Z84" s="4">
        <v>56.4</v>
      </c>
      <c r="AA84" s="4">
        <v>467</v>
      </c>
      <c r="AB84" s="4">
        <v>1.22</v>
      </c>
      <c r="AC84" s="4">
        <v>1.42</v>
      </c>
      <c r="AD84" s="4" t="s">
        <v>677</v>
      </c>
      <c r="AE84" s="4">
        <v>45.9</v>
      </c>
    </row>
    <row r="85" spans="1:31" x14ac:dyDescent="0.25">
      <c r="A85" s="4" t="s">
        <v>59</v>
      </c>
      <c r="B85" s="5" t="s">
        <v>678</v>
      </c>
      <c r="C85" s="4" t="s">
        <v>59</v>
      </c>
      <c r="D85" s="4">
        <v>12</v>
      </c>
      <c r="E85" s="4">
        <v>3</v>
      </c>
      <c r="F85" s="4">
        <v>203</v>
      </c>
      <c r="G85" s="4">
        <v>102</v>
      </c>
      <c r="H85" s="4">
        <v>25.4</v>
      </c>
      <c r="I85" s="4">
        <v>21.6</v>
      </c>
      <c r="J85" s="4">
        <v>4.0199999999999996</v>
      </c>
      <c r="K85" s="4">
        <v>7.99</v>
      </c>
      <c r="L85" s="4">
        <v>40</v>
      </c>
      <c r="M85" s="4">
        <v>0.249</v>
      </c>
      <c r="N85" s="4">
        <v>111</v>
      </c>
      <c r="O85" s="4">
        <v>14200</v>
      </c>
      <c r="P85" s="4">
        <v>57.9</v>
      </c>
      <c r="Q85" s="4">
        <v>460</v>
      </c>
      <c r="R85" s="4">
        <v>63.8</v>
      </c>
      <c r="S85" s="4">
        <v>77.2</v>
      </c>
      <c r="T85" s="4">
        <v>37.4</v>
      </c>
      <c r="U85" s="4">
        <v>40.4</v>
      </c>
      <c r="V85" s="4">
        <v>41.2</v>
      </c>
      <c r="W85" s="4">
        <v>41.9</v>
      </c>
      <c r="X85" s="4">
        <v>43.5</v>
      </c>
      <c r="Y85" s="4">
        <v>45.1</v>
      </c>
      <c r="Z85" s="4">
        <v>64.5</v>
      </c>
      <c r="AA85" s="4">
        <v>3050</v>
      </c>
      <c r="AB85" s="4">
        <v>6.92</v>
      </c>
      <c r="AC85" s="4">
        <v>1.22</v>
      </c>
      <c r="AD85" s="4" t="s">
        <v>679</v>
      </c>
      <c r="AE85" s="4">
        <v>74.900000000000006</v>
      </c>
    </row>
    <row r="86" spans="1:31" x14ac:dyDescent="0.25">
      <c r="A86" s="4"/>
      <c r="B86" s="5" t="s">
        <v>680</v>
      </c>
      <c r="C86" s="4" t="s">
        <v>59</v>
      </c>
      <c r="D86" s="4">
        <v>12</v>
      </c>
      <c r="E86" s="4">
        <v>2</v>
      </c>
      <c r="F86" s="4">
        <v>203</v>
      </c>
      <c r="G86" s="4">
        <v>102</v>
      </c>
      <c r="H86" s="4">
        <v>19.100000000000001</v>
      </c>
      <c r="I86" s="4">
        <v>21.7</v>
      </c>
      <c r="J86" s="4">
        <v>5.34</v>
      </c>
      <c r="K86" s="4">
        <v>10.6</v>
      </c>
      <c r="L86" s="4">
        <v>34</v>
      </c>
      <c r="M86" s="4">
        <v>0.26</v>
      </c>
      <c r="N86" s="4">
        <v>85.7</v>
      </c>
      <c r="O86" s="4">
        <v>10900</v>
      </c>
      <c r="P86" s="4">
        <v>45.7</v>
      </c>
      <c r="Q86" s="4">
        <v>357</v>
      </c>
      <c r="R86" s="4">
        <v>64.7</v>
      </c>
      <c r="S86" s="4">
        <v>74.8</v>
      </c>
      <c r="T86" s="4">
        <v>36.299999999999997</v>
      </c>
      <c r="U86" s="4">
        <v>39.1</v>
      </c>
      <c r="V86" s="4">
        <v>39.799999999999997</v>
      </c>
      <c r="W86" s="4">
        <v>40.5</v>
      </c>
      <c r="X86" s="4">
        <v>42.1</v>
      </c>
      <c r="Y86" s="4">
        <v>43.6</v>
      </c>
      <c r="Z86" s="4">
        <v>65.3</v>
      </c>
      <c r="AA86" s="4">
        <v>1330</v>
      </c>
      <c r="AB86" s="4">
        <v>3.11</v>
      </c>
      <c r="AC86" s="4">
        <v>1.22</v>
      </c>
      <c r="AD86" s="4" t="s">
        <v>681</v>
      </c>
      <c r="AE86" s="4">
        <v>57.6</v>
      </c>
    </row>
    <row r="87" spans="1:31" x14ac:dyDescent="0.25">
      <c r="A87" s="4"/>
      <c r="B87" s="5" t="s">
        <v>682</v>
      </c>
      <c r="C87" s="4" t="s">
        <v>59</v>
      </c>
      <c r="D87" s="4">
        <v>12</v>
      </c>
      <c r="E87" s="4">
        <v>1</v>
      </c>
      <c r="F87" s="4">
        <v>203</v>
      </c>
      <c r="G87" s="4">
        <v>102</v>
      </c>
      <c r="H87" s="4">
        <v>12.7</v>
      </c>
      <c r="I87" s="4">
        <v>22.1</v>
      </c>
      <c r="J87" s="4">
        <v>8.0299999999999994</v>
      </c>
      <c r="K87" s="4">
        <v>16</v>
      </c>
      <c r="L87" s="4">
        <v>26</v>
      </c>
      <c r="M87" s="4">
        <v>0.26900000000000002</v>
      </c>
      <c r="N87" s="4">
        <v>58.3</v>
      </c>
      <c r="O87" s="4">
        <v>7420</v>
      </c>
      <c r="P87" s="4">
        <v>32</v>
      </c>
      <c r="Q87" s="4">
        <v>245</v>
      </c>
      <c r="R87" s="4">
        <v>65.7</v>
      </c>
      <c r="S87" s="4">
        <v>72.400000000000006</v>
      </c>
      <c r="T87" s="4">
        <v>35.299999999999997</v>
      </c>
      <c r="U87" s="4">
        <v>37.9</v>
      </c>
      <c r="V87" s="4">
        <v>38.6</v>
      </c>
      <c r="W87" s="4">
        <v>39.299999999999997</v>
      </c>
      <c r="X87" s="4">
        <v>40.700000000000003</v>
      </c>
      <c r="Y87" s="4">
        <v>42.2</v>
      </c>
      <c r="Z87" s="4">
        <v>66.099999999999994</v>
      </c>
      <c r="AA87" s="4">
        <v>399</v>
      </c>
      <c r="AB87" s="4">
        <v>0.96499999999999997</v>
      </c>
      <c r="AC87" s="4">
        <v>1.22</v>
      </c>
      <c r="AD87" s="4" t="s">
        <v>683</v>
      </c>
      <c r="AE87" s="4">
        <v>39.200000000000003</v>
      </c>
    </row>
    <row r="88" spans="1:31" x14ac:dyDescent="0.25">
      <c r="A88" s="4" t="s">
        <v>59</v>
      </c>
      <c r="B88" s="5" t="s">
        <v>684</v>
      </c>
      <c r="C88" s="4" t="s">
        <v>59</v>
      </c>
      <c r="D88" s="4">
        <v>12</v>
      </c>
      <c r="E88" s="4">
        <v>2</v>
      </c>
      <c r="F88" s="4">
        <v>178</v>
      </c>
      <c r="G88" s="4">
        <v>102</v>
      </c>
      <c r="H88" s="4">
        <v>19.100000000000001</v>
      </c>
      <c r="I88" s="4">
        <v>21.9</v>
      </c>
      <c r="J88" s="4">
        <v>5.34</v>
      </c>
      <c r="K88" s="4">
        <v>9.32</v>
      </c>
      <c r="L88" s="4">
        <v>34</v>
      </c>
      <c r="M88" s="4">
        <v>0.32500000000000001</v>
      </c>
      <c r="N88" s="4">
        <v>78.2</v>
      </c>
      <c r="O88" s="4">
        <v>9970</v>
      </c>
      <c r="P88" s="4">
        <v>31.7</v>
      </c>
      <c r="Q88" s="4">
        <v>277</v>
      </c>
      <c r="R88" s="4">
        <v>56.4</v>
      </c>
      <c r="S88" s="4">
        <v>63.8</v>
      </c>
      <c r="T88" s="4">
        <v>37.799999999999997</v>
      </c>
      <c r="U88" s="4">
        <v>40.6</v>
      </c>
      <c r="V88" s="4">
        <v>41.4</v>
      </c>
      <c r="W88" s="4">
        <v>42.1</v>
      </c>
      <c r="X88" s="4">
        <v>43.7</v>
      </c>
      <c r="Y88" s="4">
        <v>45.2</v>
      </c>
      <c r="Z88" s="4">
        <v>54.2</v>
      </c>
      <c r="AA88" s="4">
        <v>1210</v>
      </c>
      <c r="AB88" s="4">
        <v>2.16</v>
      </c>
      <c r="AC88" s="4">
        <v>1.1200000000000001</v>
      </c>
      <c r="AD88" s="4" t="s">
        <v>685</v>
      </c>
      <c r="AE88" s="4">
        <v>52.6</v>
      </c>
    </row>
    <row r="89" spans="1:31" x14ac:dyDescent="0.25">
      <c r="A89" s="4"/>
      <c r="B89" s="5" t="s">
        <v>686</v>
      </c>
      <c r="C89" s="4" t="s">
        <v>59</v>
      </c>
      <c r="D89" s="4">
        <v>12</v>
      </c>
      <c r="E89" s="4">
        <v>2</v>
      </c>
      <c r="F89" s="4">
        <v>178</v>
      </c>
      <c r="G89" s="4">
        <v>102</v>
      </c>
      <c r="H89" s="4">
        <v>15.9</v>
      </c>
      <c r="I89" s="4">
        <v>22.1</v>
      </c>
      <c r="J89" s="4">
        <v>6.42</v>
      </c>
      <c r="K89" s="4">
        <v>11.2</v>
      </c>
      <c r="L89" s="4">
        <v>30</v>
      </c>
      <c r="M89" s="4">
        <v>0.33100000000000002</v>
      </c>
      <c r="N89" s="4">
        <v>65.900000000000006</v>
      </c>
      <c r="O89" s="4">
        <v>8400</v>
      </c>
      <c r="P89" s="4">
        <v>27.1</v>
      </c>
      <c r="Q89" s="4">
        <v>235</v>
      </c>
      <c r="R89" s="4">
        <v>56.8</v>
      </c>
      <c r="S89" s="4">
        <v>62.6</v>
      </c>
      <c r="T89" s="4">
        <v>37.299999999999997</v>
      </c>
      <c r="U89" s="4">
        <v>40</v>
      </c>
      <c r="V89" s="4">
        <v>40.799999999999997</v>
      </c>
      <c r="W89" s="4">
        <v>41.5</v>
      </c>
      <c r="X89" s="4">
        <v>43</v>
      </c>
      <c r="Y89" s="4">
        <v>44.5</v>
      </c>
      <c r="Z89" s="4">
        <v>54.6</v>
      </c>
      <c r="AA89" s="4">
        <v>708</v>
      </c>
      <c r="AB89" s="4">
        <v>1.28</v>
      </c>
      <c r="AC89" s="4">
        <v>1.1200000000000001</v>
      </c>
      <c r="AD89" s="4" t="s">
        <v>687</v>
      </c>
      <c r="AE89" s="4">
        <v>44.3</v>
      </c>
    </row>
    <row r="90" spans="1:31" x14ac:dyDescent="0.25">
      <c r="A90" s="4"/>
      <c r="B90" s="5" t="s">
        <v>688</v>
      </c>
      <c r="C90" s="4"/>
      <c r="D90" s="4">
        <v>12</v>
      </c>
      <c r="E90" s="4">
        <v>1</v>
      </c>
      <c r="F90" s="4">
        <v>178</v>
      </c>
      <c r="G90" s="4">
        <v>102</v>
      </c>
      <c r="H90" s="4">
        <v>12.7</v>
      </c>
      <c r="I90" s="4">
        <v>22.2</v>
      </c>
      <c r="J90" s="4">
        <v>8.0299999999999994</v>
      </c>
      <c r="K90" s="4">
        <v>14</v>
      </c>
      <c r="L90" s="4">
        <v>26</v>
      </c>
      <c r="M90" s="4">
        <v>0.33600000000000002</v>
      </c>
      <c r="N90" s="4">
        <v>53.3</v>
      </c>
      <c r="O90" s="4">
        <v>6790</v>
      </c>
      <c r="P90" s="4">
        <v>22.3</v>
      </c>
      <c r="Q90" s="4">
        <v>191</v>
      </c>
      <c r="R90" s="4">
        <v>57.3</v>
      </c>
      <c r="S90" s="4">
        <v>61.4</v>
      </c>
      <c r="T90" s="4">
        <v>36.799999999999997</v>
      </c>
      <c r="U90" s="4">
        <v>39.5</v>
      </c>
      <c r="V90" s="4">
        <v>40.200000000000003</v>
      </c>
      <c r="W90" s="4">
        <v>40.9</v>
      </c>
      <c r="X90" s="4">
        <v>42.4</v>
      </c>
      <c r="Y90" s="4">
        <v>43.9</v>
      </c>
      <c r="Z90" s="4">
        <v>55</v>
      </c>
      <c r="AA90" s="4">
        <v>365</v>
      </c>
      <c r="AB90" s="4">
        <v>0.67500000000000004</v>
      </c>
      <c r="AC90" s="4">
        <v>1.1200000000000001</v>
      </c>
      <c r="AD90" s="4" t="s">
        <v>689</v>
      </c>
      <c r="AE90" s="4">
        <v>35.799999999999997</v>
      </c>
    </row>
    <row r="91" spans="1:31" x14ac:dyDescent="0.25">
      <c r="A91" s="4"/>
      <c r="B91" s="5" t="s">
        <v>690</v>
      </c>
      <c r="C91" s="4" t="s">
        <v>59</v>
      </c>
      <c r="D91" s="4">
        <v>12</v>
      </c>
      <c r="E91" s="4">
        <v>1</v>
      </c>
      <c r="F91" s="4">
        <v>178</v>
      </c>
      <c r="G91" s="4">
        <v>102</v>
      </c>
      <c r="H91" s="4">
        <v>11.1</v>
      </c>
      <c r="I91" s="4">
        <v>22.3</v>
      </c>
      <c r="J91" s="4">
        <v>9.19</v>
      </c>
      <c r="K91" s="4">
        <v>16</v>
      </c>
      <c r="L91" s="4">
        <v>26</v>
      </c>
      <c r="M91" s="4">
        <v>0.33900000000000002</v>
      </c>
      <c r="N91" s="4">
        <v>46.9</v>
      </c>
      <c r="O91" s="4">
        <v>5970</v>
      </c>
      <c r="P91" s="4">
        <v>19.8</v>
      </c>
      <c r="Q91" s="4">
        <v>169</v>
      </c>
      <c r="R91" s="4">
        <v>57.5</v>
      </c>
      <c r="S91" s="4">
        <v>60.8</v>
      </c>
      <c r="T91" s="4">
        <v>36.6</v>
      </c>
      <c r="U91" s="4">
        <v>39.200000000000003</v>
      </c>
      <c r="V91" s="4">
        <v>39.9</v>
      </c>
      <c r="W91" s="4">
        <v>40.6</v>
      </c>
      <c r="X91" s="4">
        <v>42.1</v>
      </c>
      <c r="Y91" s="4">
        <v>43.6</v>
      </c>
      <c r="Z91" s="4">
        <v>55.2</v>
      </c>
      <c r="AA91" s="4">
        <v>245</v>
      </c>
      <c r="AB91" s="4">
        <v>0.45800000000000002</v>
      </c>
      <c r="AC91" s="4">
        <v>1.1200000000000001</v>
      </c>
      <c r="AD91" s="4" t="s">
        <v>691</v>
      </c>
      <c r="AE91" s="4">
        <v>31.5</v>
      </c>
    </row>
    <row r="92" spans="1:31" x14ac:dyDescent="0.25">
      <c r="A92" s="4"/>
      <c r="B92" s="5" t="s">
        <v>692</v>
      </c>
      <c r="C92" s="4"/>
      <c r="D92" s="4">
        <v>12</v>
      </c>
      <c r="E92" s="4">
        <v>1</v>
      </c>
      <c r="F92" s="4">
        <v>178</v>
      </c>
      <c r="G92" s="4">
        <v>102</v>
      </c>
      <c r="H92" s="4">
        <v>9.5299999999999994</v>
      </c>
      <c r="I92" s="4">
        <v>22.4</v>
      </c>
      <c r="J92" s="4">
        <v>10.7</v>
      </c>
      <c r="K92" s="4">
        <v>18.7</v>
      </c>
      <c r="L92" s="4">
        <v>24</v>
      </c>
      <c r="M92" s="4">
        <v>0.34100000000000003</v>
      </c>
      <c r="N92" s="4">
        <v>40.5</v>
      </c>
      <c r="O92" s="4">
        <v>5160</v>
      </c>
      <c r="P92" s="4">
        <v>17.2</v>
      </c>
      <c r="Q92" s="4">
        <v>146</v>
      </c>
      <c r="R92" s="4">
        <v>57.8</v>
      </c>
      <c r="S92" s="4">
        <v>60.2</v>
      </c>
      <c r="T92" s="4">
        <v>36.4</v>
      </c>
      <c r="U92" s="4">
        <v>39</v>
      </c>
      <c r="V92" s="4">
        <v>39.700000000000003</v>
      </c>
      <c r="W92" s="4">
        <v>40.4</v>
      </c>
      <c r="X92" s="4">
        <v>41.8</v>
      </c>
      <c r="Y92" s="4">
        <v>43.3</v>
      </c>
      <c r="Z92" s="4">
        <v>55.4</v>
      </c>
      <c r="AA92" s="4">
        <v>156</v>
      </c>
      <c r="AB92" s="4">
        <v>0.29399999999999998</v>
      </c>
      <c r="AC92" s="4">
        <v>1.1200000000000001</v>
      </c>
      <c r="AD92" s="4" t="s">
        <v>693</v>
      </c>
      <c r="AE92" s="4">
        <v>27.2</v>
      </c>
    </row>
    <row r="93" spans="1:31" x14ac:dyDescent="0.25">
      <c r="A93" s="4" t="s">
        <v>59</v>
      </c>
      <c r="B93" s="5" t="s">
        <v>694</v>
      </c>
      <c r="C93" s="4" t="s">
        <v>59</v>
      </c>
      <c r="D93" s="4">
        <v>12</v>
      </c>
      <c r="E93" s="4">
        <v>3</v>
      </c>
      <c r="F93" s="4">
        <v>152</v>
      </c>
      <c r="G93" s="4">
        <v>102</v>
      </c>
      <c r="H93" s="4">
        <v>22.2</v>
      </c>
      <c r="I93" s="4">
        <v>21.9</v>
      </c>
      <c r="J93" s="4">
        <v>4.59</v>
      </c>
      <c r="K93" s="4">
        <v>6.85</v>
      </c>
      <c r="L93" s="4">
        <v>36</v>
      </c>
      <c r="M93" s="4">
        <v>0.42699999999999999</v>
      </c>
      <c r="N93" s="4">
        <v>80.8</v>
      </c>
      <c r="O93" s="4">
        <v>10300</v>
      </c>
      <c r="P93" s="4">
        <v>22.9</v>
      </c>
      <c r="Q93" s="4">
        <v>233</v>
      </c>
      <c r="R93" s="4">
        <v>47.2</v>
      </c>
      <c r="S93" s="4">
        <v>53.7</v>
      </c>
      <c r="T93" s="4">
        <v>40.200000000000003</v>
      </c>
      <c r="U93" s="4">
        <v>43.2</v>
      </c>
      <c r="V93" s="4">
        <v>43.9</v>
      </c>
      <c r="W93" s="4">
        <v>44.7</v>
      </c>
      <c r="X93" s="4">
        <v>46.3</v>
      </c>
      <c r="Y93" s="4">
        <v>47.9</v>
      </c>
      <c r="Z93" s="4">
        <v>42.6</v>
      </c>
      <c r="AA93" s="4">
        <v>1690</v>
      </c>
      <c r="AB93" s="4">
        <v>2.16</v>
      </c>
      <c r="AC93" s="4">
        <v>1.02</v>
      </c>
      <c r="AD93" s="4" t="s">
        <v>695</v>
      </c>
      <c r="AE93" s="4">
        <v>54.3</v>
      </c>
    </row>
    <row r="94" spans="1:31" x14ac:dyDescent="0.25">
      <c r="A94" s="4"/>
      <c r="B94" s="5" t="s">
        <v>696</v>
      </c>
      <c r="C94" s="4"/>
      <c r="D94" s="4">
        <v>12</v>
      </c>
      <c r="E94" s="4">
        <v>2</v>
      </c>
      <c r="F94" s="4">
        <v>152</v>
      </c>
      <c r="G94" s="4">
        <v>102</v>
      </c>
      <c r="H94" s="4">
        <v>19.100000000000001</v>
      </c>
      <c r="I94" s="4">
        <v>21.9</v>
      </c>
      <c r="J94" s="4">
        <v>5.34</v>
      </c>
      <c r="K94" s="4">
        <v>7.96</v>
      </c>
      <c r="L94" s="4">
        <v>34</v>
      </c>
      <c r="M94" s="4">
        <v>0.434</v>
      </c>
      <c r="N94" s="4">
        <v>70.400000000000006</v>
      </c>
      <c r="O94" s="4">
        <v>8970</v>
      </c>
      <c r="P94" s="4">
        <v>20.3</v>
      </c>
      <c r="Q94" s="4">
        <v>204</v>
      </c>
      <c r="R94" s="4">
        <v>47.6</v>
      </c>
      <c r="S94" s="4">
        <v>52.5</v>
      </c>
      <c r="T94" s="4">
        <v>39.700000000000003</v>
      </c>
      <c r="U94" s="4">
        <v>42.6</v>
      </c>
      <c r="V94" s="4">
        <v>43.3</v>
      </c>
      <c r="W94" s="4">
        <v>44.1</v>
      </c>
      <c r="X94" s="4">
        <v>45.6</v>
      </c>
      <c r="Y94" s="4">
        <v>47.2</v>
      </c>
      <c r="Z94" s="4">
        <v>43</v>
      </c>
      <c r="AA94" s="4">
        <v>1090</v>
      </c>
      <c r="AB94" s="4">
        <v>1.42</v>
      </c>
      <c r="AC94" s="4">
        <v>1.02</v>
      </c>
      <c r="AD94" s="4" t="s">
        <v>697</v>
      </c>
      <c r="AE94" s="4">
        <v>47.3</v>
      </c>
    </row>
    <row r="95" spans="1:31" x14ac:dyDescent="0.25">
      <c r="A95" s="4"/>
      <c r="B95" s="5" t="s">
        <v>698</v>
      </c>
      <c r="C95" s="4"/>
      <c r="D95" s="4">
        <v>12</v>
      </c>
      <c r="E95" s="4">
        <v>2</v>
      </c>
      <c r="F95" s="4">
        <v>152</v>
      </c>
      <c r="G95" s="4">
        <v>102</v>
      </c>
      <c r="H95" s="4">
        <v>15.9</v>
      </c>
      <c r="I95" s="4">
        <v>22</v>
      </c>
      <c r="J95" s="4">
        <v>6.42</v>
      </c>
      <c r="K95" s="4">
        <v>9.56</v>
      </c>
      <c r="L95" s="4">
        <v>30</v>
      </c>
      <c r="M95" s="4">
        <v>0.44</v>
      </c>
      <c r="N95" s="4">
        <v>59.4</v>
      </c>
      <c r="O95" s="4">
        <v>7570</v>
      </c>
      <c r="P95" s="4">
        <v>17.5</v>
      </c>
      <c r="Q95" s="4">
        <v>174</v>
      </c>
      <c r="R95" s="4">
        <v>48</v>
      </c>
      <c r="S95" s="4">
        <v>51.4</v>
      </c>
      <c r="T95" s="4">
        <v>39.200000000000003</v>
      </c>
      <c r="U95" s="4">
        <v>42</v>
      </c>
      <c r="V95" s="4">
        <v>42.7</v>
      </c>
      <c r="W95" s="4">
        <v>43.4</v>
      </c>
      <c r="X95" s="4">
        <v>44.9</v>
      </c>
      <c r="Y95" s="4">
        <v>46.5</v>
      </c>
      <c r="Z95" s="4">
        <v>43.4</v>
      </c>
      <c r="AA95" s="4">
        <v>638</v>
      </c>
      <c r="AB95" s="4">
        <v>0.85299999999999998</v>
      </c>
      <c r="AC95" s="4">
        <v>1.02</v>
      </c>
      <c r="AD95" s="4" t="s">
        <v>699</v>
      </c>
      <c r="AE95" s="4">
        <v>39.9</v>
      </c>
    </row>
    <row r="96" spans="1:31" x14ac:dyDescent="0.25">
      <c r="A96" s="4"/>
      <c r="B96" s="5" t="s">
        <v>700</v>
      </c>
      <c r="C96" s="4" t="s">
        <v>59</v>
      </c>
      <c r="D96" s="4">
        <v>12</v>
      </c>
      <c r="E96" s="4">
        <v>2</v>
      </c>
      <c r="F96" s="4">
        <v>152</v>
      </c>
      <c r="G96" s="4">
        <v>102</v>
      </c>
      <c r="H96" s="4">
        <v>14.3</v>
      </c>
      <c r="I96" s="4">
        <v>22.1</v>
      </c>
      <c r="J96" s="4">
        <v>7.13</v>
      </c>
      <c r="K96" s="4">
        <v>10.6</v>
      </c>
      <c r="L96" s="4">
        <v>28</v>
      </c>
      <c r="M96" s="4">
        <v>0.443</v>
      </c>
      <c r="N96" s="4">
        <v>53.8</v>
      </c>
      <c r="O96" s="4">
        <v>6860</v>
      </c>
      <c r="P96" s="4">
        <v>16</v>
      </c>
      <c r="Q96" s="4">
        <v>158</v>
      </c>
      <c r="R96" s="4">
        <v>48.2</v>
      </c>
      <c r="S96" s="4">
        <v>50.8</v>
      </c>
      <c r="T96" s="4">
        <v>38.9</v>
      </c>
      <c r="U96" s="4">
        <v>41.7</v>
      </c>
      <c r="V96" s="4">
        <v>42.4</v>
      </c>
      <c r="W96" s="4">
        <v>43.1</v>
      </c>
      <c r="X96" s="4">
        <v>44.6</v>
      </c>
      <c r="Y96" s="4">
        <v>46.2</v>
      </c>
      <c r="Z96" s="4">
        <v>43.7</v>
      </c>
      <c r="AA96" s="4">
        <v>467</v>
      </c>
      <c r="AB96" s="4">
        <v>0.63200000000000001</v>
      </c>
      <c r="AC96" s="4">
        <v>1.02</v>
      </c>
      <c r="AD96" s="4" t="s">
        <v>701</v>
      </c>
      <c r="AE96" s="4">
        <v>36.200000000000003</v>
      </c>
    </row>
    <row r="97" spans="1:31" x14ac:dyDescent="0.25">
      <c r="A97" s="4"/>
      <c r="B97" s="5" t="s">
        <v>702</v>
      </c>
      <c r="C97" s="4"/>
      <c r="D97" s="4">
        <v>12</v>
      </c>
      <c r="E97" s="4">
        <v>1</v>
      </c>
      <c r="F97" s="4">
        <v>152</v>
      </c>
      <c r="G97" s="4">
        <v>102</v>
      </c>
      <c r="H97" s="4">
        <v>12.7</v>
      </c>
      <c r="I97" s="4">
        <v>22.2</v>
      </c>
      <c r="J97" s="4">
        <v>8.0299999999999994</v>
      </c>
      <c r="K97" s="4">
        <v>12</v>
      </c>
      <c r="L97" s="4">
        <v>26</v>
      </c>
      <c r="M97" s="4">
        <v>0.44600000000000001</v>
      </c>
      <c r="N97" s="4">
        <v>48.1</v>
      </c>
      <c r="O97" s="4">
        <v>6130</v>
      </c>
      <c r="P97" s="4">
        <v>14.4</v>
      </c>
      <c r="Q97" s="4">
        <v>141</v>
      </c>
      <c r="R97" s="4">
        <v>48.5</v>
      </c>
      <c r="S97" s="4">
        <v>50.2</v>
      </c>
      <c r="T97" s="4">
        <v>38.700000000000003</v>
      </c>
      <c r="U97" s="4">
        <v>41.4</v>
      </c>
      <c r="V97" s="4">
        <v>42.1</v>
      </c>
      <c r="W97" s="4">
        <v>42.8</v>
      </c>
      <c r="X97" s="4">
        <v>44.3</v>
      </c>
      <c r="Y97" s="4">
        <v>45.8</v>
      </c>
      <c r="Z97" s="4">
        <v>43.9</v>
      </c>
      <c r="AA97" s="4">
        <v>330</v>
      </c>
      <c r="AB97" s="4">
        <v>0.45100000000000001</v>
      </c>
      <c r="AC97" s="4">
        <v>1.02</v>
      </c>
      <c r="AD97" s="4" t="s">
        <v>703</v>
      </c>
      <c r="AE97" s="4">
        <v>32.299999999999997</v>
      </c>
    </row>
    <row r="98" spans="1:31" x14ac:dyDescent="0.25">
      <c r="A98" s="4"/>
      <c r="B98" s="5" t="s">
        <v>704</v>
      </c>
      <c r="C98" s="4" t="s">
        <v>59</v>
      </c>
      <c r="D98" s="4">
        <v>12</v>
      </c>
      <c r="E98" s="4">
        <v>1</v>
      </c>
      <c r="F98" s="4">
        <v>152</v>
      </c>
      <c r="G98" s="4">
        <v>102</v>
      </c>
      <c r="H98" s="4">
        <v>11.1</v>
      </c>
      <c r="I98" s="4">
        <v>22.3</v>
      </c>
      <c r="J98" s="4">
        <v>9.19</v>
      </c>
      <c r="K98" s="4">
        <v>13.7</v>
      </c>
      <c r="L98" s="4">
        <v>26</v>
      </c>
      <c r="M98" s="4">
        <v>0.44900000000000001</v>
      </c>
      <c r="N98" s="4">
        <v>42.3</v>
      </c>
      <c r="O98" s="4">
        <v>5390</v>
      </c>
      <c r="P98" s="4">
        <v>12.8</v>
      </c>
      <c r="Q98" s="4">
        <v>125</v>
      </c>
      <c r="R98" s="4">
        <v>48.7</v>
      </c>
      <c r="S98" s="4">
        <v>49.6</v>
      </c>
      <c r="T98" s="4">
        <v>38.5</v>
      </c>
      <c r="U98" s="4">
        <v>41.1</v>
      </c>
      <c r="V98" s="4">
        <v>41.9</v>
      </c>
      <c r="W98" s="4">
        <v>42.6</v>
      </c>
      <c r="X98" s="4">
        <v>44</v>
      </c>
      <c r="Y98" s="4">
        <v>45.5</v>
      </c>
      <c r="Z98" s="4">
        <v>44.1</v>
      </c>
      <c r="AA98" s="4">
        <v>221</v>
      </c>
      <c r="AB98" s="4">
        <v>0.307</v>
      </c>
      <c r="AC98" s="4">
        <v>1.02</v>
      </c>
      <c r="AD98" s="4" t="s">
        <v>705</v>
      </c>
      <c r="AE98" s="4">
        <v>28.4</v>
      </c>
    </row>
    <row r="99" spans="1:31" x14ac:dyDescent="0.25">
      <c r="A99" s="4"/>
      <c r="B99" s="5" t="s">
        <v>706</v>
      </c>
      <c r="C99" s="4"/>
      <c r="D99" s="4">
        <v>12</v>
      </c>
      <c r="E99" s="4">
        <v>1</v>
      </c>
      <c r="F99" s="4">
        <v>152</v>
      </c>
      <c r="G99" s="4">
        <v>102</v>
      </c>
      <c r="H99" s="4">
        <v>9.5299999999999994</v>
      </c>
      <c r="I99" s="4">
        <v>22.4</v>
      </c>
      <c r="J99" s="4">
        <v>10.7</v>
      </c>
      <c r="K99" s="4">
        <v>15.9</v>
      </c>
      <c r="L99" s="4">
        <v>24</v>
      </c>
      <c r="M99" s="4">
        <v>0.45100000000000001</v>
      </c>
      <c r="N99" s="4">
        <v>36.6</v>
      </c>
      <c r="O99" s="4">
        <v>4660</v>
      </c>
      <c r="P99" s="4">
        <v>11.2</v>
      </c>
      <c r="Q99" s="4">
        <v>108</v>
      </c>
      <c r="R99" s="4">
        <v>48.9</v>
      </c>
      <c r="S99" s="4">
        <v>49.1</v>
      </c>
      <c r="T99" s="4">
        <v>38.299999999999997</v>
      </c>
      <c r="U99" s="4">
        <v>40.9</v>
      </c>
      <c r="V99" s="4">
        <v>41.6</v>
      </c>
      <c r="W99" s="4">
        <v>42.3</v>
      </c>
      <c r="X99" s="4">
        <v>43.7</v>
      </c>
      <c r="Y99" s="4">
        <v>45.2</v>
      </c>
      <c r="Z99" s="4">
        <v>44.3</v>
      </c>
      <c r="AA99" s="4">
        <v>141</v>
      </c>
      <c r="AB99" s="4">
        <v>0.19800000000000001</v>
      </c>
      <c r="AC99" s="4">
        <v>1.02</v>
      </c>
      <c r="AD99" s="4" t="s">
        <v>707</v>
      </c>
      <c r="AE99" s="4">
        <v>24.6</v>
      </c>
    </row>
    <row r="100" spans="1:31" x14ac:dyDescent="0.25">
      <c r="A100" s="4"/>
      <c r="B100" s="5" t="s">
        <v>708</v>
      </c>
      <c r="C100" s="4"/>
      <c r="D100" s="4">
        <v>12</v>
      </c>
      <c r="E100" s="4">
        <v>1</v>
      </c>
      <c r="F100" s="4">
        <v>152</v>
      </c>
      <c r="G100" s="4">
        <v>102</v>
      </c>
      <c r="H100" s="4">
        <v>7.94</v>
      </c>
      <c r="I100" s="4">
        <v>22.5</v>
      </c>
      <c r="J100" s="4">
        <v>12.8</v>
      </c>
      <c r="K100" s="4">
        <v>19.100000000000001</v>
      </c>
      <c r="L100" s="4">
        <v>22</v>
      </c>
      <c r="M100" s="4">
        <v>0.45400000000000001</v>
      </c>
      <c r="N100" s="4">
        <v>30.7</v>
      </c>
      <c r="O100" s="4">
        <v>3910</v>
      </c>
      <c r="P100" s="4">
        <v>9.44</v>
      </c>
      <c r="Q100" s="4">
        <v>91.2</v>
      </c>
      <c r="R100" s="4">
        <v>49.2</v>
      </c>
      <c r="S100" s="4">
        <v>48.5</v>
      </c>
      <c r="T100" s="4">
        <v>38.1</v>
      </c>
      <c r="U100" s="4">
        <v>40.700000000000003</v>
      </c>
      <c r="V100" s="4">
        <v>41.3</v>
      </c>
      <c r="W100" s="4">
        <v>42</v>
      </c>
      <c r="X100" s="4">
        <v>43.5</v>
      </c>
      <c r="Y100" s="4">
        <v>44.9</v>
      </c>
      <c r="Z100" s="4">
        <v>44.5</v>
      </c>
      <c r="AA100" s="4">
        <v>82.1</v>
      </c>
      <c r="AB100" s="4">
        <v>0.11600000000000001</v>
      </c>
      <c r="AC100" s="4">
        <v>1.02</v>
      </c>
      <c r="AD100" s="4" t="s">
        <v>709</v>
      </c>
      <c r="AE100" s="4">
        <v>20.6</v>
      </c>
    </row>
    <row r="101" spans="1:31" x14ac:dyDescent="0.25">
      <c r="A101" s="4" t="s">
        <v>59</v>
      </c>
      <c r="B101" s="5" t="s">
        <v>710</v>
      </c>
      <c r="C101" s="4"/>
      <c r="D101" s="4">
        <v>12</v>
      </c>
      <c r="E101" s="4">
        <v>2</v>
      </c>
      <c r="F101" s="4">
        <v>152</v>
      </c>
      <c r="G101" s="4">
        <v>88.9</v>
      </c>
      <c r="H101" s="4">
        <v>15.9</v>
      </c>
      <c r="I101" s="4">
        <v>19.100000000000001</v>
      </c>
      <c r="J101" s="4">
        <v>5.59</v>
      </c>
      <c r="K101" s="4">
        <v>9.56</v>
      </c>
      <c r="L101" s="4">
        <v>30</v>
      </c>
      <c r="M101" s="4">
        <v>0.33900000000000002</v>
      </c>
      <c r="N101" s="4">
        <v>56.2</v>
      </c>
      <c r="O101" s="4">
        <v>7160</v>
      </c>
      <c r="P101" s="4">
        <v>16.600000000000001</v>
      </c>
      <c r="Q101" s="4">
        <v>169</v>
      </c>
      <c r="R101" s="4">
        <v>48.2</v>
      </c>
      <c r="S101" s="4">
        <v>53.9</v>
      </c>
      <c r="T101" s="4">
        <v>33</v>
      </c>
      <c r="U101" s="4">
        <v>35.9</v>
      </c>
      <c r="V101" s="4">
        <v>36.6</v>
      </c>
      <c r="W101" s="4">
        <v>37.4</v>
      </c>
      <c r="X101" s="4">
        <v>38.9</v>
      </c>
      <c r="Y101" s="4">
        <v>40.5</v>
      </c>
      <c r="Z101" s="4">
        <v>46</v>
      </c>
      <c r="AA101" s="4">
        <v>603</v>
      </c>
      <c r="AB101" s="4">
        <v>0.78600000000000003</v>
      </c>
      <c r="AC101" s="4">
        <v>0.96399999999999997</v>
      </c>
      <c r="AD101" s="4" t="s">
        <v>711</v>
      </c>
      <c r="AE101" s="4">
        <v>37.700000000000003</v>
      </c>
    </row>
    <row r="102" spans="1:31" x14ac:dyDescent="0.25">
      <c r="A102" s="4"/>
      <c r="B102" s="5" t="s">
        <v>712</v>
      </c>
      <c r="C102" s="4"/>
      <c r="D102" s="4">
        <v>12</v>
      </c>
      <c r="E102" s="4">
        <v>1</v>
      </c>
      <c r="F102" s="4">
        <v>152</v>
      </c>
      <c r="G102" s="4">
        <v>88.9</v>
      </c>
      <c r="H102" s="4">
        <v>12.7</v>
      </c>
      <c r="I102" s="4">
        <v>19.3</v>
      </c>
      <c r="J102" s="4">
        <v>7</v>
      </c>
      <c r="K102" s="4">
        <v>12</v>
      </c>
      <c r="L102" s="4">
        <v>26</v>
      </c>
      <c r="M102" s="4">
        <v>0.34499999999999997</v>
      </c>
      <c r="N102" s="4">
        <v>45.5</v>
      </c>
      <c r="O102" s="4">
        <v>5800</v>
      </c>
      <c r="P102" s="4">
        <v>13.7</v>
      </c>
      <c r="Q102" s="4">
        <v>138</v>
      </c>
      <c r="R102" s="4">
        <v>48.6</v>
      </c>
      <c r="S102" s="4">
        <v>52.7</v>
      </c>
      <c r="T102" s="4">
        <v>32.5</v>
      </c>
      <c r="U102" s="4">
        <v>35.299999999999997</v>
      </c>
      <c r="V102" s="4">
        <v>36</v>
      </c>
      <c r="W102" s="4">
        <v>36.700000000000003</v>
      </c>
      <c r="X102" s="4">
        <v>38.200000000000003</v>
      </c>
      <c r="Y102" s="4">
        <v>39.799999999999997</v>
      </c>
      <c r="Z102" s="4">
        <v>46.4</v>
      </c>
      <c r="AA102" s="4">
        <v>312</v>
      </c>
      <c r="AB102" s="4">
        <v>0.41599999999999998</v>
      </c>
      <c r="AC102" s="4">
        <v>0.96399999999999997</v>
      </c>
      <c r="AD102" s="4" t="s">
        <v>713</v>
      </c>
      <c r="AE102" s="4">
        <v>30.6</v>
      </c>
    </row>
    <row r="103" spans="1:31" x14ac:dyDescent="0.25">
      <c r="A103" s="4"/>
      <c r="B103" s="5" t="s">
        <v>714</v>
      </c>
      <c r="C103" s="4"/>
      <c r="D103" s="4">
        <v>12</v>
      </c>
      <c r="E103" s="4">
        <v>1</v>
      </c>
      <c r="F103" s="4">
        <v>152</v>
      </c>
      <c r="G103" s="4">
        <v>88.9</v>
      </c>
      <c r="H103" s="4">
        <v>9.5299999999999994</v>
      </c>
      <c r="I103" s="4">
        <v>19.5</v>
      </c>
      <c r="J103" s="4">
        <v>9.33</v>
      </c>
      <c r="K103" s="4">
        <v>15.9</v>
      </c>
      <c r="L103" s="4">
        <v>24</v>
      </c>
      <c r="M103" s="4">
        <v>0.35099999999999998</v>
      </c>
      <c r="N103" s="4">
        <v>34.6</v>
      </c>
      <c r="O103" s="4">
        <v>4410</v>
      </c>
      <c r="P103" s="4">
        <v>10.6</v>
      </c>
      <c r="Q103" s="4">
        <v>106</v>
      </c>
      <c r="R103" s="4">
        <v>49.1</v>
      </c>
      <c r="S103" s="4">
        <v>51.6</v>
      </c>
      <c r="T103" s="4">
        <v>32.1</v>
      </c>
      <c r="U103" s="4">
        <v>34.700000000000003</v>
      </c>
      <c r="V103" s="4">
        <v>35.4</v>
      </c>
      <c r="W103" s="4">
        <v>36.200000000000003</v>
      </c>
      <c r="X103" s="4">
        <v>37.6</v>
      </c>
      <c r="Y103" s="4">
        <v>39.1</v>
      </c>
      <c r="Z103" s="4">
        <v>46.8</v>
      </c>
      <c r="AA103" s="4">
        <v>134</v>
      </c>
      <c r="AB103" s="4">
        <v>0.182</v>
      </c>
      <c r="AC103" s="4">
        <v>0.96399999999999997</v>
      </c>
      <c r="AD103" s="4" t="s">
        <v>715</v>
      </c>
      <c r="AE103" s="4">
        <v>23.3</v>
      </c>
    </row>
    <row r="104" spans="1:31" x14ac:dyDescent="0.25">
      <c r="A104" s="4"/>
      <c r="B104" s="5" t="s">
        <v>716</v>
      </c>
      <c r="C104" s="4"/>
      <c r="D104" s="4">
        <v>12</v>
      </c>
      <c r="E104" s="4">
        <v>1</v>
      </c>
      <c r="F104" s="4">
        <v>152</v>
      </c>
      <c r="G104" s="4">
        <v>88.9</v>
      </c>
      <c r="H104" s="4">
        <v>7.94</v>
      </c>
      <c r="I104" s="4">
        <v>19.600000000000001</v>
      </c>
      <c r="J104" s="4">
        <v>11.2</v>
      </c>
      <c r="K104" s="4">
        <v>19.100000000000001</v>
      </c>
      <c r="L104" s="4">
        <v>22</v>
      </c>
      <c r="M104" s="4">
        <v>0.35399999999999998</v>
      </c>
      <c r="N104" s="4">
        <v>29</v>
      </c>
      <c r="O104" s="4">
        <v>3700</v>
      </c>
      <c r="P104" s="4">
        <v>9.01</v>
      </c>
      <c r="Q104" s="4">
        <v>89.1</v>
      </c>
      <c r="R104" s="4">
        <v>49.3</v>
      </c>
      <c r="S104" s="4">
        <v>51</v>
      </c>
      <c r="T104" s="4">
        <v>31.9</v>
      </c>
      <c r="U104" s="4">
        <v>34.5</v>
      </c>
      <c r="V104" s="4">
        <v>35.200000000000003</v>
      </c>
      <c r="W104" s="4">
        <v>35.9</v>
      </c>
      <c r="X104" s="4">
        <v>37.299999999999997</v>
      </c>
      <c r="Y104" s="4">
        <v>38.799999999999997</v>
      </c>
      <c r="Z104" s="4">
        <v>47</v>
      </c>
      <c r="AA104" s="4">
        <v>77.7</v>
      </c>
      <c r="AB104" s="4">
        <v>0.107</v>
      </c>
      <c r="AC104" s="4">
        <v>0.96399999999999997</v>
      </c>
      <c r="AD104" s="4" t="s">
        <v>717</v>
      </c>
      <c r="AE104" s="4">
        <v>19.5</v>
      </c>
    </row>
    <row r="105" spans="1:31" x14ac:dyDescent="0.25">
      <c r="A105" s="4" t="s">
        <v>59</v>
      </c>
      <c r="B105" s="5" t="s">
        <v>718</v>
      </c>
      <c r="C105" s="4" t="s">
        <v>59</v>
      </c>
      <c r="D105" s="4">
        <v>12</v>
      </c>
      <c r="E105" s="4">
        <v>2</v>
      </c>
      <c r="F105" s="4">
        <v>127</v>
      </c>
      <c r="G105" s="4">
        <v>88.9</v>
      </c>
      <c r="H105" s="4">
        <v>19.100000000000001</v>
      </c>
      <c r="I105" s="4">
        <v>19</v>
      </c>
      <c r="J105" s="4">
        <v>4.6500000000000004</v>
      </c>
      <c r="K105" s="4">
        <v>6.65</v>
      </c>
      <c r="L105" s="4">
        <v>32</v>
      </c>
      <c r="M105" s="4">
        <v>0.46400000000000002</v>
      </c>
      <c r="N105" s="4">
        <v>59</v>
      </c>
      <c r="O105" s="4">
        <v>7520</v>
      </c>
      <c r="P105" s="4">
        <v>11.6</v>
      </c>
      <c r="Q105" s="4">
        <v>140</v>
      </c>
      <c r="R105" s="4">
        <v>39.299999999999997</v>
      </c>
      <c r="S105" s="4">
        <v>44.4</v>
      </c>
      <c r="T105" s="4">
        <v>35.5</v>
      </c>
      <c r="U105" s="4">
        <v>38.4</v>
      </c>
      <c r="V105" s="4">
        <v>39.200000000000003</v>
      </c>
      <c r="W105" s="4">
        <v>40</v>
      </c>
      <c r="X105" s="4">
        <v>41.5</v>
      </c>
      <c r="Y105" s="4">
        <v>43.2</v>
      </c>
      <c r="Z105" s="4">
        <v>34.799999999999997</v>
      </c>
      <c r="AA105" s="4">
        <v>914</v>
      </c>
      <c r="AB105" s="4">
        <v>0.82099999999999995</v>
      </c>
      <c r="AC105" s="4">
        <v>0.86399999999999999</v>
      </c>
      <c r="AD105" s="4" t="s">
        <v>719</v>
      </c>
      <c r="AE105" s="4">
        <v>39.700000000000003</v>
      </c>
    </row>
    <row r="106" spans="1:31" x14ac:dyDescent="0.25">
      <c r="A106" s="4"/>
      <c r="B106" s="5" t="s">
        <v>720</v>
      </c>
      <c r="C106" s="4" t="s">
        <v>59</v>
      </c>
      <c r="D106" s="4">
        <v>12</v>
      </c>
      <c r="E106" s="4">
        <v>2</v>
      </c>
      <c r="F106" s="4">
        <v>127</v>
      </c>
      <c r="G106" s="4">
        <v>88.9</v>
      </c>
      <c r="H106" s="4">
        <v>15.9</v>
      </c>
      <c r="I106" s="4">
        <v>19.100000000000001</v>
      </c>
      <c r="J106" s="4">
        <v>5.59</v>
      </c>
      <c r="K106" s="4">
        <v>7.99</v>
      </c>
      <c r="L106" s="4">
        <v>28</v>
      </c>
      <c r="M106" s="4">
        <v>0.47199999999999998</v>
      </c>
      <c r="N106" s="4">
        <v>49.9</v>
      </c>
      <c r="O106" s="4">
        <v>6360</v>
      </c>
      <c r="P106" s="4">
        <v>10</v>
      </c>
      <c r="Q106" s="4">
        <v>120</v>
      </c>
      <c r="R106" s="4">
        <v>39.700000000000003</v>
      </c>
      <c r="S106" s="4">
        <v>43.2</v>
      </c>
      <c r="T106" s="4">
        <v>34.9</v>
      </c>
      <c r="U106" s="4">
        <v>37.799999999999997</v>
      </c>
      <c r="V106" s="4">
        <v>38.5</v>
      </c>
      <c r="W106" s="4">
        <v>39.299999999999997</v>
      </c>
      <c r="X106" s="4">
        <v>40.799999999999997</v>
      </c>
      <c r="Y106" s="4">
        <v>42.4</v>
      </c>
      <c r="Z106" s="4">
        <v>35.299999999999997</v>
      </c>
      <c r="AA106" s="4">
        <v>536</v>
      </c>
      <c r="AB106" s="4">
        <v>0.495</v>
      </c>
      <c r="AC106" s="4">
        <v>0.86399999999999999</v>
      </c>
      <c r="AD106" s="4" t="s">
        <v>721</v>
      </c>
      <c r="AE106" s="4">
        <v>33.6</v>
      </c>
    </row>
    <row r="107" spans="1:31" x14ac:dyDescent="0.25">
      <c r="A107" s="4"/>
      <c r="B107" s="5" t="s">
        <v>722</v>
      </c>
      <c r="C107" s="4"/>
      <c r="D107" s="4">
        <v>12</v>
      </c>
      <c r="E107" s="4">
        <v>1</v>
      </c>
      <c r="F107" s="4">
        <v>127</v>
      </c>
      <c r="G107" s="4">
        <v>88.9</v>
      </c>
      <c r="H107" s="4">
        <v>12.7</v>
      </c>
      <c r="I107" s="4">
        <v>19.2</v>
      </c>
      <c r="J107" s="4">
        <v>7</v>
      </c>
      <c r="K107" s="4">
        <v>10</v>
      </c>
      <c r="L107" s="4">
        <v>24</v>
      </c>
      <c r="M107" s="4">
        <v>0.47899999999999998</v>
      </c>
      <c r="N107" s="4">
        <v>40.5</v>
      </c>
      <c r="O107" s="4">
        <v>5160</v>
      </c>
      <c r="P107" s="4">
        <v>8.31</v>
      </c>
      <c r="Q107" s="4">
        <v>97.9</v>
      </c>
      <c r="R107" s="4">
        <v>40.1</v>
      </c>
      <c r="S107" s="4">
        <v>42.1</v>
      </c>
      <c r="T107" s="4">
        <v>34.4</v>
      </c>
      <c r="U107" s="4">
        <v>37.200000000000003</v>
      </c>
      <c r="V107" s="4">
        <v>37.9</v>
      </c>
      <c r="W107" s="4">
        <v>38.700000000000003</v>
      </c>
      <c r="X107" s="4">
        <v>40.200000000000003</v>
      </c>
      <c r="Y107" s="4">
        <v>41.8</v>
      </c>
      <c r="Z107" s="4">
        <v>35.700000000000003</v>
      </c>
      <c r="AA107" s="4">
        <v>277</v>
      </c>
      <c r="AB107" s="4">
        <v>0.26400000000000001</v>
      </c>
      <c r="AC107" s="4">
        <v>0.86399999999999999</v>
      </c>
      <c r="AD107" s="4" t="s">
        <v>723</v>
      </c>
      <c r="AE107" s="4">
        <v>27.2</v>
      </c>
    </row>
    <row r="108" spans="1:31" x14ac:dyDescent="0.25">
      <c r="A108" s="4"/>
      <c r="B108" s="5" t="s">
        <v>724</v>
      </c>
      <c r="C108" s="4"/>
      <c r="D108" s="4">
        <v>12</v>
      </c>
      <c r="E108" s="4">
        <v>1</v>
      </c>
      <c r="F108" s="4">
        <v>127</v>
      </c>
      <c r="G108" s="4">
        <v>88.9</v>
      </c>
      <c r="H108" s="4">
        <v>9.5299999999999994</v>
      </c>
      <c r="I108" s="4">
        <v>19.3</v>
      </c>
      <c r="J108" s="4">
        <v>9.33</v>
      </c>
      <c r="K108" s="4">
        <v>13.3</v>
      </c>
      <c r="L108" s="4">
        <v>22</v>
      </c>
      <c r="M108" s="4">
        <v>0.48599999999999999</v>
      </c>
      <c r="N108" s="4">
        <v>30.9</v>
      </c>
      <c r="O108" s="4">
        <v>3930</v>
      </c>
      <c r="P108" s="4">
        <v>6.48</v>
      </c>
      <c r="Q108" s="4">
        <v>75.2</v>
      </c>
      <c r="R108" s="4">
        <v>40.6</v>
      </c>
      <c r="S108" s="4">
        <v>40.9</v>
      </c>
      <c r="T108" s="4">
        <v>33.9</v>
      </c>
      <c r="U108" s="4">
        <v>36.6</v>
      </c>
      <c r="V108" s="4">
        <v>37.4</v>
      </c>
      <c r="W108" s="4">
        <v>38.1</v>
      </c>
      <c r="X108" s="4">
        <v>39.6</v>
      </c>
      <c r="Y108" s="4">
        <v>41.1</v>
      </c>
      <c r="Z108" s="4">
        <v>36.1</v>
      </c>
      <c r="AA108" s="4">
        <v>119</v>
      </c>
      <c r="AB108" s="4">
        <v>0.11600000000000001</v>
      </c>
      <c r="AC108" s="4">
        <v>0.86399999999999999</v>
      </c>
      <c r="AD108" s="4" t="s">
        <v>725</v>
      </c>
      <c r="AE108" s="4">
        <v>20.7</v>
      </c>
    </row>
    <row r="109" spans="1:31" x14ac:dyDescent="0.25">
      <c r="A109" s="4"/>
      <c r="B109" s="5" t="s">
        <v>726</v>
      </c>
      <c r="C109" s="4"/>
      <c r="D109" s="4">
        <v>12</v>
      </c>
      <c r="E109" s="4">
        <v>1</v>
      </c>
      <c r="F109" s="4">
        <v>127</v>
      </c>
      <c r="G109" s="4">
        <v>88.9</v>
      </c>
      <c r="H109" s="4">
        <v>7.94</v>
      </c>
      <c r="I109" s="4">
        <v>19.399999999999999</v>
      </c>
      <c r="J109" s="4">
        <v>11.2</v>
      </c>
      <c r="K109" s="4">
        <v>16</v>
      </c>
      <c r="L109" s="4">
        <v>20</v>
      </c>
      <c r="M109" s="4">
        <v>0.48899999999999999</v>
      </c>
      <c r="N109" s="4">
        <v>25.9</v>
      </c>
      <c r="O109" s="4">
        <v>3300</v>
      </c>
      <c r="P109" s="4">
        <v>5.5</v>
      </c>
      <c r="Q109" s="4">
        <v>63.5</v>
      </c>
      <c r="R109" s="4">
        <v>40.799999999999997</v>
      </c>
      <c r="S109" s="4">
        <v>40.299999999999997</v>
      </c>
      <c r="T109" s="4">
        <v>33.700000000000003</v>
      </c>
      <c r="U109" s="4">
        <v>36.4</v>
      </c>
      <c r="V109" s="4">
        <v>37.1</v>
      </c>
      <c r="W109" s="4">
        <v>37.799999999999997</v>
      </c>
      <c r="X109" s="4">
        <v>39.299999999999997</v>
      </c>
      <c r="Y109" s="4">
        <v>40.799999999999997</v>
      </c>
      <c r="Z109" s="4">
        <v>36.4</v>
      </c>
      <c r="AA109" s="4">
        <v>69.400000000000006</v>
      </c>
      <c r="AB109" s="4">
        <v>6.88E-2</v>
      </c>
      <c r="AC109" s="4">
        <v>0.86399999999999999</v>
      </c>
      <c r="AD109" s="4" t="s">
        <v>727</v>
      </c>
      <c r="AE109" s="4">
        <v>17.399999999999999</v>
      </c>
    </row>
    <row r="110" spans="1:31" x14ac:dyDescent="0.25">
      <c r="A110" s="4"/>
      <c r="B110" s="5" t="s">
        <v>728</v>
      </c>
      <c r="C110" s="4"/>
      <c r="D110" s="4">
        <v>12</v>
      </c>
      <c r="E110" s="4">
        <v>1</v>
      </c>
      <c r="F110" s="4">
        <v>127</v>
      </c>
      <c r="G110" s="4">
        <v>88.9</v>
      </c>
      <c r="H110" s="4">
        <v>6.35</v>
      </c>
      <c r="I110" s="4">
        <v>19.600000000000001</v>
      </c>
      <c r="J110" s="4">
        <v>14</v>
      </c>
      <c r="K110" s="4">
        <v>20</v>
      </c>
      <c r="L110" s="4">
        <v>18</v>
      </c>
      <c r="M110" s="4">
        <v>0.49199999999999999</v>
      </c>
      <c r="N110" s="4">
        <v>20.9</v>
      </c>
      <c r="O110" s="4">
        <v>2660</v>
      </c>
      <c r="P110" s="4">
        <v>4.4800000000000004</v>
      </c>
      <c r="Q110" s="4">
        <v>51.4</v>
      </c>
      <c r="R110" s="4">
        <v>41</v>
      </c>
      <c r="S110" s="4">
        <v>39.700000000000003</v>
      </c>
      <c r="T110" s="4">
        <v>33.5</v>
      </c>
      <c r="U110" s="4">
        <v>36.200000000000003</v>
      </c>
      <c r="V110" s="4">
        <v>36.799999999999997</v>
      </c>
      <c r="W110" s="4">
        <v>37.5</v>
      </c>
      <c r="X110" s="4">
        <v>39</v>
      </c>
      <c r="Y110" s="4">
        <v>40.5</v>
      </c>
      <c r="Z110" s="4">
        <v>36.6</v>
      </c>
      <c r="AA110" s="4">
        <v>35.799999999999997</v>
      </c>
      <c r="AB110" s="4">
        <v>3.5999999999999997E-2</v>
      </c>
      <c r="AC110" s="4">
        <v>0.86399999999999999</v>
      </c>
      <c r="AD110" s="4" t="s">
        <v>729</v>
      </c>
      <c r="AE110" s="4">
        <v>14</v>
      </c>
    </row>
    <row r="111" spans="1:31" x14ac:dyDescent="0.25">
      <c r="A111" s="4" t="s">
        <v>59</v>
      </c>
      <c r="B111" s="5" t="s">
        <v>730</v>
      </c>
      <c r="C111" s="4"/>
      <c r="D111" s="4">
        <v>12</v>
      </c>
      <c r="E111" s="4">
        <v>1</v>
      </c>
      <c r="F111" s="4">
        <v>127</v>
      </c>
      <c r="G111" s="4">
        <v>76.2</v>
      </c>
      <c r="H111" s="4">
        <v>12.7</v>
      </c>
      <c r="I111" s="4">
        <v>16.5</v>
      </c>
      <c r="J111" s="4">
        <v>6</v>
      </c>
      <c r="K111" s="4">
        <v>10</v>
      </c>
      <c r="L111" s="4">
        <v>24</v>
      </c>
      <c r="M111" s="4">
        <v>0.35699999999999998</v>
      </c>
      <c r="N111" s="4">
        <v>38</v>
      </c>
      <c r="O111" s="4">
        <v>4840</v>
      </c>
      <c r="P111" s="4">
        <v>7.87</v>
      </c>
      <c r="Q111" s="4">
        <v>95.3</v>
      </c>
      <c r="R111" s="4">
        <v>40.299999999999997</v>
      </c>
      <c r="S111" s="4">
        <v>44.5</v>
      </c>
      <c r="T111" s="4">
        <v>28.4</v>
      </c>
      <c r="U111" s="4">
        <v>31.2</v>
      </c>
      <c r="V111" s="4">
        <v>32</v>
      </c>
      <c r="W111" s="4">
        <v>32.700000000000003</v>
      </c>
      <c r="X111" s="4">
        <v>34.299999999999997</v>
      </c>
      <c r="Y111" s="4">
        <v>35.9</v>
      </c>
      <c r="Z111" s="4">
        <v>38.1</v>
      </c>
      <c r="AA111" s="4">
        <v>260</v>
      </c>
      <c r="AB111" s="4">
        <v>0.23899999999999999</v>
      </c>
      <c r="AC111" s="4">
        <v>0.81300000000000006</v>
      </c>
      <c r="AD111" s="4" t="s">
        <v>731</v>
      </c>
      <c r="AE111" s="4">
        <v>25.5</v>
      </c>
    </row>
    <row r="112" spans="1:31" x14ac:dyDescent="0.25">
      <c r="A112" s="4"/>
      <c r="B112" s="5" t="s">
        <v>732</v>
      </c>
      <c r="C112" s="4" t="s">
        <v>59</v>
      </c>
      <c r="D112" s="4">
        <v>12</v>
      </c>
      <c r="E112" s="4">
        <v>1</v>
      </c>
      <c r="F112" s="4">
        <v>127</v>
      </c>
      <c r="G112" s="4">
        <v>76.2</v>
      </c>
      <c r="H112" s="4">
        <v>11.1</v>
      </c>
      <c r="I112" s="4">
        <v>16.5</v>
      </c>
      <c r="J112" s="4">
        <v>6.86</v>
      </c>
      <c r="K112" s="4">
        <v>11.4</v>
      </c>
      <c r="L112" s="4">
        <v>24</v>
      </c>
      <c r="M112" s="4">
        <v>0.36099999999999999</v>
      </c>
      <c r="N112" s="4">
        <v>33.5</v>
      </c>
      <c r="O112" s="4">
        <v>4260</v>
      </c>
      <c r="P112" s="4">
        <v>7.01</v>
      </c>
      <c r="Q112" s="4">
        <v>84.4</v>
      </c>
      <c r="R112" s="4">
        <v>40.6</v>
      </c>
      <c r="S112" s="4">
        <v>43.9</v>
      </c>
      <c r="T112" s="4">
        <v>28.2</v>
      </c>
      <c r="U112" s="4">
        <v>30.9</v>
      </c>
      <c r="V112" s="4">
        <v>31.7</v>
      </c>
      <c r="W112" s="4">
        <v>32.4</v>
      </c>
      <c r="X112" s="4">
        <v>33.9</v>
      </c>
      <c r="Y112" s="4">
        <v>35.5</v>
      </c>
      <c r="Z112" s="4">
        <v>38.299999999999997</v>
      </c>
      <c r="AA112" s="4">
        <v>175</v>
      </c>
      <c r="AB112" s="4">
        <v>0.16300000000000001</v>
      </c>
      <c r="AC112" s="4">
        <v>0.81300000000000006</v>
      </c>
      <c r="AD112" s="4" t="s">
        <v>733</v>
      </c>
      <c r="AE112" s="4">
        <v>22.5</v>
      </c>
    </row>
    <row r="113" spans="1:31" x14ac:dyDescent="0.25">
      <c r="A113" s="4"/>
      <c r="B113" s="5" t="s">
        <v>734</v>
      </c>
      <c r="C113" s="4"/>
      <c r="D113" s="4">
        <v>12</v>
      </c>
      <c r="E113" s="4">
        <v>1</v>
      </c>
      <c r="F113" s="4">
        <v>127</v>
      </c>
      <c r="G113" s="4">
        <v>76.2</v>
      </c>
      <c r="H113" s="4">
        <v>9.5299999999999994</v>
      </c>
      <c r="I113" s="4">
        <v>16.600000000000001</v>
      </c>
      <c r="J113" s="4">
        <v>8</v>
      </c>
      <c r="K113" s="4">
        <v>13.3</v>
      </c>
      <c r="L113" s="4">
        <v>22</v>
      </c>
      <c r="M113" s="4">
        <v>0.36399999999999999</v>
      </c>
      <c r="N113" s="4">
        <v>29</v>
      </c>
      <c r="O113" s="4">
        <v>3690</v>
      </c>
      <c r="P113" s="4">
        <v>6.14</v>
      </c>
      <c r="Q113" s="4">
        <v>73.3</v>
      </c>
      <c r="R113" s="4">
        <v>40.799999999999997</v>
      </c>
      <c r="S113" s="4">
        <v>43.3</v>
      </c>
      <c r="T113" s="4">
        <v>27.9</v>
      </c>
      <c r="U113" s="4">
        <v>30.6</v>
      </c>
      <c r="V113" s="4">
        <v>31.4</v>
      </c>
      <c r="W113" s="4">
        <v>32.1</v>
      </c>
      <c r="X113" s="4">
        <v>33.6</v>
      </c>
      <c r="Y113" s="4">
        <v>35.200000000000003</v>
      </c>
      <c r="Z113" s="4">
        <v>38.5</v>
      </c>
      <c r="AA113" s="4">
        <v>112</v>
      </c>
      <c r="AB113" s="4">
        <v>0.105</v>
      </c>
      <c r="AC113" s="4">
        <v>0.81300000000000006</v>
      </c>
      <c r="AD113" s="4" t="s">
        <v>735</v>
      </c>
      <c r="AE113" s="4">
        <v>19.5</v>
      </c>
    </row>
    <row r="114" spans="1:31" x14ac:dyDescent="0.25">
      <c r="A114" s="4"/>
      <c r="B114" s="5" t="s">
        <v>736</v>
      </c>
      <c r="C114" s="4"/>
      <c r="D114" s="4">
        <v>12</v>
      </c>
      <c r="E114" s="4">
        <v>1</v>
      </c>
      <c r="F114" s="4">
        <v>127</v>
      </c>
      <c r="G114" s="4">
        <v>76.2</v>
      </c>
      <c r="H114" s="4">
        <v>7.94</v>
      </c>
      <c r="I114" s="4">
        <v>16.7</v>
      </c>
      <c r="J114" s="4">
        <v>9.6</v>
      </c>
      <c r="K114" s="4">
        <v>16</v>
      </c>
      <c r="L114" s="4">
        <v>20</v>
      </c>
      <c r="M114" s="4">
        <v>0.36799999999999999</v>
      </c>
      <c r="N114" s="4">
        <v>24.3</v>
      </c>
      <c r="O114" s="4">
        <v>3100</v>
      </c>
      <c r="P114" s="4">
        <v>5.21</v>
      </c>
      <c r="Q114" s="4">
        <v>61.9</v>
      </c>
      <c r="R114" s="4">
        <v>41</v>
      </c>
      <c r="S114" s="4">
        <v>42.7</v>
      </c>
      <c r="T114" s="4">
        <v>27.7</v>
      </c>
      <c r="U114" s="4">
        <v>30.4</v>
      </c>
      <c r="V114" s="4">
        <v>31.1</v>
      </c>
      <c r="W114" s="4">
        <v>31.8</v>
      </c>
      <c r="X114" s="4">
        <v>33.299999999999997</v>
      </c>
      <c r="Y114" s="4">
        <v>34.799999999999997</v>
      </c>
      <c r="Z114" s="4">
        <v>38.700000000000003</v>
      </c>
      <c r="AA114" s="4">
        <v>65.2</v>
      </c>
      <c r="AB114" s="4">
        <v>6.2300000000000001E-2</v>
      </c>
      <c r="AC114" s="4">
        <v>0.81300000000000006</v>
      </c>
      <c r="AD114" s="4" t="s">
        <v>737</v>
      </c>
      <c r="AE114" s="4">
        <v>16.399999999999999</v>
      </c>
    </row>
    <row r="115" spans="1:31" x14ac:dyDescent="0.25">
      <c r="A115" s="4"/>
      <c r="B115" s="5" t="s">
        <v>738</v>
      </c>
      <c r="C115" s="4"/>
      <c r="D115" s="4">
        <v>12</v>
      </c>
      <c r="E115" s="4">
        <v>1</v>
      </c>
      <c r="F115" s="4">
        <v>127</v>
      </c>
      <c r="G115" s="4">
        <v>76.2</v>
      </c>
      <c r="H115" s="4">
        <v>6.35</v>
      </c>
      <c r="I115" s="4">
        <v>16.8</v>
      </c>
      <c r="J115" s="4">
        <v>12</v>
      </c>
      <c r="K115" s="4">
        <v>20</v>
      </c>
      <c r="L115" s="4">
        <v>18</v>
      </c>
      <c r="M115" s="4">
        <v>0.371</v>
      </c>
      <c r="N115" s="4">
        <v>19.600000000000001</v>
      </c>
      <c r="O115" s="4">
        <v>2500</v>
      </c>
      <c r="P115" s="4">
        <v>4.25</v>
      </c>
      <c r="Q115" s="4">
        <v>50.1</v>
      </c>
      <c r="R115" s="4">
        <v>41.2</v>
      </c>
      <c r="S115" s="4">
        <v>42.1</v>
      </c>
      <c r="T115" s="4">
        <v>27.5</v>
      </c>
      <c r="U115" s="4">
        <v>30.1</v>
      </c>
      <c r="V115" s="4">
        <v>30.8</v>
      </c>
      <c r="W115" s="4">
        <v>31.5</v>
      </c>
      <c r="X115" s="4">
        <v>33</v>
      </c>
      <c r="Y115" s="4">
        <v>34.5</v>
      </c>
      <c r="Z115" s="4">
        <v>38.9</v>
      </c>
      <c r="AA115" s="4">
        <v>33.6</v>
      </c>
      <c r="AB115" s="4">
        <v>3.2500000000000001E-2</v>
      </c>
      <c r="AC115" s="4">
        <v>0.81300000000000006</v>
      </c>
      <c r="AD115" s="4" t="s">
        <v>739</v>
      </c>
      <c r="AE115" s="4">
        <v>13.2</v>
      </c>
    </row>
    <row r="116" spans="1:31" x14ac:dyDescent="0.25">
      <c r="A116" s="4" t="s">
        <v>59</v>
      </c>
      <c r="B116" s="5" t="s">
        <v>740</v>
      </c>
      <c r="C116" s="4"/>
      <c r="D116" s="4">
        <v>12</v>
      </c>
      <c r="E116" s="4">
        <v>1</v>
      </c>
      <c r="F116" s="4">
        <v>102</v>
      </c>
      <c r="G116" s="4">
        <v>88.9</v>
      </c>
      <c r="H116" s="4">
        <v>12.7</v>
      </c>
      <c r="I116" s="4">
        <v>18.399999999999999</v>
      </c>
      <c r="J116" s="4">
        <v>7</v>
      </c>
      <c r="K116" s="4">
        <v>8.0299999999999994</v>
      </c>
      <c r="L116" s="4">
        <v>24</v>
      </c>
      <c r="M116" s="4">
        <v>0.74399999999999999</v>
      </c>
      <c r="N116" s="4">
        <v>35.5</v>
      </c>
      <c r="O116" s="4">
        <v>4530</v>
      </c>
      <c r="P116" s="4">
        <v>4.4800000000000004</v>
      </c>
      <c r="Q116" s="4">
        <v>63.9</v>
      </c>
      <c r="R116" s="4">
        <v>31.5</v>
      </c>
      <c r="S116" s="4">
        <v>31.9</v>
      </c>
      <c r="T116" s="4">
        <v>36.6</v>
      </c>
      <c r="U116" s="4">
        <v>39.5</v>
      </c>
      <c r="V116" s="4">
        <v>40.200000000000003</v>
      </c>
      <c r="W116" s="4">
        <v>41</v>
      </c>
      <c r="X116" s="4">
        <v>42.6</v>
      </c>
      <c r="Y116" s="4">
        <v>44.1</v>
      </c>
      <c r="Z116" s="4">
        <v>25.6</v>
      </c>
      <c r="AA116" s="4">
        <v>243</v>
      </c>
      <c r="AB116" s="4">
        <v>0.16400000000000001</v>
      </c>
      <c r="AC116" s="4">
        <v>0.76400000000000001</v>
      </c>
      <c r="AD116" s="4" t="s">
        <v>741</v>
      </c>
      <c r="AE116" s="4">
        <v>23.9</v>
      </c>
    </row>
    <row r="117" spans="1:31" x14ac:dyDescent="0.25">
      <c r="A117" s="4"/>
      <c r="B117" s="5" t="s">
        <v>742</v>
      </c>
      <c r="C117" s="4" t="s">
        <v>59</v>
      </c>
      <c r="D117" s="4">
        <v>12</v>
      </c>
      <c r="E117" s="4">
        <v>1</v>
      </c>
      <c r="F117" s="4">
        <v>102</v>
      </c>
      <c r="G117" s="4">
        <v>88.9</v>
      </c>
      <c r="H117" s="4">
        <v>11.1</v>
      </c>
      <c r="I117" s="4">
        <v>18.399999999999999</v>
      </c>
      <c r="J117" s="4">
        <v>8.01</v>
      </c>
      <c r="K117" s="4">
        <v>9.19</v>
      </c>
      <c r="L117" s="4">
        <v>22</v>
      </c>
      <c r="M117" s="4">
        <v>0.746</v>
      </c>
      <c r="N117" s="4">
        <v>31.3</v>
      </c>
      <c r="O117" s="4">
        <v>3990</v>
      </c>
      <c r="P117" s="4">
        <v>4</v>
      </c>
      <c r="Q117" s="4">
        <v>56.7</v>
      </c>
      <c r="R117" s="4">
        <v>31.7</v>
      </c>
      <c r="S117" s="4">
        <v>31.3</v>
      </c>
      <c r="T117" s="4">
        <v>36.4</v>
      </c>
      <c r="U117" s="4">
        <v>39.200000000000003</v>
      </c>
      <c r="V117" s="4">
        <v>40</v>
      </c>
      <c r="W117" s="4">
        <v>40.700000000000003</v>
      </c>
      <c r="X117" s="4">
        <v>42.2</v>
      </c>
      <c r="Y117" s="4">
        <v>43.8</v>
      </c>
      <c r="Z117" s="4">
        <v>25.8</v>
      </c>
      <c r="AA117" s="4">
        <v>164</v>
      </c>
      <c r="AB117" s="4">
        <v>0.112</v>
      </c>
      <c r="AC117" s="4">
        <v>0.76400000000000001</v>
      </c>
      <c r="AD117" s="4" t="s">
        <v>743</v>
      </c>
      <c r="AE117" s="4">
        <v>21.1</v>
      </c>
    </row>
    <row r="118" spans="1:31" x14ac:dyDescent="0.25">
      <c r="A118" s="4"/>
      <c r="B118" s="5" t="s">
        <v>744</v>
      </c>
      <c r="C118" s="4"/>
      <c r="D118" s="4">
        <v>12</v>
      </c>
      <c r="E118" s="4">
        <v>1</v>
      </c>
      <c r="F118" s="4">
        <v>102</v>
      </c>
      <c r="G118" s="4">
        <v>88.9</v>
      </c>
      <c r="H118" s="4">
        <v>9.5299999999999994</v>
      </c>
      <c r="I118" s="4">
        <v>18.5</v>
      </c>
      <c r="J118" s="4">
        <v>9.33</v>
      </c>
      <c r="K118" s="4">
        <v>10.7</v>
      </c>
      <c r="L118" s="4">
        <v>20</v>
      </c>
      <c r="M118" s="4">
        <v>0.749</v>
      </c>
      <c r="N118" s="4">
        <v>27.1</v>
      </c>
      <c r="O118" s="4">
        <v>3460</v>
      </c>
      <c r="P118" s="4">
        <v>3.52</v>
      </c>
      <c r="Q118" s="4">
        <v>49.4</v>
      </c>
      <c r="R118" s="4">
        <v>31.9</v>
      </c>
      <c r="S118" s="4">
        <v>30.8</v>
      </c>
      <c r="T118" s="4">
        <v>36.1</v>
      </c>
      <c r="U118" s="4">
        <v>38.9</v>
      </c>
      <c r="V118" s="4">
        <v>39.700000000000003</v>
      </c>
      <c r="W118" s="4">
        <v>40.4</v>
      </c>
      <c r="X118" s="4">
        <v>41.9</v>
      </c>
      <c r="Y118" s="4">
        <v>43.5</v>
      </c>
      <c r="Z118" s="4">
        <v>26</v>
      </c>
      <c r="AA118" s="4">
        <v>105</v>
      </c>
      <c r="AB118" s="4">
        <v>7.2800000000000004E-2</v>
      </c>
      <c r="AC118" s="4">
        <v>0.76400000000000001</v>
      </c>
      <c r="AD118" s="4" t="s">
        <v>745</v>
      </c>
      <c r="AE118" s="4">
        <v>18.2</v>
      </c>
    </row>
    <row r="119" spans="1:31" x14ac:dyDescent="0.25">
      <c r="A119" s="4"/>
      <c r="B119" s="5" t="s">
        <v>746</v>
      </c>
      <c r="C119" s="4"/>
      <c r="D119" s="4">
        <v>12</v>
      </c>
      <c r="E119" s="4">
        <v>1</v>
      </c>
      <c r="F119" s="4">
        <v>102</v>
      </c>
      <c r="G119" s="4">
        <v>88.9</v>
      </c>
      <c r="H119" s="4">
        <v>7.94</v>
      </c>
      <c r="I119" s="4">
        <v>18.600000000000001</v>
      </c>
      <c r="J119" s="4">
        <v>11.2</v>
      </c>
      <c r="K119" s="4">
        <v>12.8</v>
      </c>
      <c r="L119" s="4">
        <v>18</v>
      </c>
      <c r="M119" s="4">
        <v>0.751</v>
      </c>
      <c r="N119" s="4">
        <v>22.8</v>
      </c>
      <c r="O119" s="4">
        <v>2910</v>
      </c>
      <c r="P119" s="4">
        <v>3</v>
      </c>
      <c r="Q119" s="4">
        <v>41.7</v>
      </c>
      <c r="R119" s="4">
        <v>32.1</v>
      </c>
      <c r="S119" s="4">
        <v>30.2</v>
      </c>
      <c r="T119" s="4">
        <v>35.9</v>
      </c>
      <c r="U119" s="4">
        <v>38.700000000000003</v>
      </c>
      <c r="V119" s="4">
        <v>39.4</v>
      </c>
      <c r="W119" s="4">
        <v>40.1</v>
      </c>
      <c r="X119" s="4">
        <v>41.6</v>
      </c>
      <c r="Y119" s="4">
        <v>43.2</v>
      </c>
      <c r="Z119" s="4">
        <v>26.2</v>
      </c>
      <c r="AA119" s="4">
        <v>61.1</v>
      </c>
      <c r="AB119" s="4">
        <v>4.3200000000000002E-2</v>
      </c>
      <c r="AC119" s="4">
        <v>0.76400000000000001</v>
      </c>
      <c r="AD119" s="4" t="s">
        <v>747</v>
      </c>
      <c r="AE119" s="4">
        <v>15.3</v>
      </c>
    </row>
    <row r="120" spans="1:31" x14ac:dyDescent="0.25">
      <c r="A120" s="4"/>
      <c r="B120" s="5" t="s">
        <v>748</v>
      </c>
      <c r="C120" s="4"/>
      <c r="D120" s="4">
        <v>12</v>
      </c>
      <c r="E120" s="4">
        <v>1</v>
      </c>
      <c r="F120" s="4">
        <v>102</v>
      </c>
      <c r="G120" s="4">
        <v>88.9</v>
      </c>
      <c r="H120" s="4">
        <v>6.35</v>
      </c>
      <c r="I120" s="4">
        <v>18.7</v>
      </c>
      <c r="J120" s="4">
        <v>14</v>
      </c>
      <c r="K120" s="4">
        <v>16.100000000000001</v>
      </c>
      <c r="L120" s="4">
        <v>18</v>
      </c>
      <c r="M120" s="4">
        <v>0.753</v>
      </c>
      <c r="N120" s="4">
        <v>18.399999999999999</v>
      </c>
      <c r="O120" s="4">
        <v>2340</v>
      </c>
      <c r="P120" s="4">
        <v>2.4500000000000002</v>
      </c>
      <c r="Q120" s="4">
        <v>33.9</v>
      </c>
      <c r="R120" s="4">
        <v>32.299999999999997</v>
      </c>
      <c r="S120" s="4">
        <v>29.6</v>
      </c>
      <c r="T120" s="4">
        <v>35.700000000000003</v>
      </c>
      <c r="U120" s="4">
        <v>38.4</v>
      </c>
      <c r="V120" s="4">
        <v>39.1</v>
      </c>
      <c r="W120" s="4">
        <v>39.9</v>
      </c>
      <c r="X120" s="4">
        <v>41.3</v>
      </c>
      <c r="Y120" s="4">
        <v>42.9</v>
      </c>
      <c r="Z120" s="4">
        <v>26.4</v>
      </c>
      <c r="AA120" s="4">
        <v>31.5</v>
      </c>
      <c r="AB120" s="4">
        <v>2.2700000000000001E-2</v>
      </c>
      <c r="AC120" s="4">
        <v>0.76400000000000001</v>
      </c>
      <c r="AD120" s="4" t="s">
        <v>749</v>
      </c>
      <c r="AE120" s="4">
        <v>12.4</v>
      </c>
    </row>
    <row r="121" spans="1:31" x14ac:dyDescent="0.25">
      <c r="A121" s="4" t="s">
        <v>59</v>
      </c>
      <c r="B121" s="5" t="s">
        <v>750</v>
      </c>
      <c r="C121" s="4" t="s">
        <v>59</v>
      </c>
      <c r="D121" s="4">
        <v>12</v>
      </c>
      <c r="E121" s="4">
        <v>2</v>
      </c>
      <c r="F121" s="4">
        <v>102</v>
      </c>
      <c r="G121" s="4">
        <v>76.2</v>
      </c>
      <c r="H121" s="4">
        <v>15.9</v>
      </c>
      <c r="I121" s="4">
        <v>16.2</v>
      </c>
      <c r="J121" s="4">
        <v>4.79</v>
      </c>
      <c r="K121" s="4">
        <v>6.42</v>
      </c>
      <c r="L121" s="4">
        <v>26</v>
      </c>
      <c r="M121" s="4">
        <v>0.52900000000000003</v>
      </c>
      <c r="N121" s="4">
        <v>40.5</v>
      </c>
      <c r="O121" s="4">
        <v>5160</v>
      </c>
      <c r="P121" s="4">
        <v>5.09</v>
      </c>
      <c r="Q121" s="4">
        <v>75.900000000000006</v>
      </c>
      <c r="R121" s="4">
        <v>31.4</v>
      </c>
      <c r="S121" s="4">
        <v>35</v>
      </c>
      <c r="T121" s="4">
        <v>30.9</v>
      </c>
      <c r="U121" s="4">
        <v>33.9</v>
      </c>
      <c r="V121" s="4">
        <v>34.6</v>
      </c>
      <c r="W121" s="4">
        <v>35.4</v>
      </c>
      <c r="X121" s="4">
        <v>37</v>
      </c>
      <c r="Y121" s="4">
        <v>38.700000000000003</v>
      </c>
      <c r="Z121" s="4">
        <v>27.1</v>
      </c>
      <c r="AA121" s="4">
        <v>435</v>
      </c>
      <c r="AB121" s="4">
        <v>0.25700000000000001</v>
      </c>
      <c r="AC121" s="4">
        <v>0.71299999999999997</v>
      </c>
      <c r="AD121" s="4" t="s">
        <v>751</v>
      </c>
      <c r="AE121" s="4">
        <v>27.2</v>
      </c>
    </row>
    <row r="122" spans="1:31" x14ac:dyDescent="0.25">
      <c r="A122" s="4"/>
      <c r="B122" s="5" t="s">
        <v>752</v>
      </c>
      <c r="C122" s="4"/>
      <c r="D122" s="4">
        <v>12</v>
      </c>
      <c r="E122" s="4">
        <v>1</v>
      </c>
      <c r="F122" s="4">
        <v>102</v>
      </c>
      <c r="G122" s="4">
        <v>76.2</v>
      </c>
      <c r="H122" s="4">
        <v>12.7</v>
      </c>
      <c r="I122" s="4">
        <v>16.2</v>
      </c>
      <c r="J122" s="4">
        <v>6</v>
      </c>
      <c r="K122" s="4">
        <v>8.0299999999999994</v>
      </c>
      <c r="L122" s="4">
        <v>24</v>
      </c>
      <c r="M122" s="4">
        <v>0.53800000000000003</v>
      </c>
      <c r="N122" s="4">
        <v>33</v>
      </c>
      <c r="O122" s="4">
        <v>4200</v>
      </c>
      <c r="P122" s="4">
        <v>4.25</v>
      </c>
      <c r="Q122" s="4">
        <v>62.4</v>
      </c>
      <c r="R122" s="4">
        <v>31.8</v>
      </c>
      <c r="S122" s="4">
        <v>33.9</v>
      </c>
      <c r="T122" s="4">
        <v>30.3</v>
      </c>
      <c r="U122" s="4">
        <v>33.200000000000003</v>
      </c>
      <c r="V122" s="4">
        <v>34</v>
      </c>
      <c r="W122" s="4">
        <v>34.799999999999997</v>
      </c>
      <c r="X122" s="4">
        <v>36.299999999999997</v>
      </c>
      <c r="Y122" s="4">
        <v>37.9</v>
      </c>
      <c r="Z122" s="4">
        <v>27.5</v>
      </c>
      <c r="AA122" s="4">
        <v>226</v>
      </c>
      <c r="AB122" s="4">
        <v>0.13800000000000001</v>
      </c>
      <c r="AC122" s="4">
        <v>0.71299999999999997</v>
      </c>
      <c r="AD122" s="4" t="s">
        <v>753</v>
      </c>
      <c r="AE122" s="4">
        <v>22.2</v>
      </c>
    </row>
    <row r="123" spans="1:31" x14ac:dyDescent="0.25">
      <c r="A123" s="4"/>
      <c r="B123" s="5" t="s">
        <v>754</v>
      </c>
      <c r="C123" s="4" t="s">
        <v>59</v>
      </c>
      <c r="D123" s="4">
        <v>12</v>
      </c>
      <c r="E123" s="4">
        <v>1</v>
      </c>
      <c r="F123" s="4">
        <v>102</v>
      </c>
      <c r="G123" s="4">
        <v>76.2</v>
      </c>
      <c r="H123" s="4">
        <v>11.1</v>
      </c>
      <c r="I123" s="4">
        <v>16.3</v>
      </c>
      <c r="J123" s="4">
        <v>6.86</v>
      </c>
      <c r="K123" s="4">
        <v>9.19</v>
      </c>
      <c r="L123" s="4">
        <v>22</v>
      </c>
      <c r="M123" s="4">
        <v>0.54300000000000004</v>
      </c>
      <c r="N123" s="4">
        <v>29.1</v>
      </c>
      <c r="O123" s="4">
        <v>3710</v>
      </c>
      <c r="P123" s="4">
        <v>3.8</v>
      </c>
      <c r="Q123" s="4">
        <v>55.3</v>
      </c>
      <c r="R123" s="4">
        <v>32</v>
      </c>
      <c r="S123" s="4">
        <v>33.299999999999997</v>
      </c>
      <c r="T123" s="4">
        <v>30.1</v>
      </c>
      <c r="U123" s="4">
        <v>32.9</v>
      </c>
      <c r="V123" s="4">
        <v>33.700000000000003</v>
      </c>
      <c r="W123" s="4">
        <v>34.4</v>
      </c>
      <c r="X123" s="4">
        <v>36</v>
      </c>
      <c r="Y123" s="4">
        <v>37.6</v>
      </c>
      <c r="Z123" s="4">
        <v>27.7</v>
      </c>
      <c r="AA123" s="4">
        <v>152</v>
      </c>
      <c r="AB123" s="4">
        <v>9.5000000000000001E-2</v>
      </c>
      <c r="AC123" s="4">
        <v>0.71299999999999997</v>
      </c>
      <c r="AD123" s="4" t="s">
        <v>755</v>
      </c>
      <c r="AE123" s="4">
        <v>19.600000000000001</v>
      </c>
    </row>
    <row r="124" spans="1:31" x14ac:dyDescent="0.25">
      <c r="A124" s="4"/>
      <c r="B124" s="5" t="s">
        <v>756</v>
      </c>
      <c r="C124" s="4"/>
      <c r="D124" s="4">
        <v>12</v>
      </c>
      <c r="E124" s="4">
        <v>1</v>
      </c>
      <c r="F124" s="4">
        <v>102</v>
      </c>
      <c r="G124" s="4">
        <v>76.2</v>
      </c>
      <c r="H124" s="4">
        <v>9.5299999999999994</v>
      </c>
      <c r="I124" s="4">
        <v>16.399999999999999</v>
      </c>
      <c r="J124" s="4">
        <v>8</v>
      </c>
      <c r="K124" s="4">
        <v>10.7</v>
      </c>
      <c r="L124" s="4">
        <v>20</v>
      </c>
      <c r="M124" s="4">
        <v>0.54700000000000004</v>
      </c>
      <c r="N124" s="4">
        <v>25.2</v>
      </c>
      <c r="O124" s="4">
        <v>3210</v>
      </c>
      <c r="P124" s="4">
        <v>3.34</v>
      </c>
      <c r="Q124" s="4">
        <v>48.2</v>
      </c>
      <c r="R124" s="4">
        <v>32.200000000000003</v>
      </c>
      <c r="S124" s="4">
        <v>32.700000000000003</v>
      </c>
      <c r="T124" s="4">
        <v>29.8</v>
      </c>
      <c r="U124" s="4">
        <v>32.6</v>
      </c>
      <c r="V124" s="4">
        <v>33.4</v>
      </c>
      <c r="W124" s="4">
        <v>34.1</v>
      </c>
      <c r="X124" s="4">
        <v>35.700000000000003</v>
      </c>
      <c r="Y124" s="4">
        <v>37.200000000000003</v>
      </c>
      <c r="Z124" s="4">
        <v>28</v>
      </c>
      <c r="AA124" s="4">
        <v>97.3</v>
      </c>
      <c r="AB124" s="4">
        <v>6.1699999999999998E-2</v>
      </c>
      <c r="AC124" s="4">
        <v>0.71299999999999997</v>
      </c>
      <c r="AD124" s="4" t="s">
        <v>757</v>
      </c>
      <c r="AE124" s="4">
        <v>17</v>
      </c>
    </row>
    <row r="125" spans="1:31" x14ac:dyDescent="0.25">
      <c r="A125" s="4"/>
      <c r="B125" s="5" t="s">
        <v>758</v>
      </c>
      <c r="C125" s="4"/>
      <c r="D125" s="4">
        <v>12</v>
      </c>
      <c r="E125" s="4">
        <v>1</v>
      </c>
      <c r="F125" s="4">
        <v>102</v>
      </c>
      <c r="G125" s="4">
        <v>76.2</v>
      </c>
      <c r="H125" s="4">
        <v>7.94</v>
      </c>
      <c r="I125" s="4">
        <v>16.5</v>
      </c>
      <c r="J125" s="4">
        <v>9.6</v>
      </c>
      <c r="K125" s="4">
        <v>12.8</v>
      </c>
      <c r="L125" s="4">
        <v>18</v>
      </c>
      <c r="M125" s="4">
        <v>0.55000000000000004</v>
      </c>
      <c r="N125" s="4">
        <v>21.2</v>
      </c>
      <c r="O125" s="4">
        <v>2700</v>
      </c>
      <c r="P125" s="4">
        <v>2.85</v>
      </c>
      <c r="Q125" s="4">
        <v>40.700000000000003</v>
      </c>
      <c r="R125" s="4">
        <v>32.4</v>
      </c>
      <c r="S125" s="4">
        <v>32.1</v>
      </c>
      <c r="T125" s="4">
        <v>29.6</v>
      </c>
      <c r="U125" s="4">
        <v>32.4</v>
      </c>
      <c r="V125" s="4">
        <v>33.1</v>
      </c>
      <c r="W125" s="4">
        <v>33.799999999999997</v>
      </c>
      <c r="X125" s="4">
        <v>35.4</v>
      </c>
      <c r="Y125" s="4">
        <v>36.9</v>
      </c>
      <c r="Z125" s="4">
        <v>28.2</v>
      </c>
      <c r="AA125" s="4">
        <v>56.8</v>
      </c>
      <c r="AB125" s="4">
        <v>3.6700000000000003E-2</v>
      </c>
      <c r="AC125" s="4">
        <v>0.71299999999999997</v>
      </c>
      <c r="AD125" s="4" t="s">
        <v>759</v>
      </c>
      <c r="AE125" s="4">
        <v>14.3</v>
      </c>
    </row>
    <row r="126" spans="1:31" x14ac:dyDescent="0.25">
      <c r="A126" s="4"/>
      <c r="B126" s="5" t="s">
        <v>760</v>
      </c>
      <c r="C126" s="4"/>
      <c r="D126" s="4">
        <v>12</v>
      </c>
      <c r="E126" s="4">
        <v>1</v>
      </c>
      <c r="F126" s="4">
        <v>102</v>
      </c>
      <c r="G126" s="4">
        <v>76.2</v>
      </c>
      <c r="H126" s="4">
        <v>6.35</v>
      </c>
      <c r="I126" s="4">
        <v>16.600000000000001</v>
      </c>
      <c r="J126" s="4">
        <v>12</v>
      </c>
      <c r="K126" s="4">
        <v>16.100000000000001</v>
      </c>
      <c r="L126" s="4">
        <v>18</v>
      </c>
      <c r="M126" s="4">
        <v>0.55400000000000005</v>
      </c>
      <c r="N126" s="4">
        <v>17.100000000000001</v>
      </c>
      <c r="O126" s="4">
        <v>2180</v>
      </c>
      <c r="P126" s="4">
        <v>2.33</v>
      </c>
      <c r="Q126" s="4">
        <v>33.1</v>
      </c>
      <c r="R126" s="4">
        <v>32.700000000000003</v>
      </c>
      <c r="S126" s="4">
        <v>31.6</v>
      </c>
      <c r="T126" s="4">
        <v>29.4</v>
      </c>
      <c r="U126" s="4">
        <v>32.1</v>
      </c>
      <c r="V126" s="4">
        <v>32.799999999999997</v>
      </c>
      <c r="W126" s="4">
        <v>33.6</v>
      </c>
      <c r="X126" s="4">
        <v>35</v>
      </c>
      <c r="Y126" s="4">
        <v>36.6</v>
      </c>
      <c r="Z126" s="4">
        <v>28.4</v>
      </c>
      <c r="AA126" s="4">
        <v>29.3</v>
      </c>
      <c r="AB126" s="4">
        <v>1.9300000000000001E-2</v>
      </c>
      <c r="AC126" s="4">
        <v>0.71299999999999997</v>
      </c>
      <c r="AD126" s="4" t="s">
        <v>761</v>
      </c>
      <c r="AE126" s="4">
        <v>11.5</v>
      </c>
    </row>
    <row r="127" spans="1:31" x14ac:dyDescent="0.25">
      <c r="A127" s="4" t="s">
        <v>59</v>
      </c>
      <c r="B127" s="5" t="s">
        <v>762</v>
      </c>
      <c r="C127" s="4"/>
      <c r="D127" s="4">
        <v>12</v>
      </c>
      <c r="E127" s="4">
        <v>1</v>
      </c>
      <c r="F127" s="4">
        <v>88.9</v>
      </c>
      <c r="G127" s="4">
        <v>76.2</v>
      </c>
      <c r="H127" s="4">
        <v>12.7</v>
      </c>
      <c r="I127" s="4">
        <v>15.8</v>
      </c>
      <c r="J127" s="4">
        <v>6</v>
      </c>
      <c r="K127" s="4">
        <v>7</v>
      </c>
      <c r="L127" s="4">
        <v>24</v>
      </c>
      <c r="M127" s="4">
        <v>0.71399999999999997</v>
      </c>
      <c r="N127" s="4">
        <v>30.4</v>
      </c>
      <c r="O127" s="4">
        <v>3870</v>
      </c>
      <c r="P127" s="4">
        <v>2.87</v>
      </c>
      <c r="Q127" s="4">
        <v>47.7</v>
      </c>
      <c r="R127" s="4">
        <v>27.3</v>
      </c>
      <c r="S127" s="4">
        <v>28.6</v>
      </c>
      <c r="T127" s="4">
        <v>31.5</v>
      </c>
      <c r="U127" s="4">
        <v>34.5</v>
      </c>
      <c r="V127" s="4">
        <v>35.200000000000003</v>
      </c>
      <c r="W127" s="4">
        <v>36</v>
      </c>
      <c r="X127" s="4">
        <v>37.6</v>
      </c>
      <c r="Y127" s="4">
        <v>39.200000000000003</v>
      </c>
      <c r="Z127" s="4">
        <v>22.2</v>
      </c>
      <c r="AA127" s="4">
        <v>208</v>
      </c>
      <c r="AB127" s="4">
        <v>0.10299999999999999</v>
      </c>
      <c r="AC127" s="4">
        <v>0.66</v>
      </c>
      <c r="AD127" s="4" t="s">
        <v>763</v>
      </c>
      <c r="AE127" s="4">
        <v>20.399999999999999</v>
      </c>
    </row>
    <row r="128" spans="1:31" x14ac:dyDescent="0.25">
      <c r="A128" s="4"/>
      <c r="B128" s="5" t="s">
        <v>764</v>
      </c>
      <c r="C128" s="4"/>
      <c r="D128" s="4">
        <v>12</v>
      </c>
      <c r="E128" s="4">
        <v>1</v>
      </c>
      <c r="F128" s="4">
        <v>88.9</v>
      </c>
      <c r="G128" s="4">
        <v>76.2</v>
      </c>
      <c r="H128" s="4">
        <v>9.5299999999999994</v>
      </c>
      <c r="I128" s="4">
        <v>15.9</v>
      </c>
      <c r="J128" s="4">
        <v>8</v>
      </c>
      <c r="K128" s="4">
        <v>9.33</v>
      </c>
      <c r="L128" s="4">
        <v>20</v>
      </c>
      <c r="M128" s="4">
        <v>0.72099999999999997</v>
      </c>
      <c r="N128" s="4">
        <v>23.3</v>
      </c>
      <c r="O128" s="4">
        <v>2970</v>
      </c>
      <c r="P128" s="4">
        <v>2.27</v>
      </c>
      <c r="Q128" s="4">
        <v>36.9</v>
      </c>
      <c r="R128" s="4">
        <v>27.7</v>
      </c>
      <c r="S128" s="4">
        <v>27.4</v>
      </c>
      <c r="T128" s="4">
        <v>31</v>
      </c>
      <c r="U128" s="4">
        <v>33.9</v>
      </c>
      <c r="V128" s="4">
        <v>34.6</v>
      </c>
      <c r="W128" s="4">
        <v>35.4</v>
      </c>
      <c r="X128" s="4">
        <v>36.9</v>
      </c>
      <c r="Y128" s="4">
        <v>38.5</v>
      </c>
      <c r="Z128" s="4">
        <v>22.7</v>
      </c>
      <c r="AA128" s="4">
        <v>89.8</v>
      </c>
      <c r="AB128" s="4">
        <v>4.6199999999999998E-2</v>
      </c>
      <c r="AC128" s="4">
        <v>0.66</v>
      </c>
      <c r="AD128" s="4" t="s">
        <v>765</v>
      </c>
      <c r="AE128" s="4">
        <v>15.6</v>
      </c>
    </row>
    <row r="129" spans="1:31" x14ac:dyDescent="0.25">
      <c r="A129" s="4"/>
      <c r="B129" s="5" t="s">
        <v>766</v>
      </c>
      <c r="C129" s="4"/>
      <c r="D129" s="4">
        <v>12</v>
      </c>
      <c r="E129" s="4">
        <v>1</v>
      </c>
      <c r="F129" s="4">
        <v>88.9</v>
      </c>
      <c r="G129" s="4">
        <v>76.2</v>
      </c>
      <c r="H129" s="4">
        <v>7.94</v>
      </c>
      <c r="I129" s="4">
        <v>15.9</v>
      </c>
      <c r="J129" s="4">
        <v>9.6</v>
      </c>
      <c r="K129" s="4">
        <v>11.2</v>
      </c>
      <c r="L129" s="4">
        <v>18</v>
      </c>
      <c r="M129" s="4">
        <v>0.72399999999999998</v>
      </c>
      <c r="N129" s="4">
        <v>19.600000000000001</v>
      </c>
      <c r="O129" s="4">
        <v>2500</v>
      </c>
      <c r="P129" s="4">
        <v>1.94</v>
      </c>
      <c r="Q129" s="4">
        <v>31.3</v>
      </c>
      <c r="R129" s="4">
        <v>27.9</v>
      </c>
      <c r="S129" s="4">
        <v>26.9</v>
      </c>
      <c r="T129" s="4">
        <v>30.8</v>
      </c>
      <c r="U129" s="4">
        <v>33.6</v>
      </c>
      <c r="V129" s="4">
        <v>34.299999999999997</v>
      </c>
      <c r="W129" s="4">
        <v>35.1</v>
      </c>
      <c r="X129" s="4">
        <v>36.6</v>
      </c>
      <c r="Y129" s="4">
        <v>38.200000000000003</v>
      </c>
      <c r="Z129" s="4">
        <v>22.9</v>
      </c>
      <c r="AA129" s="4">
        <v>52.4</v>
      </c>
      <c r="AB129" s="4">
        <v>2.75E-2</v>
      </c>
      <c r="AC129" s="4">
        <v>0.66</v>
      </c>
      <c r="AD129" s="4" t="s">
        <v>767</v>
      </c>
      <c r="AE129" s="4">
        <v>13.2</v>
      </c>
    </row>
    <row r="130" spans="1:31" x14ac:dyDescent="0.25">
      <c r="A130" s="4"/>
      <c r="B130" s="5" t="s">
        <v>768</v>
      </c>
      <c r="C130" s="4"/>
      <c r="D130" s="4">
        <v>12</v>
      </c>
      <c r="E130" s="4">
        <v>1</v>
      </c>
      <c r="F130" s="4">
        <v>88.9</v>
      </c>
      <c r="G130" s="4">
        <v>76.2</v>
      </c>
      <c r="H130" s="4">
        <v>6.35</v>
      </c>
      <c r="I130" s="4">
        <v>16</v>
      </c>
      <c r="J130" s="4">
        <v>12</v>
      </c>
      <c r="K130" s="4">
        <v>14</v>
      </c>
      <c r="L130" s="4">
        <v>18</v>
      </c>
      <c r="M130" s="4">
        <v>0.72699999999999998</v>
      </c>
      <c r="N130" s="4">
        <v>15.8</v>
      </c>
      <c r="O130" s="4">
        <v>2020</v>
      </c>
      <c r="P130" s="4">
        <v>1.59</v>
      </c>
      <c r="Q130" s="4">
        <v>25.4</v>
      </c>
      <c r="R130" s="4">
        <v>28.1</v>
      </c>
      <c r="S130" s="4">
        <v>26.3</v>
      </c>
      <c r="T130" s="4">
        <v>30.6</v>
      </c>
      <c r="U130" s="4">
        <v>33.299999999999997</v>
      </c>
      <c r="V130" s="4">
        <v>34.1</v>
      </c>
      <c r="W130" s="4">
        <v>34.799999999999997</v>
      </c>
      <c r="X130" s="4">
        <v>36.299999999999997</v>
      </c>
      <c r="Y130" s="4">
        <v>37.9</v>
      </c>
      <c r="Z130" s="4">
        <v>23.1</v>
      </c>
      <c r="AA130" s="4">
        <v>27.1</v>
      </c>
      <c r="AB130" s="4">
        <v>1.4500000000000001E-2</v>
      </c>
      <c r="AC130" s="4">
        <v>0.66</v>
      </c>
      <c r="AD130" s="4" t="s">
        <v>769</v>
      </c>
      <c r="AE130" s="4">
        <v>10.6</v>
      </c>
    </row>
    <row r="131" spans="1:31" x14ac:dyDescent="0.25">
      <c r="A131" s="4" t="s">
        <v>59</v>
      </c>
      <c r="B131" s="5" t="s">
        <v>770</v>
      </c>
      <c r="C131" s="4"/>
      <c r="D131" s="4">
        <v>12</v>
      </c>
      <c r="E131" s="4">
        <v>1</v>
      </c>
      <c r="F131" s="4">
        <v>88.9</v>
      </c>
      <c r="G131" s="4">
        <v>63.5</v>
      </c>
      <c r="H131" s="4">
        <v>12.7</v>
      </c>
      <c r="I131" s="4">
        <v>13.6</v>
      </c>
      <c r="J131" s="4">
        <v>5</v>
      </c>
      <c r="K131" s="4">
        <v>7</v>
      </c>
      <c r="L131" s="4">
        <v>24</v>
      </c>
      <c r="M131" s="4">
        <v>0.48599999999999999</v>
      </c>
      <c r="N131" s="4">
        <v>27.9</v>
      </c>
      <c r="O131" s="4">
        <v>3550</v>
      </c>
      <c r="P131" s="4">
        <v>2.7</v>
      </c>
      <c r="Q131" s="4">
        <v>46.2</v>
      </c>
      <c r="R131" s="4">
        <v>27.6</v>
      </c>
      <c r="S131" s="4">
        <v>30.6</v>
      </c>
      <c r="T131" s="4">
        <v>25.3</v>
      </c>
      <c r="U131" s="4">
        <v>28.3</v>
      </c>
      <c r="V131" s="4">
        <v>29.1</v>
      </c>
      <c r="W131" s="4">
        <v>29.8</v>
      </c>
      <c r="X131" s="4">
        <v>31.5</v>
      </c>
      <c r="Y131" s="4">
        <v>33.1</v>
      </c>
      <c r="Z131" s="4">
        <v>24.2</v>
      </c>
      <c r="AA131" s="4">
        <v>191</v>
      </c>
      <c r="AB131" s="4">
        <v>8.5300000000000001E-2</v>
      </c>
      <c r="AC131" s="4">
        <v>0.61</v>
      </c>
      <c r="AD131" s="4" t="s">
        <v>771</v>
      </c>
      <c r="AE131" s="4">
        <v>18.7</v>
      </c>
    </row>
    <row r="132" spans="1:31" x14ac:dyDescent="0.25">
      <c r="A132" s="4"/>
      <c r="B132" s="5" t="s">
        <v>772</v>
      </c>
      <c r="C132" s="4"/>
      <c r="D132" s="4">
        <v>12</v>
      </c>
      <c r="E132" s="4">
        <v>1</v>
      </c>
      <c r="F132" s="4">
        <v>88.9</v>
      </c>
      <c r="G132" s="4">
        <v>63.5</v>
      </c>
      <c r="H132" s="4">
        <v>9.5299999999999994</v>
      </c>
      <c r="I132" s="4">
        <v>13.6</v>
      </c>
      <c r="J132" s="4">
        <v>6.66</v>
      </c>
      <c r="K132" s="4">
        <v>9.33</v>
      </c>
      <c r="L132" s="4">
        <v>20</v>
      </c>
      <c r="M132" s="4">
        <v>0.496</v>
      </c>
      <c r="N132" s="4">
        <v>21.4</v>
      </c>
      <c r="O132" s="4">
        <v>2720</v>
      </c>
      <c r="P132" s="4">
        <v>2.13</v>
      </c>
      <c r="Q132" s="4">
        <v>35.9</v>
      </c>
      <c r="R132" s="4">
        <v>28</v>
      </c>
      <c r="S132" s="4">
        <v>29.5</v>
      </c>
      <c r="T132" s="4">
        <v>24.8</v>
      </c>
      <c r="U132" s="4">
        <v>27.6</v>
      </c>
      <c r="V132" s="4">
        <v>28.4</v>
      </c>
      <c r="W132" s="4">
        <v>29.2</v>
      </c>
      <c r="X132" s="4">
        <v>30.8</v>
      </c>
      <c r="Y132" s="4">
        <v>32.4</v>
      </c>
      <c r="Z132" s="4">
        <v>24.7</v>
      </c>
      <c r="AA132" s="4">
        <v>82.4</v>
      </c>
      <c r="AB132" s="4">
        <v>3.8399999999999997E-2</v>
      </c>
      <c r="AC132" s="4">
        <v>0.61</v>
      </c>
      <c r="AD132" s="4" t="s">
        <v>773</v>
      </c>
      <c r="AE132" s="4">
        <v>14.4</v>
      </c>
    </row>
    <row r="133" spans="1:31" x14ac:dyDescent="0.25">
      <c r="A133" s="4"/>
      <c r="B133" s="5" t="s">
        <v>774</v>
      </c>
      <c r="C133" s="4"/>
      <c r="D133" s="4">
        <v>12</v>
      </c>
      <c r="E133" s="4">
        <v>1</v>
      </c>
      <c r="F133" s="4">
        <v>88.9</v>
      </c>
      <c r="G133" s="4">
        <v>63.5</v>
      </c>
      <c r="H133" s="4">
        <v>7.94</v>
      </c>
      <c r="I133" s="4">
        <v>13.7</v>
      </c>
      <c r="J133" s="4">
        <v>8</v>
      </c>
      <c r="K133" s="4">
        <v>11.2</v>
      </c>
      <c r="L133" s="4">
        <v>18</v>
      </c>
      <c r="M133" s="4">
        <v>0.501</v>
      </c>
      <c r="N133" s="4">
        <v>18</v>
      </c>
      <c r="O133" s="4">
        <v>2290</v>
      </c>
      <c r="P133" s="4">
        <v>1.82</v>
      </c>
      <c r="Q133" s="4">
        <v>30.4</v>
      </c>
      <c r="R133" s="4">
        <v>28.2</v>
      </c>
      <c r="S133" s="4">
        <v>28.9</v>
      </c>
      <c r="T133" s="4">
        <v>24.5</v>
      </c>
      <c r="U133" s="4">
        <v>27.4</v>
      </c>
      <c r="V133" s="4">
        <v>28.1</v>
      </c>
      <c r="W133" s="4">
        <v>28.9</v>
      </c>
      <c r="X133" s="4">
        <v>30.4</v>
      </c>
      <c r="Y133" s="4">
        <v>32</v>
      </c>
      <c r="Z133" s="4">
        <v>24.9</v>
      </c>
      <c r="AA133" s="4">
        <v>48.2</v>
      </c>
      <c r="AB133" s="4">
        <v>2.29E-2</v>
      </c>
      <c r="AC133" s="4">
        <v>0.61</v>
      </c>
      <c r="AD133" s="4" t="s">
        <v>775</v>
      </c>
      <c r="AE133" s="4">
        <v>12.1</v>
      </c>
    </row>
    <row r="134" spans="1:31" x14ac:dyDescent="0.25">
      <c r="A134" s="4"/>
      <c r="B134" s="5" t="s">
        <v>776</v>
      </c>
      <c r="C134" s="4"/>
      <c r="D134" s="4">
        <v>12</v>
      </c>
      <c r="E134" s="4">
        <v>1</v>
      </c>
      <c r="F134" s="4">
        <v>88.9</v>
      </c>
      <c r="G134" s="4">
        <v>63.5</v>
      </c>
      <c r="H134" s="4">
        <v>6.35</v>
      </c>
      <c r="I134" s="4">
        <v>13.8</v>
      </c>
      <c r="J134" s="4">
        <v>10</v>
      </c>
      <c r="K134" s="4">
        <v>14</v>
      </c>
      <c r="L134" s="4">
        <v>18</v>
      </c>
      <c r="M134" s="4">
        <v>0.50600000000000001</v>
      </c>
      <c r="N134" s="4">
        <v>14.6</v>
      </c>
      <c r="O134" s="4">
        <v>1850</v>
      </c>
      <c r="P134" s="4">
        <v>1.5</v>
      </c>
      <c r="Q134" s="4">
        <v>24.7</v>
      </c>
      <c r="R134" s="4">
        <v>28.4</v>
      </c>
      <c r="S134" s="4">
        <v>28.3</v>
      </c>
      <c r="T134" s="4">
        <v>24.3</v>
      </c>
      <c r="U134" s="4">
        <v>27.1</v>
      </c>
      <c r="V134" s="4">
        <v>27.8</v>
      </c>
      <c r="W134" s="4">
        <v>28.6</v>
      </c>
      <c r="X134" s="4">
        <v>30.1</v>
      </c>
      <c r="Y134" s="4">
        <v>31.7</v>
      </c>
      <c r="Z134" s="4">
        <v>25.1</v>
      </c>
      <c r="AA134" s="4">
        <v>24.9</v>
      </c>
      <c r="AB134" s="4">
        <v>1.21E-2</v>
      </c>
      <c r="AC134" s="4">
        <v>0.61</v>
      </c>
      <c r="AD134" s="4" t="s">
        <v>777</v>
      </c>
      <c r="AE134" s="4">
        <v>9.7799999999999994</v>
      </c>
    </row>
    <row r="135" spans="1:31" x14ac:dyDescent="0.25">
      <c r="A135" s="4" t="s">
        <v>59</v>
      </c>
      <c r="B135" s="5" t="s">
        <v>778</v>
      </c>
      <c r="C135" s="4" t="s">
        <v>59</v>
      </c>
      <c r="D135" s="4">
        <v>12</v>
      </c>
      <c r="E135" s="4">
        <v>1</v>
      </c>
      <c r="F135" s="4">
        <v>76.2</v>
      </c>
      <c r="G135" s="4">
        <v>63.5</v>
      </c>
      <c r="H135" s="4">
        <v>12.7</v>
      </c>
      <c r="I135" s="4">
        <v>13.2</v>
      </c>
      <c r="J135" s="4">
        <v>5</v>
      </c>
      <c r="K135" s="4">
        <v>6</v>
      </c>
      <c r="L135" s="4">
        <v>24</v>
      </c>
      <c r="M135" s="4">
        <v>0.66700000000000004</v>
      </c>
      <c r="N135" s="4">
        <v>25.3</v>
      </c>
      <c r="O135" s="4">
        <v>3230</v>
      </c>
      <c r="P135" s="4">
        <v>1.73</v>
      </c>
      <c r="Q135" s="4">
        <v>34.1</v>
      </c>
      <c r="R135" s="4">
        <v>23.2</v>
      </c>
      <c r="S135" s="4">
        <v>25.4</v>
      </c>
      <c r="T135" s="4">
        <v>26.4</v>
      </c>
      <c r="U135" s="4">
        <v>29.5</v>
      </c>
      <c r="V135" s="4">
        <v>30.2</v>
      </c>
      <c r="W135" s="4">
        <v>31</v>
      </c>
      <c r="X135" s="4">
        <v>32.700000000000003</v>
      </c>
      <c r="Y135" s="4">
        <v>34.4</v>
      </c>
      <c r="Z135" s="4">
        <v>19.100000000000001</v>
      </c>
      <c r="AA135" s="4">
        <v>173</v>
      </c>
      <c r="AB135" s="4">
        <v>0.06</v>
      </c>
      <c r="AC135" s="4">
        <v>0.55900000000000005</v>
      </c>
      <c r="AD135" s="4" t="s">
        <v>779</v>
      </c>
      <c r="AE135" s="4">
        <v>17</v>
      </c>
    </row>
    <row r="136" spans="1:31" x14ac:dyDescent="0.25">
      <c r="A136" s="4"/>
      <c r="B136" s="5" t="s">
        <v>780</v>
      </c>
      <c r="C136" s="4"/>
      <c r="D136" s="4">
        <v>12</v>
      </c>
      <c r="E136" s="4">
        <v>1</v>
      </c>
      <c r="F136" s="4">
        <v>76.2</v>
      </c>
      <c r="G136" s="4">
        <v>63.5</v>
      </c>
      <c r="H136" s="4">
        <v>9.5299999999999994</v>
      </c>
      <c r="I136" s="4">
        <v>13.3</v>
      </c>
      <c r="J136" s="4">
        <v>6.66</v>
      </c>
      <c r="K136" s="4">
        <v>8</v>
      </c>
      <c r="L136" s="4">
        <v>20</v>
      </c>
      <c r="M136" s="4">
        <v>0.67600000000000005</v>
      </c>
      <c r="N136" s="4">
        <v>19.5</v>
      </c>
      <c r="O136" s="4">
        <v>2480</v>
      </c>
      <c r="P136" s="4">
        <v>1.38</v>
      </c>
      <c r="Q136" s="4">
        <v>26.6</v>
      </c>
      <c r="R136" s="4">
        <v>23.6</v>
      </c>
      <c r="S136" s="4">
        <v>24.3</v>
      </c>
      <c r="T136" s="4">
        <v>25.9</v>
      </c>
      <c r="U136" s="4">
        <v>28.8</v>
      </c>
      <c r="V136" s="4">
        <v>29.6</v>
      </c>
      <c r="W136" s="4">
        <v>30.4</v>
      </c>
      <c r="X136" s="4">
        <v>32</v>
      </c>
      <c r="Y136" s="4">
        <v>33.6</v>
      </c>
      <c r="Z136" s="4">
        <v>19.5</v>
      </c>
      <c r="AA136" s="4">
        <v>75.099999999999994</v>
      </c>
      <c r="AB136" s="4">
        <v>2.7300000000000001E-2</v>
      </c>
      <c r="AC136" s="4">
        <v>0.55900000000000005</v>
      </c>
      <c r="AD136" s="4" t="s">
        <v>781</v>
      </c>
      <c r="AE136" s="4">
        <v>13.1</v>
      </c>
    </row>
    <row r="137" spans="1:31" x14ac:dyDescent="0.25">
      <c r="A137" s="4"/>
      <c r="B137" s="5" t="s">
        <v>782</v>
      </c>
      <c r="C137" s="4"/>
      <c r="D137" s="4">
        <v>12</v>
      </c>
      <c r="E137" s="4">
        <v>1</v>
      </c>
      <c r="F137" s="4">
        <v>76.2</v>
      </c>
      <c r="G137" s="4">
        <v>63.5</v>
      </c>
      <c r="H137" s="4">
        <v>7.94</v>
      </c>
      <c r="I137" s="4">
        <v>13.3</v>
      </c>
      <c r="J137" s="4">
        <v>8</v>
      </c>
      <c r="K137" s="4">
        <v>9.6</v>
      </c>
      <c r="L137" s="4">
        <v>18</v>
      </c>
      <c r="M137" s="4">
        <v>0.68</v>
      </c>
      <c r="N137" s="4">
        <v>16.399999999999999</v>
      </c>
      <c r="O137" s="4">
        <v>2090</v>
      </c>
      <c r="P137" s="4">
        <v>1.18</v>
      </c>
      <c r="Q137" s="4">
        <v>22.6</v>
      </c>
      <c r="R137" s="4">
        <v>23.8</v>
      </c>
      <c r="S137" s="4">
        <v>23.7</v>
      </c>
      <c r="T137" s="4">
        <v>25.7</v>
      </c>
      <c r="U137" s="4">
        <v>28.5</v>
      </c>
      <c r="V137" s="4">
        <v>29.3</v>
      </c>
      <c r="W137" s="4">
        <v>30</v>
      </c>
      <c r="X137" s="4">
        <v>31.6</v>
      </c>
      <c r="Y137" s="4">
        <v>33.299999999999997</v>
      </c>
      <c r="Z137" s="4">
        <v>19.7</v>
      </c>
      <c r="AA137" s="4">
        <v>44</v>
      </c>
      <c r="AB137" s="4">
        <v>1.6299999999999999E-2</v>
      </c>
      <c r="AC137" s="4">
        <v>0.55900000000000005</v>
      </c>
      <c r="AD137" s="4" t="s">
        <v>783</v>
      </c>
      <c r="AE137" s="4">
        <v>11</v>
      </c>
    </row>
    <row r="138" spans="1:31" x14ac:dyDescent="0.25">
      <c r="A138" s="4"/>
      <c r="B138" s="5" t="s">
        <v>784</v>
      </c>
      <c r="C138" s="4"/>
      <c r="D138" s="4">
        <v>12</v>
      </c>
      <c r="E138" s="4">
        <v>1</v>
      </c>
      <c r="F138" s="4">
        <v>76.2</v>
      </c>
      <c r="G138" s="4">
        <v>63.5</v>
      </c>
      <c r="H138" s="4">
        <v>6.35</v>
      </c>
      <c r="I138" s="4">
        <v>13.4</v>
      </c>
      <c r="J138" s="4">
        <v>10</v>
      </c>
      <c r="K138" s="4">
        <v>12</v>
      </c>
      <c r="L138" s="4">
        <v>18</v>
      </c>
      <c r="M138" s="4">
        <v>0.68400000000000005</v>
      </c>
      <c r="N138" s="4">
        <v>13.3</v>
      </c>
      <c r="O138" s="4">
        <v>1690</v>
      </c>
      <c r="P138" s="4">
        <v>0.97699999999999998</v>
      </c>
      <c r="Q138" s="4">
        <v>18.399999999999999</v>
      </c>
      <c r="R138" s="4">
        <v>24</v>
      </c>
      <c r="S138" s="4">
        <v>23.1</v>
      </c>
      <c r="T138" s="4">
        <v>25.4</v>
      </c>
      <c r="U138" s="4">
        <v>28.2</v>
      </c>
      <c r="V138" s="4">
        <v>29</v>
      </c>
      <c r="W138" s="4">
        <v>29.7</v>
      </c>
      <c r="X138" s="4">
        <v>31.3</v>
      </c>
      <c r="Y138" s="4">
        <v>32.9</v>
      </c>
      <c r="Z138" s="4">
        <v>20</v>
      </c>
      <c r="AA138" s="4">
        <v>22.8</v>
      </c>
      <c r="AB138" s="4">
        <v>8.6599999999999993E-3</v>
      </c>
      <c r="AC138" s="4">
        <v>0.55900000000000005</v>
      </c>
      <c r="AD138" s="4" t="s">
        <v>785</v>
      </c>
      <c r="AE138" s="4">
        <v>8.93</v>
      </c>
    </row>
    <row r="139" spans="1:31" x14ac:dyDescent="0.25">
      <c r="A139" s="4"/>
      <c r="B139" s="5" t="s">
        <v>786</v>
      </c>
      <c r="C139" s="4" t="s">
        <v>59</v>
      </c>
      <c r="D139" s="4">
        <v>12</v>
      </c>
      <c r="E139" s="4">
        <v>1</v>
      </c>
      <c r="F139" s="4">
        <v>76.2</v>
      </c>
      <c r="G139" s="4">
        <v>63.5</v>
      </c>
      <c r="H139" s="4">
        <v>4.76</v>
      </c>
      <c r="I139" s="4">
        <v>13.5</v>
      </c>
      <c r="J139" s="4">
        <v>13.3</v>
      </c>
      <c r="K139" s="4">
        <v>16</v>
      </c>
      <c r="L139" s="4">
        <v>16</v>
      </c>
      <c r="M139" s="4">
        <v>0.68799999999999994</v>
      </c>
      <c r="N139" s="4">
        <v>10.1</v>
      </c>
      <c r="O139" s="4">
        <v>1280</v>
      </c>
      <c r="P139" s="4">
        <v>0.755</v>
      </c>
      <c r="Q139" s="4">
        <v>14.1</v>
      </c>
      <c r="R139" s="4">
        <v>24.2</v>
      </c>
      <c r="S139" s="4">
        <v>22.6</v>
      </c>
      <c r="T139" s="4">
        <v>25.2</v>
      </c>
      <c r="U139" s="4">
        <v>28</v>
      </c>
      <c r="V139" s="4">
        <v>28.7</v>
      </c>
      <c r="W139" s="4">
        <v>29.4</v>
      </c>
      <c r="X139" s="4">
        <v>31</v>
      </c>
      <c r="Y139" s="4">
        <v>32.6</v>
      </c>
      <c r="Z139" s="4">
        <v>20.2</v>
      </c>
      <c r="AA139" s="4">
        <v>9.6999999999999993</v>
      </c>
      <c r="AB139" s="4">
        <v>3.7799999999999999E-3</v>
      </c>
      <c r="AC139" s="4">
        <v>0.55900000000000005</v>
      </c>
      <c r="AD139" s="4" t="s">
        <v>787</v>
      </c>
      <c r="AE139" s="4">
        <v>6.78</v>
      </c>
    </row>
    <row r="140" spans="1:31" x14ac:dyDescent="0.25">
      <c r="A140" s="4" t="s">
        <v>59</v>
      </c>
      <c r="B140" s="5" t="s">
        <v>788</v>
      </c>
      <c r="C140" s="4"/>
      <c r="D140" s="4">
        <v>12</v>
      </c>
      <c r="E140" s="4">
        <v>1</v>
      </c>
      <c r="F140" s="4">
        <v>76.2</v>
      </c>
      <c r="G140" s="4">
        <v>50.8</v>
      </c>
      <c r="H140" s="4">
        <v>12.7</v>
      </c>
      <c r="I140" s="4">
        <v>10.9</v>
      </c>
      <c r="J140" s="4">
        <v>4</v>
      </c>
      <c r="K140" s="4">
        <v>6</v>
      </c>
      <c r="L140" s="4">
        <v>22</v>
      </c>
      <c r="M140" s="4">
        <v>0.41399999999999998</v>
      </c>
      <c r="N140" s="4">
        <v>22.8</v>
      </c>
      <c r="O140" s="4">
        <v>2900</v>
      </c>
      <c r="P140" s="4">
        <v>1.6</v>
      </c>
      <c r="Q140" s="4">
        <v>32.9</v>
      </c>
      <c r="R140" s="4">
        <v>23.5</v>
      </c>
      <c r="S140" s="4">
        <v>27.5</v>
      </c>
      <c r="T140" s="4">
        <v>20.3</v>
      </c>
      <c r="U140" s="4">
        <v>23.4</v>
      </c>
      <c r="V140" s="4">
        <v>24.2</v>
      </c>
      <c r="W140" s="4">
        <v>25</v>
      </c>
      <c r="X140" s="4">
        <v>26.7</v>
      </c>
      <c r="Y140" s="4">
        <v>28.4</v>
      </c>
      <c r="Z140" s="4">
        <v>21.2</v>
      </c>
      <c r="AA140" s="4">
        <v>156</v>
      </c>
      <c r="AB140" s="4">
        <v>4.8800000000000003E-2</v>
      </c>
      <c r="AC140" s="4">
        <v>0.50800000000000001</v>
      </c>
      <c r="AD140" s="4" t="s">
        <v>789</v>
      </c>
      <c r="AE140" s="4">
        <v>15.3</v>
      </c>
    </row>
    <row r="141" spans="1:31" x14ac:dyDescent="0.25">
      <c r="A141" s="4"/>
      <c r="B141" s="5" t="s">
        <v>790</v>
      </c>
      <c r="C141" s="4"/>
      <c r="D141" s="4">
        <v>12</v>
      </c>
      <c r="E141" s="4">
        <v>1</v>
      </c>
      <c r="F141" s="4">
        <v>76.2</v>
      </c>
      <c r="G141" s="4">
        <v>50.8</v>
      </c>
      <c r="H141" s="4">
        <v>9.5299999999999994</v>
      </c>
      <c r="I141" s="4">
        <v>10.9</v>
      </c>
      <c r="J141" s="4">
        <v>5.33</v>
      </c>
      <c r="K141" s="4">
        <v>8</v>
      </c>
      <c r="L141" s="4">
        <v>18</v>
      </c>
      <c r="M141" s="4">
        <v>0.42799999999999999</v>
      </c>
      <c r="N141" s="4">
        <v>17.600000000000001</v>
      </c>
      <c r="O141" s="4">
        <v>2240</v>
      </c>
      <c r="P141" s="4">
        <v>1.28</v>
      </c>
      <c r="Q141" s="4">
        <v>25.6</v>
      </c>
      <c r="R141" s="4">
        <v>23.9</v>
      </c>
      <c r="S141" s="4">
        <v>26.4</v>
      </c>
      <c r="T141" s="4">
        <v>19.7</v>
      </c>
      <c r="U141" s="4">
        <v>22.7</v>
      </c>
      <c r="V141" s="4">
        <v>23.5</v>
      </c>
      <c r="W141" s="4">
        <v>24.3</v>
      </c>
      <c r="X141" s="4">
        <v>25.9</v>
      </c>
      <c r="Y141" s="4">
        <v>27.6</v>
      </c>
      <c r="Z141" s="4">
        <v>21.6</v>
      </c>
      <c r="AA141" s="4">
        <v>67.8</v>
      </c>
      <c r="AB141" s="4">
        <v>2.2200000000000001E-2</v>
      </c>
      <c r="AC141" s="4">
        <v>0.50800000000000001</v>
      </c>
      <c r="AD141" s="4" t="s">
        <v>791</v>
      </c>
      <c r="AE141" s="4">
        <v>11.8</v>
      </c>
    </row>
    <row r="142" spans="1:31" x14ac:dyDescent="0.25">
      <c r="A142" s="4"/>
      <c r="B142" s="5" t="s">
        <v>792</v>
      </c>
      <c r="C142" s="4"/>
      <c r="D142" s="4">
        <v>12</v>
      </c>
      <c r="E142" s="4">
        <v>1</v>
      </c>
      <c r="F142" s="4">
        <v>76.2</v>
      </c>
      <c r="G142" s="4">
        <v>50.8</v>
      </c>
      <c r="H142" s="4">
        <v>7.94</v>
      </c>
      <c r="I142" s="4">
        <v>11</v>
      </c>
      <c r="J142" s="4">
        <v>6.4</v>
      </c>
      <c r="K142" s="4">
        <v>9.6</v>
      </c>
      <c r="L142" s="4">
        <v>16</v>
      </c>
      <c r="M142" s="4">
        <v>0.435</v>
      </c>
      <c r="N142" s="4">
        <v>14.8</v>
      </c>
      <c r="O142" s="4">
        <v>1890</v>
      </c>
      <c r="P142" s="4">
        <v>1.1000000000000001</v>
      </c>
      <c r="Q142" s="4">
        <v>21.8</v>
      </c>
      <c r="R142" s="4">
        <v>24.1</v>
      </c>
      <c r="S142" s="4">
        <v>25.8</v>
      </c>
      <c r="T142" s="4">
        <v>19.5</v>
      </c>
      <c r="U142" s="4">
        <v>22.4</v>
      </c>
      <c r="V142" s="4">
        <v>23.1</v>
      </c>
      <c r="W142" s="4">
        <v>23.9</v>
      </c>
      <c r="X142" s="4">
        <v>25.6</v>
      </c>
      <c r="Y142" s="4">
        <v>27.2</v>
      </c>
      <c r="Z142" s="4">
        <v>21.8</v>
      </c>
      <c r="AA142" s="4">
        <v>39.700000000000003</v>
      </c>
      <c r="AB142" s="4">
        <v>1.3299999999999999E-2</v>
      </c>
      <c r="AC142" s="4">
        <v>0.50800000000000001</v>
      </c>
      <c r="AD142" s="4" t="s">
        <v>793</v>
      </c>
      <c r="AE142" s="4">
        <v>9.9700000000000006</v>
      </c>
    </row>
    <row r="143" spans="1:31" x14ac:dyDescent="0.25">
      <c r="A143" s="4"/>
      <c r="B143" s="5" t="s">
        <v>794</v>
      </c>
      <c r="C143" s="4"/>
      <c r="D143" s="4">
        <v>12</v>
      </c>
      <c r="E143" s="4">
        <v>1</v>
      </c>
      <c r="F143" s="4">
        <v>76.2</v>
      </c>
      <c r="G143" s="4">
        <v>50.8</v>
      </c>
      <c r="H143" s="4">
        <v>6.35</v>
      </c>
      <c r="I143" s="4">
        <v>11</v>
      </c>
      <c r="J143" s="4">
        <v>8</v>
      </c>
      <c r="K143" s="4">
        <v>12</v>
      </c>
      <c r="L143" s="4">
        <v>16</v>
      </c>
      <c r="M143" s="4">
        <v>0.44</v>
      </c>
      <c r="N143" s="4">
        <v>12</v>
      </c>
      <c r="O143" s="4">
        <v>1530</v>
      </c>
      <c r="P143" s="4">
        <v>0.90500000000000003</v>
      </c>
      <c r="Q143" s="4">
        <v>17.8</v>
      </c>
      <c r="R143" s="4">
        <v>24.3</v>
      </c>
      <c r="S143" s="4">
        <v>25.2</v>
      </c>
      <c r="T143" s="4">
        <v>19.2</v>
      </c>
      <c r="U143" s="4">
        <v>22.1</v>
      </c>
      <c r="V143" s="4">
        <v>22.8</v>
      </c>
      <c r="W143" s="4">
        <v>23.6</v>
      </c>
      <c r="X143" s="4">
        <v>25.2</v>
      </c>
      <c r="Y143" s="4">
        <v>26.8</v>
      </c>
      <c r="Z143" s="4">
        <v>22.1</v>
      </c>
      <c r="AA143" s="4">
        <v>20.6</v>
      </c>
      <c r="AB143" s="4">
        <v>7.0800000000000004E-3</v>
      </c>
      <c r="AC143" s="4">
        <v>0.50800000000000001</v>
      </c>
      <c r="AD143" s="4" t="s">
        <v>795</v>
      </c>
      <c r="AE143" s="4">
        <v>8.08</v>
      </c>
    </row>
    <row r="144" spans="1:31" x14ac:dyDescent="0.25">
      <c r="A144" s="4"/>
      <c r="B144" s="5" t="s">
        <v>796</v>
      </c>
      <c r="C144" s="4"/>
      <c r="D144" s="4">
        <v>12</v>
      </c>
      <c r="E144" s="4">
        <v>1</v>
      </c>
      <c r="F144" s="4">
        <v>76.2</v>
      </c>
      <c r="G144" s="4">
        <v>50.8</v>
      </c>
      <c r="H144" s="4">
        <v>4.76</v>
      </c>
      <c r="I144" s="4">
        <v>11.1</v>
      </c>
      <c r="J144" s="4">
        <v>10.7</v>
      </c>
      <c r="K144" s="4">
        <v>16</v>
      </c>
      <c r="L144" s="4">
        <v>14</v>
      </c>
      <c r="M144" s="4">
        <v>0.44600000000000001</v>
      </c>
      <c r="N144" s="4">
        <v>9.14</v>
      </c>
      <c r="O144" s="4">
        <v>1160</v>
      </c>
      <c r="P144" s="4">
        <v>0.7</v>
      </c>
      <c r="Q144" s="4">
        <v>13.6</v>
      </c>
      <c r="R144" s="4">
        <v>24.5</v>
      </c>
      <c r="S144" s="4">
        <v>24.6</v>
      </c>
      <c r="T144" s="4">
        <v>19</v>
      </c>
      <c r="U144" s="4">
        <v>21.8</v>
      </c>
      <c r="V144" s="4">
        <v>22.5</v>
      </c>
      <c r="W144" s="4">
        <v>23.3</v>
      </c>
      <c r="X144" s="4">
        <v>24.8</v>
      </c>
      <c r="Y144" s="4">
        <v>26.5</v>
      </c>
      <c r="Z144" s="4">
        <v>22.3</v>
      </c>
      <c r="AA144" s="4">
        <v>8.7899999999999991</v>
      </c>
      <c r="AB144" s="4">
        <v>3.0899999999999999E-3</v>
      </c>
      <c r="AC144" s="4">
        <v>0.50800000000000001</v>
      </c>
      <c r="AD144" s="4" t="s">
        <v>797</v>
      </c>
      <c r="AE144" s="4">
        <v>6.14</v>
      </c>
    </row>
    <row r="145" spans="1:31" x14ac:dyDescent="0.25">
      <c r="A145" s="4" t="s">
        <v>59</v>
      </c>
      <c r="B145" s="5" t="s">
        <v>798</v>
      </c>
      <c r="C145" s="4"/>
      <c r="D145" s="4">
        <v>12</v>
      </c>
      <c r="E145" s="4">
        <v>1</v>
      </c>
      <c r="F145" s="4">
        <v>63.5</v>
      </c>
      <c r="G145" s="4">
        <v>50.8</v>
      </c>
      <c r="H145" s="4">
        <v>9.5299999999999994</v>
      </c>
      <c r="I145" s="4">
        <v>10.7</v>
      </c>
      <c r="J145" s="4">
        <v>5.33</v>
      </c>
      <c r="K145" s="4">
        <v>6.66</v>
      </c>
      <c r="L145" s="4">
        <v>16</v>
      </c>
      <c r="M145" s="4">
        <v>0.61399999999999999</v>
      </c>
      <c r="N145" s="4">
        <v>15.7</v>
      </c>
      <c r="O145" s="4">
        <v>2000</v>
      </c>
      <c r="P145" s="4">
        <v>0.76</v>
      </c>
      <c r="Q145" s="4">
        <v>17.899999999999999</v>
      </c>
      <c r="R145" s="4">
        <v>19.5</v>
      </c>
      <c r="S145" s="4">
        <v>21.1</v>
      </c>
      <c r="T145" s="4">
        <v>20.8</v>
      </c>
      <c r="U145" s="4">
        <v>23.8</v>
      </c>
      <c r="V145" s="4">
        <v>24.6</v>
      </c>
      <c r="W145" s="4">
        <v>25.4</v>
      </c>
      <c r="X145" s="4">
        <v>27.1</v>
      </c>
      <c r="Y145" s="4">
        <v>28.8</v>
      </c>
      <c r="Z145" s="4">
        <v>16.399999999999999</v>
      </c>
      <c r="AA145" s="4">
        <v>60.5</v>
      </c>
      <c r="AB145" s="4">
        <v>1.44E-2</v>
      </c>
      <c r="AC145" s="4">
        <v>0.45700000000000002</v>
      </c>
      <c r="AD145" s="4" t="s">
        <v>799</v>
      </c>
      <c r="AE145" s="4">
        <v>10.5</v>
      </c>
    </row>
    <row r="146" spans="1:31" x14ac:dyDescent="0.25">
      <c r="A146" s="4"/>
      <c r="B146" s="5" t="s">
        <v>800</v>
      </c>
      <c r="C146" s="4"/>
      <c r="D146" s="4">
        <v>12</v>
      </c>
      <c r="E146" s="4">
        <v>1</v>
      </c>
      <c r="F146" s="4">
        <v>63.5</v>
      </c>
      <c r="G146" s="4">
        <v>50.8</v>
      </c>
      <c r="H146" s="4">
        <v>7.94</v>
      </c>
      <c r="I146" s="4">
        <v>10.7</v>
      </c>
      <c r="J146" s="4">
        <v>6.4</v>
      </c>
      <c r="K146" s="4">
        <v>8</v>
      </c>
      <c r="L146" s="4">
        <v>14</v>
      </c>
      <c r="M146" s="4">
        <v>0.62</v>
      </c>
      <c r="N146" s="4">
        <v>13.3</v>
      </c>
      <c r="O146" s="4">
        <v>1690</v>
      </c>
      <c r="P146" s="4">
        <v>0.65600000000000003</v>
      </c>
      <c r="Q146" s="4">
        <v>15.3</v>
      </c>
      <c r="R146" s="4">
        <v>19.7</v>
      </c>
      <c r="S146" s="4">
        <v>20.6</v>
      </c>
      <c r="T146" s="4">
        <v>20.5</v>
      </c>
      <c r="U146" s="4">
        <v>23.5</v>
      </c>
      <c r="V146" s="4">
        <v>24.3</v>
      </c>
      <c r="W146" s="4">
        <v>25.1</v>
      </c>
      <c r="X146" s="4">
        <v>26.7</v>
      </c>
      <c r="Y146" s="4">
        <v>28.4</v>
      </c>
      <c r="Z146" s="4">
        <v>16.600000000000001</v>
      </c>
      <c r="AA146" s="4">
        <v>35.5</v>
      </c>
      <c r="AB146" s="4">
        <v>8.7200000000000003E-3</v>
      </c>
      <c r="AC146" s="4">
        <v>0.45700000000000002</v>
      </c>
      <c r="AD146" s="4" t="s">
        <v>801</v>
      </c>
      <c r="AE146" s="4">
        <v>8.91</v>
      </c>
    </row>
    <row r="147" spans="1:31" x14ac:dyDescent="0.25">
      <c r="A147" s="4"/>
      <c r="B147" s="5" t="s">
        <v>802</v>
      </c>
      <c r="C147" s="4"/>
      <c r="D147" s="4">
        <v>12</v>
      </c>
      <c r="E147" s="4">
        <v>1</v>
      </c>
      <c r="F147" s="4">
        <v>63.5</v>
      </c>
      <c r="G147" s="4">
        <v>50.8</v>
      </c>
      <c r="H147" s="4">
        <v>6.35</v>
      </c>
      <c r="I147" s="4">
        <v>10.8</v>
      </c>
      <c r="J147" s="4">
        <v>8</v>
      </c>
      <c r="K147" s="4">
        <v>10</v>
      </c>
      <c r="L147" s="4">
        <v>14</v>
      </c>
      <c r="M147" s="4">
        <v>0.626</v>
      </c>
      <c r="N147" s="4">
        <v>10.8</v>
      </c>
      <c r="O147" s="4">
        <v>1370</v>
      </c>
      <c r="P147" s="4">
        <v>0.54400000000000004</v>
      </c>
      <c r="Q147" s="4">
        <v>12.5</v>
      </c>
      <c r="R147" s="4">
        <v>19.899999999999999</v>
      </c>
      <c r="S147" s="4">
        <v>20</v>
      </c>
      <c r="T147" s="4">
        <v>20.3</v>
      </c>
      <c r="U147" s="4">
        <v>23.2</v>
      </c>
      <c r="V147" s="4">
        <v>23.9</v>
      </c>
      <c r="W147" s="4">
        <v>24.7</v>
      </c>
      <c r="X147" s="4">
        <v>26.3</v>
      </c>
      <c r="Y147" s="4">
        <v>28</v>
      </c>
      <c r="Z147" s="4">
        <v>16.8</v>
      </c>
      <c r="AA147" s="4">
        <v>18.399999999999999</v>
      </c>
      <c r="AB147" s="4">
        <v>4.6600000000000001E-3</v>
      </c>
      <c r="AC147" s="4">
        <v>0.45700000000000002</v>
      </c>
      <c r="AD147" s="4" t="s">
        <v>803</v>
      </c>
      <c r="AE147" s="4">
        <v>7.23</v>
      </c>
    </row>
    <row r="148" spans="1:31" x14ac:dyDescent="0.25">
      <c r="A148" s="4"/>
      <c r="B148" s="5" t="s">
        <v>804</v>
      </c>
      <c r="C148" s="4"/>
      <c r="D148" s="4">
        <v>12</v>
      </c>
      <c r="E148" s="4">
        <v>1</v>
      </c>
      <c r="F148" s="4">
        <v>63.5</v>
      </c>
      <c r="G148" s="4">
        <v>50.8</v>
      </c>
      <c r="H148" s="4">
        <v>4.76</v>
      </c>
      <c r="I148" s="4">
        <v>10.9</v>
      </c>
      <c r="J148" s="4">
        <v>10.7</v>
      </c>
      <c r="K148" s="4">
        <v>13.3</v>
      </c>
      <c r="L148" s="4">
        <v>12</v>
      </c>
      <c r="M148" s="4">
        <v>0.63100000000000001</v>
      </c>
      <c r="N148" s="4">
        <v>8.19</v>
      </c>
      <c r="O148" s="4">
        <v>1040</v>
      </c>
      <c r="P148" s="4">
        <v>0.42299999999999999</v>
      </c>
      <c r="Q148" s="4">
        <v>9.6</v>
      </c>
      <c r="R148" s="4">
        <v>20.100000000000001</v>
      </c>
      <c r="S148" s="4">
        <v>19.399999999999999</v>
      </c>
      <c r="T148" s="4">
        <v>20.100000000000001</v>
      </c>
      <c r="U148" s="4">
        <v>22.9</v>
      </c>
      <c r="V148" s="4">
        <v>23.6</v>
      </c>
      <c r="W148" s="4">
        <v>24.4</v>
      </c>
      <c r="X148" s="4">
        <v>26</v>
      </c>
      <c r="Y148" s="4">
        <v>27.6</v>
      </c>
      <c r="Z148" s="4">
        <v>17</v>
      </c>
      <c r="AA148" s="4">
        <v>7.88</v>
      </c>
      <c r="AB148" s="4">
        <v>2.0500000000000002E-3</v>
      </c>
      <c r="AC148" s="4">
        <v>0.45700000000000002</v>
      </c>
      <c r="AD148" s="4" t="s">
        <v>805</v>
      </c>
      <c r="AE148" s="4">
        <v>5.5</v>
      </c>
    </row>
    <row r="149" spans="1:31" x14ac:dyDescent="0.25">
      <c r="A149" s="4" t="s">
        <v>59</v>
      </c>
      <c r="B149" s="5" t="s">
        <v>806</v>
      </c>
      <c r="C149" s="4"/>
      <c r="D149" s="4">
        <v>12</v>
      </c>
      <c r="E149" s="4">
        <v>1</v>
      </c>
      <c r="F149" s="4">
        <v>50.8</v>
      </c>
      <c r="G149" s="4">
        <v>38.1</v>
      </c>
      <c r="H149" s="4">
        <v>6.35</v>
      </c>
      <c r="I149" s="4">
        <v>8.1199999999999992</v>
      </c>
      <c r="J149" s="4">
        <v>6</v>
      </c>
      <c r="K149" s="4">
        <v>8</v>
      </c>
      <c r="L149" s="4">
        <v>14</v>
      </c>
      <c r="M149" s="4">
        <v>0.54300000000000004</v>
      </c>
      <c r="N149" s="4">
        <v>8.23</v>
      </c>
      <c r="O149" s="4">
        <v>1050</v>
      </c>
      <c r="P149" s="4">
        <v>0.26300000000000001</v>
      </c>
      <c r="Q149" s="4">
        <v>7.74</v>
      </c>
      <c r="R149" s="4">
        <v>15.8</v>
      </c>
      <c r="S149" s="4">
        <v>16.899999999999999</v>
      </c>
      <c r="T149" s="4">
        <v>15.2</v>
      </c>
      <c r="U149" s="4">
        <v>18.2</v>
      </c>
      <c r="V149" s="4">
        <v>19</v>
      </c>
      <c r="W149" s="4">
        <v>19.8</v>
      </c>
      <c r="X149" s="4">
        <v>21.5</v>
      </c>
      <c r="Y149" s="4">
        <v>23.3</v>
      </c>
      <c r="Z149" s="4">
        <v>13.7</v>
      </c>
      <c r="AA149" s="4">
        <v>14.1</v>
      </c>
      <c r="AB149" s="4">
        <v>2.14E-3</v>
      </c>
      <c r="AC149" s="4">
        <v>0.35599999999999998</v>
      </c>
      <c r="AD149" s="4" t="s">
        <v>807</v>
      </c>
      <c r="AE149" s="4">
        <v>5.53</v>
      </c>
    </row>
    <row r="150" spans="1:31" x14ac:dyDescent="0.25">
      <c r="A150" s="4"/>
      <c r="B150" s="5" t="s">
        <v>808</v>
      </c>
      <c r="C150" s="4"/>
      <c r="D150" s="4">
        <v>12</v>
      </c>
      <c r="E150" s="4">
        <v>1</v>
      </c>
      <c r="F150" s="4">
        <v>50.8</v>
      </c>
      <c r="G150" s="4">
        <v>38.1</v>
      </c>
      <c r="H150" s="4">
        <v>4.76</v>
      </c>
      <c r="I150" s="4">
        <v>8.18</v>
      </c>
      <c r="J150" s="4">
        <v>8</v>
      </c>
      <c r="K150" s="4">
        <v>10.7</v>
      </c>
      <c r="L150" s="4">
        <v>12</v>
      </c>
      <c r="M150" s="4">
        <v>0.55100000000000005</v>
      </c>
      <c r="N150" s="4">
        <v>6.29</v>
      </c>
      <c r="O150" s="4">
        <v>801</v>
      </c>
      <c r="P150" s="4">
        <v>0.20599999999999999</v>
      </c>
      <c r="Q150" s="4">
        <v>5.97</v>
      </c>
      <c r="R150" s="4">
        <v>16</v>
      </c>
      <c r="S150" s="4">
        <v>16.3</v>
      </c>
      <c r="T150" s="4">
        <v>14.9</v>
      </c>
      <c r="U150" s="4">
        <v>17.899999999999999</v>
      </c>
      <c r="V150" s="4">
        <v>18.600000000000001</v>
      </c>
      <c r="W150" s="4">
        <v>19.5</v>
      </c>
      <c r="X150" s="4">
        <v>21.1</v>
      </c>
      <c r="Y150" s="4">
        <v>22.8</v>
      </c>
      <c r="Z150" s="4">
        <v>13.9</v>
      </c>
      <c r="AA150" s="4">
        <v>6.05</v>
      </c>
      <c r="AB150" s="4">
        <v>9.5299999999999996E-4</v>
      </c>
      <c r="AC150" s="4">
        <v>0.35599999999999998</v>
      </c>
      <c r="AD150" s="4" t="s">
        <v>809</v>
      </c>
      <c r="AE150" s="4">
        <v>4.2300000000000004</v>
      </c>
    </row>
    <row r="151" spans="1:31" x14ac:dyDescent="0.25">
      <c r="A151" s="4"/>
      <c r="B151" s="5" t="s">
        <v>810</v>
      </c>
      <c r="C151" s="4"/>
      <c r="D151" s="4">
        <v>12</v>
      </c>
      <c r="E151" s="4">
        <v>1</v>
      </c>
      <c r="F151" s="4">
        <v>50.8</v>
      </c>
      <c r="G151" s="4">
        <v>38.1</v>
      </c>
      <c r="H151" s="4">
        <v>3.18</v>
      </c>
      <c r="I151" s="4">
        <v>8.27</v>
      </c>
      <c r="J151" s="4">
        <v>12</v>
      </c>
      <c r="K151" s="4">
        <v>16</v>
      </c>
      <c r="L151" s="4">
        <v>10</v>
      </c>
      <c r="M151" s="4">
        <v>0.55800000000000005</v>
      </c>
      <c r="N151" s="4">
        <v>4.28</v>
      </c>
      <c r="O151" s="4">
        <v>545</v>
      </c>
      <c r="P151" s="4">
        <v>0.14399999999999999</v>
      </c>
      <c r="Q151" s="4">
        <v>4.1100000000000003</v>
      </c>
      <c r="R151" s="4">
        <v>16.3</v>
      </c>
      <c r="S151" s="4">
        <v>15.7</v>
      </c>
      <c r="T151" s="4">
        <v>14.7</v>
      </c>
      <c r="U151" s="4">
        <v>17.5</v>
      </c>
      <c r="V151" s="4">
        <v>18.3</v>
      </c>
      <c r="W151" s="4">
        <v>19.100000000000001</v>
      </c>
      <c r="X151" s="4">
        <v>20.7</v>
      </c>
      <c r="Y151" s="4">
        <v>22.4</v>
      </c>
      <c r="Z151" s="4">
        <v>14.1</v>
      </c>
      <c r="AA151" s="4">
        <v>1.84</v>
      </c>
      <c r="AB151" s="4">
        <v>2.9999999999999997E-4</v>
      </c>
      <c r="AC151" s="4">
        <v>0.35599999999999998</v>
      </c>
      <c r="AD151" s="4" t="s">
        <v>811</v>
      </c>
      <c r="AE151" s="4">
        <v>2.88</v>
      </c>
    </row>
    <row r="152" spans="1:31" x14ac:dyDescent="0.25">
      <c r="A152" s="3" t="s">
        <v>813</v>
      </c>
      <c r="B152" s="41"/>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c r="AD152" s="42"/>
      <c r="AE152" s="42"/>
    </row>
    <row r="153" spans="1:31" x14ac:dyDescent="0.25">
      <c r="A153" s="4" t="s">
        <v>59</v>
      </c>
      <c r="B153" s="5" t="s">
        <v>814</v>
      </c>
      <c r="C153" s="4" t="s">
        <v>59</v>
      </c>
      <c r="D153" s="4">
        <v>13</v>
      </c>
      <c r="E153" s="4">
        <v>3</v>
      </c>
      <c r="F153" s="4">
        <v>203</v>
      </c>
      <c r="G153" s="4">
        <v>203</v>
      </c>
      <c r="H153" s="4">
        <v>28.6</v>
      </c>
      <c r="I153" s="4">
        <v>39.6</v>
      </c>
      <c r="J153" s="4">
        <v>7.1</v>
      </c>
      <c r="K153" s="4">
        <v>7.1</v>
      </c>
      <c r="L153" s="4">
        <v>45</v>
      </c>
      <c r="M153" s="4">
        <v>1</v>
      </c>
      <c r="N153" s="4">
        <v>169</v>
      </c>
      <c r="O153" s="4">
        <v>21600</v>
      </c>
      <c r="P153" s="4">
        <v>81.400000000000006</v>
      </c>
      <c r="Q153" s="4">
        <v>574</v>
      </c>
      <c r="R153" s="4">
        <v>61.4</v>
      </c>
      <c r="S153" s="4">
        <v>61.2</v>
      </c>
      <c r="T153" s="4">
        <v>86.7</v>
      </c>
      <c r="U153" s="4">
        <v>89.6</v>
      </c>
      <c r="V153" s="4">
        <v>90.3</v>
      </c>
      <c r="W153" s="4">
        <v>91</v>
      </c>
      <c r="X153" s="4">
        <v>92.5</v>
      </c>
      <c r="Y153" s="4">
        <v>94</v>
      </c>
      <c r="Z153" s="4">
        <v>46.9</v>
      </c>
      <c r="AA153" s="4">
        <v>5890</v>
      </c>
      <c r="AB153" s="4">
        <v>17.5</v>
      </c>
      <c r="AC153" s="4">
        <v>1.62</v>
      </c>
      <c r="AD153" s="4" t="s">
        <v>815</v>
      </c>
      <c r="AE153" s="4">
        <v>114</v>
      </c>
    </row>
    <row r="154" spans="1:31" x14ac:dyDescent="0.25">
      <c r="A154" s="4"/>
      <c r="B154" s="5" t="s">
        <v>816</v>
      </c>
      <c r="C154" s="4" t="s">
        <v>59</v>
      </c>
      <c r="D154" s="4">
        <v>13</v>
      </c>
      <c r="E154" s="4">
        <v>3</v>
      </c>
      <c r="F154" s="4">
        <v>203</v>
      </c>
      <c r="G154" s="4">
        <v>203</v>
      </c>
      <c r="H154" s="4">
        <v>25.4</v>
      </c>
      <c r="I154" s="4">
        <v>39.700000000000003</v>
      </c>
      <c r="J154" s="4">
        <v>7.99</v>
      </c>
      <c r="K154" s="4">
        <v>7.99</v>
      </c>
      <c r="L154" s="4">
        <v>41</v>
      </c>
      <c r="M154" s="4">
        <v>1</v>
      </c>
      <c r="N154" s="4">
        <v>152</v>
      </c>
      <c r="O154" s="4">
        <v>19300</v>
      </c>
      <c r="P154" s="4">
        <v>73.8</v>
      </c>
      <c r="Q154" s="4">
        <v>517</v>
      </c>
      <c r="R154" s="4">
        <v>61.8</v>
      </c>
      <c r="S154" s="4">
        <v>60.1</v>
      </c>
      <c r="T154" s="4">
        <v>86.2</v>
      </c>
      <c r="U154" s="4">
        <v>89</v>
      </c>
      <c r="V154" s="4">
        <v>89.7</v>
      </c>
      <c r="W154" s="4">
        <v>90.5</v>
      </c>
      <c r="X154" s="4">
        <v>91.9</v>
      </c>
      <c r="Y154" s="4">
        <v>93.4</v>
      </c>
      <c r="Z154" s="4">
        <v>47.4</v>
      </c>
      <c r="AA154" s="4">
        <v>4160</v>
      </c>
      <c r="AB154" s="4">
        <v>12.5</v>
      </c>
      <c r="AC154" s="4">
        <v>1.62</v>
      </c>
      <c r="AD154" s="4" t="s">
        <v>817</v>
      </c>
      <c r="AE154" s="4">
        <v>102</v>
      </c>
    </row>
    <row r="155" spans="1:31" x14ac:dyDescent="0.25">
      <c r="A155" s="4"/>
      <c r="B155" s="5" t="s">
        <v>818</v>
      </c>
      <c r="C155" s="4" t="s">
        <v>59</v>
      </c>
      <c r="D155" s="4">
        <v>13</v>
      </c>
      <c r="E155" s="4">
        <v>3</v>
      </c>
      <c r="F155" s="4">
        <v>203</v>
      </c>
      <c r="G155" s="4">
        <v>203</v>
      </c>
      <c r="H155" s="4">
        <v>22.2</v>
      </c>
      <c r="I155" s="4">
        <v>39.799999999999997</v>
      </c>
      <c r="J155" s="4">
        <v>9.14</v>
      </c>
      <c r="K155" s="4">
        <v>9.14</v>
      </c>
      <c r="L155" s="4">
        <v>38</v>
      </c>
      <c r="M155" s="4">
        <v>1</v>
      </c>
      <c r="N155" s="4">
        <v>134</v>
      </c>
      <c r="O155" s="4">
        <v>17000</v>
      </c>
      <c r="P155" s="4">
        <v>66</v>
      </c>
      <c r="Q155" s="4">
        <v>458</v>
      </c>
      <c r="R155" s="4">
        <v>62.2</v>
      </c>
      <c r="S155" s="4">
        <v>58.9</v>
      </c>
      <c r="T155" s="4">
        <v>85.7</v>
      </c>
      <c r="U155" s="4">
        <v>88.5</v>
      </c>
      <c r="V155" s="4">
        <v>89.2</v>
      </c>
      <c r="W155" s="4">
        <v>89.9</v>
      </c>
      <c r="X155" s="4">
        <v>91.4</v>
      </c>
      <c r="Y155" s="4">
        <v>92.8</v>
      </c>
      <c r="Z155" s="4">
        <v>47.8</v>
      </c>
      <c r="AA155" s="4">
        <v>2800</v>
      </c>
      <c r="AB155" s="4">
        <v>8.59</v>
      </c>
      <c r="AC155" s="4">
        <v>1.62</v>
      </c>
      <c r="AD155" s="4" t="s">
        <v>819</v>
      </c>
      <c r="AE155" s="4">
        <v>89.9</v>
      </c>
    </row>
    <row r="156" spans="1:31" x14ac:dyDescent="0.25">
      <c r="A156" s="4"/>
      <c r="B156" s="5" t="s">
        <v>820</v>
      </c>
      <c r="C156" s="4" t="s">
        <v>59</v>
      </c>
      <c r="D156" s="4">
        <v>13</v>
      </c>
      <c r="E156" s="4">
        <v>2</v>
      </c>
      <c r="F156" s="4">
        <v>203</v>
      </c>
      <c r="G156" s="4">
        <v>203</v>
      </c>
      <c r="H156" s="4">
        <v>19.100000000000001</v>
      </c>
      <c r="I156" s="4">
        <v>40</v>
      </c>
      <c r="J156" s="4">
        <v>10.6</v>
      </c>
      <c r="K156" s="4">
        <v>10.6</v>
      </c>
      <c r="L156" s="4">
        <v>35</v>
      </c>
      <c r="M156" s="4">
        <v>1</v>
      </c>
      <c r="N156" s="4">
        <v>116</v>
      </c>
      <c r="O156" s="4">
        <v>14800</v>
      </c>
      <c r="P156" s="4">
        <v>58</v>
      </c>
      <c r="Q156" s="4">
        <v>399</v>
      </c>
      <c r="R156" s="4">
        <v>62.6</v>
      </c>
      <c r="S156" s="4">
        <v>57.8</v>
      </c>
      <c r="T156" s="4">
        <v>85.2</v>
      </c>
      <c r="U156" s="4">
        <v>88</v>
      </c>
      <c r="V156" s="4">
        <v>88.7</v>
      </c>
      <c r="W156" s="4">
        <v>89.4</v>
      </c>
      <c r="X156" s="4">
        <v>90.9</v>
      </c>
      <c r="Y156" s="4">
        <v>92.3</v>
      </c>
      <c r="Z156" s="4">
        <v>48.2</v>
      </c>
      <c r="AA156" s="4">
        <v>1800</v>
      </c>
      <c r="AB156" s="4">
        <v>5.6</v>
      </c>
      <c r="AC156" s="4">
        <v>1.62</v>
      </c>
      <c r="AD156" s="4" t="s">
        <v>821</v>
      </c>
      <c r="AE156" s="4">
        <v>78</v>
      </c>
    </row>
    <row r="157" spans="1:31" x14ac:dyDescent="0.25">
      <c r="A157" s="4"/>
      <c r="B157" s="5" t="s">
        <v>822</v>
      </c>
      <c r="C157" s="4" t="s">
        <v>59</v>
      </c>
      <c r="D157" s="4">
        <v>13</v>
      </c>
      <c r="E157" s="4">
        <v>2</v>
      </c>
      <c r="F157" s="4">
        <v>203</v>
      </c>
      <c r="G157" s="4">
        <v>203</v>
      </c>
      <c r="H157" s="4">
        <v>15.9</v>
      </c>
      <c r="I157" s="4">
        <v>40.1</v>
      </c>
      <c r="J157" s="4">
        <v>12.8</v>
      </c>
      <c r="K157" s="4">
        <v>12.8</v>
      </c>
      <c r="L157" s="4">
        <v>32</v>
      </c>
      <c r="M157" s="4">
        <v>1</v>
      </c>
      <c r="N157" s="4">
        <v>97.4</v>
      </c>
      <c r="O157" s="4">
        <v>12400</v>
      </c>
      <c r="P157" s="4">
        <v>49.4</v>
      </c>
      <c r="Q157" s="4">
        <v>337</v>
      </c>
      <c r="R157" s="4">
        <v>63.1</v>
      </c>
      <c r="S157" s="4">
        <v>56.6</v>
      </c>
      <c r="T157" s="4">
        <v>84.8</v>
      </c>
      <c r="U157" s="4">
        <v>87.5</v>
      </c>
      <c r="V157" s="4">
        <v>88.2</v>
      </c>
      <c r="W157" s="4">
        <v>88.9</v>
      </c>
      <c r="X157" s="4">
        <v>90.3</v>
      </c>
      <c r="Y157" s="4">
        <v>91.8</v>
      </c>
      <c r="Z157" s="4">
        <v>48.7</v>
      </c>
      <c r="AA157" s="4">
        <v>1050</v>
      </c>
      <c r="AB157" s="4">
        <v>3.31</v>
      </c>
      <c r="AC157" s="4">
        <v>1.62</v>
      </c>
      <c r="AD157" s="4" t="s">
        <v>823</v>
      </c>
      <c r="AE157" s="4">
        <v>65.400000000000006</v>
      </c>
    </row>
    <row r="158" spans="1:31" x14ac:dyDescent="0.25">
      <c r="A158" s="4"/>
      <c r="B158" s="5" t="s">
        <v>824</v>
      </c>
      <c r="C158" s="4" t="s">
        <v>59</v>
      </c>
      <c r="D158" s="4">
        <v>13</v>
      </c>
      <c r="E158" s="4">
        <v>2</v>
      </c>
      <c r="F158" s="4">
        <v>203</v>
      </c>
      <c r="G158" s="4">
        <v>203</v>
      </c>
      <c r="H158" s="4">
        <v>14.3</v>
      </c>
      <c r="I158" s="4">
        <v>40.200000000000003</v>
      </c>
      <c r="J158" s="4">
        <v>14.2</v>
      </c>
      <c r="K158" s="4">
        <v>14.2</v>
      </c>
      <c r="L158" s="4">
        <v>30</v>
      </c>
      <c r="M158" s="4">
        <v>1</v>
      </c>
      <c r="N158" s="4">
        <v>87.9</v>
      </c>
      <c r="O158" s="4">
        <v>11200</v>
      </c>
      <c r="P158" s="4">
        <v>44.9</v>
      </c>
      <c r="Q158" s="4">
        <v>306</v>
      </c>
      <c r="R158" s="4">
        <v>63.3</v>
      </c>
      <c r="S158" s="4">
        <v>56</v>
      </c>
      <c r="T158" s="4">
        <v>84.6</v>
      </c>
      <c r="U158" s="4">
        <v>87.3</v>
      </c>
      <c r="V158" s="4">
        <v>88</v>
      </c>
      <c r="W158" s="4">
        <v>88.7</v>
      </c>
      <c r="X158" s="4">
        <v>90.1</v>
      </c>
      <c r="Y158" s="4">
        <v>91.5</v>
      </c>
      <c r="Z158" s="4">
        <v>48.9</v>
      </c>
      <c r="AA158" s="4">
        <v>764</v>
      </c>
      <c r="AB158" s="4">
        <v>2.44</v>
      </c>
      <c r="AC158" s="4">
        <v>1.62</v>
      </c>
      <c r="AD158" s="4" t="s">
        <v>825</v>
      </c>
      <c r="AE158" s="4">
        <v>59.1</v>
      </c>
    </row>
    <row r="159" spans="1:31" x14ac:dyDescent="0.25">
      <c r="A159" s="4"/>
      <c r="B159" s="5" t="s">
        <v>826</v>
      </c>
      <c r="C159" s="4"/>
      <c r="D159" s="4">
        <v>13</v>
      </c>
      <c r="E159" s="4">
        <v>1</v>
      </c>
      <c r="F159" s="4">
        <v>203</v>
      </c>
      <c r="G159" s="4">
        <v>203</v>
      </c>
      <c r="H159" s="4">
        <v>12.7</v>
      </c>
      <c r="I159" s="4">
        <v>40.299999999999997</v>
      </c>
      <c r="J159" s="4">
        <v>16</v>
      </c>
      <c r="K159" s="4">
        <v>16</v>
      </c>
      <c r="L159" s="4">
        <v>29</v>
      </c>
      <c r="M159" s="4">
        <v>1</v>
      </c>
      <c r="N159" s="4">
        <v>78.400000000000006</v>
      </c>
      <c r="O159" s="4">
        <v>9990</v>
      </c>
      <c r="P159" s="4">
        <v>40.4</v>
      </c>
      <c r="Q159" s="4">
        <v>274</v>
      </c>
      <c r="R159" s="4">
        <v>63.6</v>
      </c>
      <c r="S159" s="4">
        <v>55.5</v>
      </c>
      <c r="T159" s="4">
        <v>84.4</v>
      </c>
      <c r="U159" s="4">
        <v>87</v>
      </c>
      <c r="V159" s="4">
        <v>87.7</v>
      </c>
      <c r="W159" s="4">
        <v>88.4</v>
      </c>
      <c r="X159" s="4">
        <v>89.8</v>
      </c>
      <c r="Y159" s="4">
        <v>91.2</v>
      </c>
      <c r="Z159" s="4">
        <v>49.1</v>
      </c>
      <c r="AA159" s="4">
        <v>537</v>
      </c>
      <c r="AB159" s="4">
        <v>1.73</v>
      </c>
      <c r="AC159" s="4">
        <v>1.62</v>
      </c>
      <c r="AD159" s="4" t="s">
        <v>827</v>
      </c>
      <c r="AE159" s="4">
        <v>52.7</v>
      </c>
    </row>
    <row r="160" spans="1:31" x14ac:dyDescent="0.25">
      <c r="A160" s="4" t="s">
        <v>59</v>
      </c>
      <c r="B160" s="5" t="s">
        <v>828</v>
      </c>
      <c r="C160" s="4" t="s">
        <v>59</v>
      </c>
      <c r="D160" s="4">
        <v>13</v>
      </c>
      <c r="E160" s="4">
        <v>3</v>
      </c>
      <c r="F160" s="4">
        <v>152</v>
      </c>
      <c r="G160" s="4">
        <v>152</v>
      </c>
      <c r="H160" s="4">
        <v>25.4</v>
      </c>
      <c r="I160" s="4">
        <v>29.6</v>
      </c>
      <c r="J160" s="4">
        <v>5.98</v>
      </c>
      <c r="K160" s="4">
        <v>5.98</v>
      </c>
      <c r="L160" s="4">
        <v>38</v>
      </c>
      <c r="M160" s="4">
        <v>1</v>
      </c>
      <c r="N160" s="4">
        <v>111</v>
      </c>
      <c r="O160" s="4">
        <v>14200</v>
      </c>
      <c r="P160" s="4">
        <v>29.3</v>
      </c>
      <c r="Q160" s="4">
        <v>279</v>
      </c>
      <c r="R160" s="4">
        <v>45.5</v>
      </c>
      <c r="S160" s="4">
        <v>47.2</v>
      </c>
      <c r="T160" s="4">
        <v>65.599999999999994</v>
      </c>
      <c r="U160" s="4">
        <v>68.5</v>
      </c>
      <c r="V160" s="4">
        <v>69.3</v>
      </c>
      <c r="W160" s="4">
        <v>70</v>
      </c>
      <c r="X160" s="4">
        <v>71.5</v>
      </c>
      <c r="Y160" s="4">
        <v>73.099999999999994</v>
      </c>
      <c r="Z160" s="4">
        <v>34.5</v>
      </c>
      <c r="AA160" s="4">
        <v>3040</v>
      </c>
      <c r="AB160" s="4">
        <v>4.92</v>
      </c>
      <c r="AC160" s="4">
        <v>1.22</v>
      </c>
      <c r="AD160" s="4" t="s">
        <v>829</v>
      </c>
      <c r="AE160" s="4">
        <v>74.7</v>
      </c>
    </row>
    <row r="161" spans="1:31" x14ac:dyDescent="0.25">
      <c r="A161" s="4"/>
      <c r="B161" s="5" t="s">
        <v>830</v>
      </c>
      <c r="C161" s="4" t="s">
        <v>59</v>
      </c>
      <c r="D161" s="4">
        <v>13</v>
      </c>
      <c r="E161" s="4">
        <v>3</v>
      </c>
      <c r="F161" s="4">
        <v>152</v>
      </c>
      <c r="G161" s="4">
        <v>152</v>
      </c>
      <c r="H161" s="4">
        <v>22.2</v>
      </c>
      <c r="I161" s="4">
        <v>29.6</v>
      </c>
      <c r="J161" s="4">
        <v>6.85</v>
      </c>
      <c r="K161" s="4">
        <v>6.85</v>
      </c>
      <c r="L161" s="4">
        <v>35</v>
      </c>
      <c r="M161" s="4">
        <v>1</v>
      </c>
      <c r="N161" s="4">
        <v>98.2</v>
      </c>
      <c r="O161" s="4">
        <v>12500</v>
      </c>
      <c r="P161" s="4">
        <v>26.3</v>
      </c>
      <c r="Q161" s="4">
        <v>249</v>
      </c>
      <c r="R161" s="4">
        <v>45.9</v>
      </c>
      <c r="S161" s="4">
        <v>46.1</v>
      </c>
      <c r="T161" s="4">
        <v>65</v>
      </c>
      <c r="U161" s="4">
        <v>67.900000000000006</v>
      </c>
      <c r="V161" s="4">
        <v>68.7</v>
      </c>
      <c r="W161" s="4">
        <v>69.400000000000006</v>
      </c>
      <c r="X161" s="4">
        <v>70.900000000000006</v>
      </c>
      <c r="Y161" s="4">
        <v>72.5</v>
      </c>
      <c r="Z161" s="4">
        <v>35</v>
      </c>
      <c r="AA161" s="4">
        <v>2060</v>
      </c>
      <c r="AB161" s="4">
        <v>3.4</v>
      </c>
      <c r="AC161" s="4">
        <v>1.22</v>
      </c>
      <c r="AD161" s="4" t="s">
        <v>831</v>
      </c>
      <c r="AE161" s="4">
        <v>66</v>
      </c>
    </row>
    <row r="162" spans="1:31" x14ac:dyDescent="0.25">
      <c r="A162" s="4"/>
      <c r="B162" s="5" t="s">
        <v>832</v>
      </c>
      <c r="C162" s="4"/>
      <c r="D162" s="4">
        <v>13</v>
      </c>
      <c r="E162" s="4">
        <v>2</v>
      </c>
      <c r="F162" s="4">
        <v>152</v>
      </c>
      <c r="G162" s="4">
        <v>152</v>
      </c>
      <c r="H162" s="4">
        <v>19.100000000000001</v>
      </c>
      <c r="I162" s="4">
        <v>29.7</v>
      </c>
      <c r="J162" s="4">
        <v>7.96</v>
      </c>
      <c r="K162" s="4">
        <v>7.96</v>
      </c>
      <c r="L162" s="4">
        <v>32</v>
      </c>
      <c r="M162" s="4">
        <v>1</v>
      </c>
      <c r="N162" s="4">
        <v>85.4</v>
      </c>
      <c r="O162" s="4">
        <v>10900</v>
      </c>
      <c r="P162" s="4">
        <v>23.3</v>
      </c>
      <c r="Q162" s="4">
        <v>218</v>
      </c>
      <c r="R162" s="4">
        <v>46.3</v>
      </c>
      <c r="S162" s="4">
        <v>45</v>
      </c>
      <c r="T162" s="4">
        <v>64.5</v>
      </c>
      <c r="U162" s="4">
        <v>67.400000000000006</v>
      </c>
      <c r="V162" s="4">
        <v>68.099999999999994</v>
      </c>
      <c r="W162" s="4">
        <v>68.900000000000006</v>
      </c>
      <c r="X162" s="4">
        <v>70.400000000000006</v>
      </c>
      <c r="Y162" s="4">
        <v>71.900000000000006</v>
      </c>
      <c r="Z162" s="4">
        <v>35.5</v>
      </c>
      <c r="AA162" s="4">
        <v>1320</v>
      </c>
      <c r="AB162" s="4">
        <v>2.2400000000000002</v>
      </c>
      <c r="AC162" s="4">
        <v>1.22</v>
      </c>
      <c r="AD162" s="4" t="s">
        <v>833</v>
      </c>
      <c r="AE162" s="4">
        <v>57.4</v>
      </c>
    </row>
    <row r="163" spans="1:31" x14ac:dyDescent="0.25">
      <c r="A163" s="4"/>
      <c r="B163" s="5" t="s">
        <v>834</v>
      </c>
      <c r="C163" s="4"/>
      <c r="D163" s="4">
        <v>13</v>
      </c>
      <c r="E163" s="4">
        <v>2</v>
      </c>
      <c r="F163" s="4">
        <v>152</v>
      </c>
      <c r="G163" s="4">
        <v>152</v>
      </c>
      <c r="H163" s="4">
        <v>15.9</v>
      </c>
      <c r="I163" s="4">
        <v>29.8</v>
      </c>
      <c r="J163" s="4">
        <v>9.56</v>
      </c>
      <c r="K163" s="4">
        <v>9.56</v>
      </c>
      <c r="L163" s="4">
        <v>29</v>
      </c>
      <c r="M163" s="4">
        <v>1</v>
      </c>
      <c r="N163" s="4">
        <v>71.900000000000006</v>
      </c>
      <c r="O163" s="4">
        <v>9160</v>
      </c>
      <c r="P163" s="4">
        <v>20</v>
      </c>
      <c r="Q163" s="4">
        <v>185</v>
      </c>
      <c r="R163" s="4">
        <v>46.7</v>
      </c>
      <c r="S163" s="4">
        <v>43.9</v>
      </c>
      <c r="T163" s="4">
        <v>64.099999999999994</v>
      </c>
      <c r="U163" s="4">
        <v>66.900000000000006</v>
      </c>
      <c r="V163" s="4">
        <v>67.599999999999994</v>
      </c>
      <c r="W163" s="4">
        <v>68.3</v>
      </c>
      <c r="X163" s="4">
        <v>69.8</v>
      </c>
      <c r="Y163" s="4">
        <v>71.3</v>
      </c>
      <c r="Z163" s="4">
        <v>35.9</v>
      </c>
      <c r="AA163" s="4">
        <v>772</v>
      </c>
      <c r="AB163" s="4">
        <v>1.34</v>
      </c>
      <c r="AC163" s="4">
        <v>1.22</v>
      </c>
      <c r="AD163" s="4" t="s">
        <v>835</v>
      </c>
      <c r="AE163" s="4">
        <v>48.3</v>
      </c>
    </row>
    <row r="164" spans="1:31" x14ac:dyDescent="0.25">
      <c r="A164" s="4"/>
      <c r="B164" s="5" t="s">
        <v>836</v>
      </c>
      <c r="C164" s="4" t="s">
        <v>59</v>
      </c>
      <c r="D164" s="4">
        <v>13</v>
      </c>
      <c r="E164" s="4">
        <v>2</v>
      </c>
      <c r="F164" s="4">
        <v>152</v>
      </c>
      <c r="G164" s="4">
        <v>152</v>
      </c>
      <c r="H164" s="4">
        <v>14.3</v>
      </c>
      <c r="I164" s="4">
        <v>29.9</v>
      </c>
      <c r="J164" s="4">
        <v>10.6</v>
      </c>
      <c r="K164" s="4">
        <v>10.6</v>
      </c>
      <c r="L164" s="4">
        <v>27</v>
      </c>
      <c r="M164" s="4">
        <v>1</v>
      </c>
      <c r="N164" s="4">
        <v>65</v>
      </c>
      <c r="O164" s="4">
        <v>8290</v>
      </c>
      <c r="P164" s="4">
        <v>18.2</v>
      </c>
      <c r="Q164" s="4">
        <v>168</v>
      </c>
      <c r="R164" s="4">
        <v>46.9</v>
      </c>
      <c r="S164" s="4">
        <v>43.3</v>
      </c>
      <c r="T164" s="4">
        <v>63.8</v>
      </c>
      <c r="U164" s="4">
        <v>66.599999999999994</v>
      </c>
      <c r="V164" s="4">
        <v>67.3</v>
      </c>
      <c r="W164" s="4">
        <v>68</v>
      </c>
      <c r="X164" s="4">
        <v>69.5</v>
      </c>
      <c r="Y164" s="4">
        <v>71</v>
      </c>
      <c r="Z164" s="4">
        <v>36.1</v>
      </c>
      <c r="AA164" s="4">
        <v>565</v>
      </c>
      <c r="AB164" s="4">
        <v>0.98699999999999999</v>
      </c>
      <c r="AC164" s="4">
        <v>1.22</v>
      </c>
      <c r="AD164" s="4" t="s">
        <v>837</v>
      </c>
      <c r="AE164" s="4">
        <v>43.7</v>
      </c>
    </row>
    <row r="165" spans="1:31" x14ac:dyDescent="0.25">
      <c r="A165" s="4"/>
      <c r="B165" s="5" t="s">
        <v>838</v>
      </c>
      <c r="C165" s="4"/>
      <c r="D165" s="4">
        <v>13</v>
      </c>
      <c r="E165" s="4">
        <v>1</v>
      </c>
      <c r="F165" s="4">
        <v>152</v>
      </c>
      <c r="G165" s="4">
        <v>152</v>
      </c>
      <c r="H165" s="4">
        <v>12.7</v>
      </c>
      <c r="I165" s="4">
        <v>30</v>
      </c>
      <c r="J165" s="4">
        <v>12</v>
      </c>
      <c r="K165" s="4">
        <v>12</v>
      </c>
      <c r="L165" s="4">
        <v>26</v>
      </c>
      <c r="M165" s="4">
        <v>1</v>
      </c>
      <c r="N165" s="4">
        <v>58.1</v>
      </c>
      <c r="O165" s="4">
        <v>7400</v>
      </c>
      <c r="P165" s="4">
        <v>16.399999999999999</v>
      </c>
      <c r="Q165" s="4">
        <v>150</v>
      </c>
      <c r="R165" s="4">
        <v>47.1</v>
      </c>
      <c r="S165" s="4">
        <v>42.7</v>
      </c>
      <c r="T165" s="4">
        <v>63.6</v>
      </c>
      <c r="U165" s="4">
        <v>66.3</v>
      </c>
      <c r="V165" s="4">
        <v>67.099999999999994</v>
      </c>
      <c r="W165" s="4">
        <v>67.8</v>
      </c>
      <c r="X165" s="4">
        <v>69.2</v>
      </c>
      <c r="Y165" s="4">
        <v>70.7</v>
      </c>
      <c r="Z165" s="4">
        <v>36.299999999999997</v>
      </c>
      <c r="AA165" s="4">
        <v>398</v>
      </c>
      <c r="AB165" s="4">
        <v>0.70299999999999996</v>
      </c>
      <c r="AC165" s="4">
        <v>1.22</v>
      </c>
      <c r="AD165" s="4" t="s">
        <v>839</v>
      </c>
      <c r="AE165" s="4">
        <v>39</v>
      </c>
    </row>
    <row r="166" spans="1:31" x14ac:dyDescent="0.25">
      <c r="A166" s="4"/>
      <c r="B166" s="5" t="s">
        <v>840</v>
      </c>
      <c r="C166" s="4" t="s">
        <v>59</v>
      </c>
      <c r="D166" s="4">
        <v>13</v>
      </c>
      <c r="E166" s="4">
        <v>1</v>
      </c>
      <c r="F166" s="4">
        <v>152</v>
      </c>
      <c r="G166" s="4">
        <v>152</v>
      </c>
      <c r="H166" s="4">
        <v>11.1</v>
      </c>
      <c r="I166" s="4">
        <v>30.1</v>
      </c>
      <c r="J166" s="4">
        <v>13.7</v>
      </c>
      <c r="K166" s="4">
        <v>13.7</v>
      </c>
      <c r="L166" s="4">
        <v>24</v>
      </c>
      <c r="M166" s="4">
        <v>1</v>
      </c>
      <c r="N166" s="4">
        <v>51</v>
      </c>
      <c r="O166" s="4">
        <v>6500</v>
      </c>
      <c r="P166" s="4">
        <v>14.6</v>
      </c>
      <c r="Q166" s="4">
        <v>133</v>
      </c>
      <c r="R166" s="4">
        <v>47.4</v>
      </c>
      <c r="S166" s="4">
        <v>42.1</v>
      </c>
      <c r="T166" s="4">
        <v>63.4</v>
      </c>
      <c r="U166" s="4">
        <v>66.099999999999994</v>
      </c>
      <c r="V166" s="4">
        <v>66.8</v>
      </c>
      <c r="W166" s="4">
        <v>67.5</v>
      </c>
      <c r="X166" s="4">
        <v>69</v>
      </c>
      <c r="Y166" s="4">
        <v>70.400000000000006</v>
      </c>
      <c r="Z166" s="4">
        <v>36.6</v>
      </c>
      <c r="AA166" s="4">
        <v>267</v>
      </c>
      <c r="AB166" s="4">
        <v>0.47699999999999998</v>
      </c>
      <c r="AC166" s="4">
        <v>1.22</v>
      </c>
      <c r="AD166" s="4" t="s">
        <v>841</v>
      </c>
      <c r="AE166" s="4">
        <v>34.299999999999997</v>
      </c>
    </row>
    <row r="167" spans="1:31" x14ac:dyDescent="0.25">
      <c r="A167" s="4"/>
      <c r="B167" s="5" t="s">
        <v>842</v>
      </c>
      <c r="C167" s="4"/>
      <c r="D167" s="4">
        <v>13</v>
      </c>
      <c r="E167" s="4">
        <v>1</v>
      </c>
      <c r="F167" s="4">
        <v>152</v>
      </c>
      <c r="G167" s="4">
        <v>152</v>
      </c>
      <c r="H167" s="4">
        <v>9.5299999999999994</v>
      </c>
      <c r="I167" s="4">
        <v>30.2</v>
      </c>
      <c r="J167" s="4">
        <v>15.9</v>
      </c>
      <c r="K167" s="4">
        <v>15.9</v>
      </c>
      <c r="L167" s="4">
        <v>23</v>
      </c>
      <c r="M167" s="4">
        <v>1</v>
      </c>
      <c r="N167" s="4">
        <v>44.1</v>
      </c>
      <c r="O167" s="4">
        <v>5610</v>
      </c>
      <c r="P167" s="4">
        <v>12.7</v>
      </c>
      <c r="Q167" s="4">
        <v>115</v>
      </c>
      <c r="R167" s="4">
        <v>47.6</v>
      </c>
      <c r="S167" s="4">
        <v>41.5</v>
      </c>
      <c r="T167" s="4">
        <v>63.2</v>
      </c>
      <c r="U167" s="4">
        <v>65.900000000000006</v>
      </c>
      <c r="V167" s="4">
        <v>66.599999999999994</v>
      </c>
      <c r="W167" s="4">
        <v>67.3</v>
      </c>
      <c r="X167" s="4">
        <v>68.7</v>
      </c>
      <c r="Y167" s="4">
        <v>70.099999999999994</v>
      </c>
      <c r="Z167" s="4">
        <v>36.799999999999997</v>
      </c>
      <c r="AA167" s="4">
        <v>170</v>
      </c>
      <c r="AB167" s="4">
        <v>0.307</v>
      </c>
      <c r="AC167" s="4">
        <v>1.22</v>
      </c>
      <c r="AD167" s="4" t="s">
        <v>843</v>
      </c>
      <c r="AE167" s="4">
        <v>29.6</v>
      </c>
    </row>
    <row r="168" spans="1:31" x14ac:dyDescent="0.25">
      <c r="A168" s="4"/>
      <c r="B168" s="5" t="s">
        <v>844</v>
      </c>
      <c r="C168" s="4" t="s">
        <v>59</v>
      </c>
      <c r="D168" s="4">
        <v>13</v>
      </c>
      <c r="E168" s="4">
        <v>1</v>
      </c>
      <c r="F168" s="4">
        <v>152</v>
      </c>
      <c r="G168" s="4">
        <v>152</v>
      </c>
      <c r="H168" s="4">
        <v>7.94</v>
      </c>
      <c r="I168" s="4">
        <v>30.3</v>
      </c>
      <c r="J168" s="4">
        <v>19.100000000000001</v>
      </c>
      <c r="K168" s="4">
        <v>19.100000000000001</v>
      </c>
      <c r="L168" s="4">
        <v>21</v>
      </c>
      <c r="M168" s="4">
        <v>1</v>
      </c>
      <c r="N168" s="4">
        <v>36.9</v>
      </c>
      <c r="O168" s="4">
        <v>4700</v>
      </c>
      <c r="P168" s="4">
        <v>10.8</v>
      </c>
      <c r="Q168" s="4">
        <v>96.8</v>
      </c>
      <c r="R168" s="4">
        <v>47.8</v>
      </c>
      <c r="S168" s="4">
        <v>41</v>
      </c>
      <c r="T168" s="4">
        <v>63</v>
      </c>
      <c r="U168" s="4">
        <v>65.599999999999994</v>
      </c>
      <c r="V168" s="4">
        <v>66.3</v>
      </c>
      <c r="W168" s="4">
        <v>67</v>
      </c>
      <c r="X168" s="4">
        <v>68.400000000000006</v>
      </c>
      <c r="Y168" s="4">
        <v>69.900000000000006</v>
      </c>
      <c r="Z168" s="4">
        <v>37</v>
      </c>
      <c r="AA168" s="4">
        <v>98.8</v>
      </c>
      <c r="AB168" s="4">
        <v>0.18</v>
      </c>
      <c r="AC168" s="4">
        <v>1.22</v>
      </c>
      <c r="AD168" s="4" t="s">
        <v>845</v>
      </c>
      <c r="AE168" s="4">
        <v>24.8</v>
      </c>
    </row>
    <row r="169" spans="1:31" x14ac:dyDescent="0.25">
      <c r="A169" s="4"/>
      <c r="B169" s="5" t="s">
        <v>846</v>
      </c>
      <c r="C169" s="4" t="s">
        <v>59</v>
      </c>
      <c r="D169" s="4">
        <v>13</v>
      </c>
      <c r="E169" s="4">
        <v>1</v>
      </c>
      <c r="F169" s="4">
        <v>152</v>
      </c>
      <c r="G169" s="4">
        <v>152</v>
      </c>
      <c r="H169" s="4">
        <v>6.35</v>
      </c>
      <c r="I169" s="4">
        <v>30.4</v>
      </c>
      <c r="J169" s="4">
        <v>23.9</v>
      </c>
      <c r="K169" s="4">
        <v>23.9</v>
      </c>
      <c r="L169" s="4">
        <v>19</v>
      </c>
      <c r="M169" s="4">
        <v>1</v>
      </c>
      <c r="N169" s="4">
        <v>29.7</v>
      </c>
      <c r="O169" s="4">
        <v>3780</v>
      </c>
      <c r="P169" s="4">
        <v>8.73</v>
      </c>
      <c r="Q169" s="4">
        <v>78.2</v>
      </c>
      <c r="R169" s="4">
        <v>48.1</v>
      </c>
      <c r="S169" s="4">
        <v>40.4</v>
      </c>
      <c r="T169" s="4">
        <v>62.8</v>
      </c>
      <c r="U169" s="4">
        <v>65.400000000000006</v>
      </c>
      <c r="V169" s="4">
        <v>66.099999999999994</v>
      </c>
      <c r="W169" s="4">
        <v>66.8</v>
      </c>
      <c r="X169" s="4">
        <v>68.2</v>
      </c>
      <c r="Y169" s="4">
        <v>69.599999999999994</v>
      </c>
      <c r="Z169" s="4">
        <v>37.200000000000003</v>
      </c>
      <c r="AA169" s="4">
        <v>50.8</v>
      </c>
      <c r="AB169" s="4">
        <v>9.3799999999999994E-2</v>
      </c>
      <c r="AC169" s="4">
        <v>1.22</v>
      </c>
      <c r="AD169" s="4" t="s">
        <v>847</v>
      </c>
      <c r="AE169" s="4">
        <v>19.899999999999999</v>
      </c>
    </row>
    <row r="170" spans="1:31" x14ac:dyDescent="0.25">
      <c r="A170" s="4" t="s">
        <v>59</v>
      </c>
      <c r="B170" s="5" t="s">
        <v>848</v>
      </c>
      <c r="C170" s="4" t="s">
        <v>59</v>
      </c>
      <c r="D170" s="4">
        <v>13</v>
      </c>
      <c r="E170" s="4">
        <v>3</v>
      </c>
      <c r="F170" s="4">
        <v>127</v>
      </c>
      <c r="G170" s="4">
        <v>127</v>
      </c>
      <c r="H170" s="4">
        <v>22.2</v>
      </c>
      <c r="I170" s="4">
        <v>24.7</v>
      </c>
      <c r="J170" s="4">
        <v>5.72</v>
      </c>
      <c r="K170" s="4">
        <v>5.72</v>
      </c>
      <c r="L170" s="4">
        <v>35</v>
      </c>
      <c r="M170" s="4">
        <v>1</v>
      </c>
      <c r="N170" s="4">
        <v>80.8</v>
      </c>
      <c r="O170" s="4">
        <v>10300</v>
      </c>
      <c r="P170" s="4">
        <v>14.8</v>
      </c>
      <c r="Q170" s="4">
        <v>169</v>
      </c>
      <c r="R170" s="4">
        <v>37.9</v>
      </c>
      <c r="S170" s="4">
        <v>39.799999999999997</v>
      </c>
      <c r="T170" s="4">
        <v>55</v>
      </c>
      <c r="U170" s="4">
        <v>57.9</v>
      </c>
      <c r="V170" s="4">
        <v>58.7</v>
      </c>
      <c r="W170" s="4">
        <v>59.4</v>
      </c>
      <c r="X170" s="4">
        <v>61</v>
      </c>
      <c r="Y170" s="4">
        <v>62.6</v>
      </c>
      <c r="Z170" s="4">
        <v>28.7</v>
      </c>
      <c r="AA170" s="4">
        <v>1690</v>
      </c>
      <c r="AB170" s="4">
        <v>1.89</v>
      </c>
      <c r="AC170" s="4">
        <v>1.02</v>
      </c>
      <c r="AD170" s="4" t="s">
        <v>849</v>
      </c>
      <c r="AE170" s="4">
        <v>54.3</v>
      </c>
    </row>
    <row r="171" spans="1:31" x14ac:dyDescent="0.25">
      <c r="A171" s="4"/>
      <c r="B171" s="5" t="s">
        <v>850</v>
      </c>
      <c r="C171" s="4"/>
      <c r="D171" s="4">
        <v>13</v>
      </c>
      <c r="E171" s="4">
        <v>2</v>
      </c>
      <c r="F171" s="4">
        <v>127</v>
      </c>
      <c r="G171" s="4">
        <v>127</v>
      </c>
      <c r="H171" s="4">
        <v>19.100000000000001</v>
      </c>
      <c r="I171" s="4">
        <v>24.8</v>
      </c>
      <c r="J171" s="4">
        <v>6.65</v>
      </c>
      <c r="K171" s="4">
        <v>6.65</v>
      </c>
      <c r="L171" s="4">
        <v>32</v>
      </c>
      <c r="M171" s="4">
        <v>1</v>
      </c>
      <c r="N171" s="4">
        <v>70.400000000000006</v>
      </c>
      <c r="O171" s="4">
        <v>8970</v>
      </c>
      <c r="P171" s="4">
        <v>13.1</v>
      </c>
      <c r="Q171" s="4">
        <v>149</v>
      </c>
      <c r="R171" s="4">
        <v>38.299999999999997</v>
      </c>
      <c r="S171" s="4">
        <v>38.700000000000003</v>
      </c>
      <c r="T171" s="4">
        <v>54.4</v>
      </c>
      <c r="U171" s="4">
        <v>57.3</v>
      </c>
      <c r="V171" s="4">
        <v>58.1</v>
      </c>
      <c r="W171" s="4">
        <v>58.8</v>
      </c>
      <c r="X171" s="4">
        <v>60.4</v>
      </c>
      <c r="Y171" s="4">
        <v>61.9</v>
      </c>
      <c r="Z171" s="4">
        <v>29.2</v>
      </c>
      <c r="AA171" s="4">
        <v>1090</v>
      </c>
      <c r="AB171" s="4">
        <v>1.25</v>
      </c>
      <c r="AC171" s="4">
        <v>1.02</v>
      </c>
      <c r="AD171" s="4" t="s">
        <v>851</v>
      </c>
      <c r="AE171" s="4">
        <v>47.3</v>
      </c>
    </row>
    <row r="172" spans="1:31" x14ac:dyDescent="0.25">
      <c r="A172" s="4"/>
      <c r="B172" s="5" t="s">
        <v>852</v>
      </c>
      <c r="C172" s="4"/>
      <c r="D172" s="4">
        <v>13</v>
      </c>
      <c r="E172" s="4">
        <v>2</v>
      </c>
      <c r="F172" s="4">
        <v>127</v>
      </c>
      <c r="G172" s="4">
        <v>127</v>
      </c>
      <c r="H172" s="4">
        <v>15.9</v>
      </c>
      <c r="I172" s="4">
        <v>24.8</v>
      </c>
      <c r="J172" s="4">
        <v>7.99</v>
      </c>
      <c r="K172" s="4">
        <v>7.99</v>
      </c>
      <c r="L172" s="4">
        <v>29</v>
      </c>
      <c r="M172" s="4">
        <v>1</v>
      </c>
      <c r="N172" s="4">
        <v>59.4</v>
      </c>
      <c r="O172" s="4">
        <v>7570</v>
      </c>
      <c r="P172" s="4">
        <v>11.3</v>
      </c>
      <c r="Q172" s="4">
        <v>127</v>
      </c>
      <c r="R172" s="4">
        <v>38.700000000000003</v>
      </c>
      <c r="S172" s="4">
        <v>37.6</v>
      </c>
      <c r="T172" s="4">
        <v>53.9</v>
      </c>
      <c r="U172" s="4">
        <v>56.8</v>
      </c>
      <c r="V172" s="4">
        <v>57.5</v>
      </c>
      <c r="W172" s="4">
        <v>58.3</v>
      </c>
      <c r="X172" s="4">
        <v>59.8</v>
      </c>
      <c r="Y172" s="4">
        <v>61.3</v>
      </c>
      <c r="Z172" s="4">
        <v>29.6</v>
      </c>
      <c r="AA172" s="4">
        <v>638</v>
      </c>
      <c r="AB172" s="4">
        <v>0.754</v>
      </c>
      <c r="AC172" s="4">
        <v>1.02</v>
      </c>
      <c r="AD172" s="4" t="s">
        <v>853</v>
      </c>
      <c r="AE172" s="4">
        <v>39.9</v>
      </c>
    </row>
    <row r="173" spans="1:31" x14ac:dyDescent="0.25">
      <c r="A173" s="4"/>
      <c r="B173" s="5" t="s">
        <v>854</v>
      </c>
      <c r="C173" s="4"/>
      <c r="D173" s="4">
        <v>13</v>
      </c>
      <c r="E173" s="4">
        <v>1</v>
      </c>
      <c r="F173" s="4">
        <v>127</v>
      </c>
      <c r="G173" s="4">
        <v>127</v>
      </c>
      <c r="H173" s="4">
        <v>12.7</v>
      </c>
      <c r="I173" s="4">
        <v>25</v>
      </c>
      <c r="J173" s="4">
        <v>10</v>
      </c>
      <c r="K173" s="4">
        <v>10</v>
      </c>
      <c r="L173" s="4">
        <v>26</v>
      </c>
      <c r="M173" s="4">
        <v>1</v>
      </c>
      <c r="N173" s="4">
        <v>48.1</v>
      </c>
      <c r="O173" s="4">
        <v>6130</v>
      </c>
      <c r="P173" s="4">
        <v>9.3699999999999992</v>
      </c>
      <c r="Q173" s="4">
        <v>103</v>
      </c>
      <c r="R173" s="4">
        <v>39.1</v>
      </c>
      <c r="S173" s="4">
        <v>36.4</v>
      </c>
      <c r="T173" s="4">
        <v>53.4</v>
      </c>
      <c r="U173" s="4">
        <v>56.2</v>
      </c>
      <c r="V173" s="4">
        <v>57</v>
      </c>
      <c r="W173" s="4">
        <v>57.7</v>
      </c>
      <c r="X173" s="4">
        <v>59.2</v>
      </c>
      <c r="Y173" s="4">
        <v>60.7</v>
      </c>
      <c r="Z173" s="4">
        <v>30.1</v>
      </c>
      <c r="AA173" s="4">
        <v>330</v>
      </c>
      <c r="AB173" s="4">
        <v>0.4</v>
      </c>
      <c r="AC173" s="4">
        <v>1.02</v>
      </c>
      <c r="AD173" s="4" t="s">
        <v>855</v>
      </c>
      <c r="AE173" s="4">
        <v>32.299999999999997</v>
      </c>
    </row>
    <row r="174" spans="1:31" x14ac:dyDescent="0.25">
      <c r="A174" s="4"/>
      <c r="B174" s="5" t="s">
        <v>856</v>
      </c>
      <c r="C174" s="4" t="s">
        <v>59</v>
      </c>
      <c r="D174" s="4">
        <v>13</v>
      </c>
      <c r="E174" s="4">
        <v>1</v>
      </c>
      <c r="F174" s="4">
        <v>127</v>
      </c>
      <c r="G174" s="4">
        <v>127</v>
      </c>
      <c r="H174" s="4">
        <v>11.1</v>
      </c>
      <c r="I174" s="4">
        <v>25</v>
      </c>
      <c r="J174" s="4">
        <v>11.4</v>
      </c>
      <c r="K174" s="4">
        <v>11.4</v>
      </c>
      <c r="L174" s="4">
        <v>24</v>
      </c>
      <c r="M174" s="4">
        <v>1</v>
      </c>
      <c r="N174" s="4">
        <v>42.3</v>
      </c>
      <c r="O174" s="4">
        <v>5390</v>
      </c>
      <c r="P174" s="4">
        <v>8.33</v>
      </c>
      <c r="Q174" s="4">
        <v>91.4</v>
      </c>
      <c r="R174" s="4">
        <v>39.299999999999997</v>
      </c>
      <c r="S174" s="4">
        <v>35.799999999999997</v>
      </c>
      <c r="T174" s="4">
        <v>53.2</v>
      </c>
      <c r="U174" s="4">
        <v>56</v>
      </c>
      <c r="V174" s="4">
        <v>56.7</v>
      </c>
      <c r="W174" s="4">
        <v>57.4</v>
      </c>
      <c r="X174" s="4">
        <v>58.9</v>
      </c>
      <c r="Y174" s="4">
        <v>60.4</v>
      </c>
      <c r="Z174" s="4">
        <v>30.3</v>
      </c>
      <c r="AA174" s="4">
        <v>221</v>
      </c>
      <c r="AB174" s="4">
        <v>0.27200000000000002</v>
      </c>
      <c r="AC174" s="4">
        <v>1.02</v>
      </c>
      <c r="AD174" s="4" t="s">
        <v>857</v>
      </c>
      <c r="AE174" s="4">
        <v>28.4</v>
      </c>
    </row>
    <row r="175" spans="1:31" x14ac:dyDescent="0.25">
      <c r="A175" s="4"/>
      <c r="B175" s="5" t="s">
        <v>858</v>
      </c>
      <c r="C175" s="4"/>
      <c r="D175" s="4">
        <v>13</v>
      </c>
      <c r="E175" s="4">
        <v>1</v>
      </c>
      <c r="F175" s="4">
        <v>127</v>
      </c>
      <c r="G175" s="4">
        <v>127</v>
      </c>
      <c r="H175" s="4">
        <v>9.5299999999999994</v>
      </c>
      <c r="I175" s="4">
        <v>25.1</v>
      </c>
      <c r="J175" s="4">
        <v>13.3</v>
      </c>
      <c r="K175" s="4">
        <v>13.3</v>
      </c>
      <c r="L175" s="4">
        <v>23</v>
      </c>
      <c r="M175" s="4">
        <v>1</v>
      </c>
      <c r="N175" s="4">
        <v>36.6</v>
      </c>
      <c r="O175" s="4">
        <v>4660</v>
      </c>
      <c r="P175" s="4">
        <v>7.28</v>
      </c>
      <c r="Q175" s="4">
        <v>79.400000000000006</v>
      </c>
      <c r="R175" s="4">
        <v>39.5</v>
      </c>
      <c r="S175" s="4">
        <v>35.299999999999997</v>
      </c>
      <c r="T175" s="4">
        <v>53</v>
      </c>
      <c r="U175" s="4">
        <v>55.7</v>
      </c>
      <c r="V175" s="4">
        <v>56.4</v>
      </c>
      <c r="W175" s="4">
        <v>57.2</v>
      </c>
      <c r="X175" s="4">
        <v>58.6</v>
      </c>
      <c r="Y175" s="4">
        <v>60.1</v>
      </c>
      <c r="Z175" s="4">
        <v>30.5</v>
      </c>
      <c r="AA175" s="4">
        <v>141</v>
      </c>
      <c r="AB175" s="4">
        <v>0.17599999999999999</v>
      </c>
      <c r="AC175" s="4">
        <v>1.02</v>
      </c>
      <c r="AD175" s="4" t="s">
        <v>859</v>
      </c>
      <c r="AE175" s="4">
        <v>24.6</v>
      </c>
    </row>
    <row r="176" spans="1:31" x14ac:dyDescent="0.25">
      <c r="A176" s="4"/>
      <c r="B176" s="5" t="s">
        <v>860</v>
      </c>
      <c r="C176" s="4"/>
      <c r="D176" s="4">
        <v>13</v>
      </c>
      <c r="E176" s="4">
        <v>1</v>
      </c>
      <c r="F176" s="4">
        <v>127</v>
      </c>
      <c r="G176" s="4">
        <v>127</v>
      </c>
      <c r="H176" s="4">
        <v>7.94</v>
      </c>
      <c r="I176" s="4">
        <v>25.2</v>
      </c>
      <c r="J176" s="4">
        <v>16</v>
      </c>
      <c r="K176" s="4">
        <v>16</v>
      </c>
      <c r="L176" s="4">
        <v>21</v>
      </c>
      <c r="M176" s="4">
        <v>1</v>
      </c>
      <c r="N176" s="4">
        <v>30.7</v>
      </c>
      <c r="O176" s="4">
        <v>3910</v>
      </c>
      <c r="P176" s="4">
        <v>6.18</v>
      </c>
      <c r="Q176" s="4">
        <v>66.900000000000006</v>
      </c>
      <c r="R176" s="4">
        <v>39.799999999999997</v>
      </c>
      <c r="S176" s="4">
        <v>34.700000000000003</v>
      </c>
      <c r="T176" s="4">
        <v>52.8</v>
      </c>
      <c r="U176" s="4">
        <v>55.5</v>
      </c>
      <c r="V176" s="4">
        <v>56.2</v>
      </c>
      <c r="W176" s="4">
        <v>56.9</v>
      </c>
      <c r="X176" s="4">
        <v>58.3</v>
      </c>
      <c r="Y176" s="4">
        <v>59.8</v>
      </c>
      <c r="Z176" s="4">
        <v>30.7</v>
      </c>
      <c r="AA176" s="4">
        <v>82.1</v>
      </c>
      <c r="AB176" s="4">
        <v>0.104</v>
      </c>
      <c r="AC176" s="4">
        <v>1.02</v>
      </c>
      <c r="AD176" s="4" t="s">
        <v>861</v>
      </c>
      <c r="AE176" s="4">
        <v>20.6</v>
      </c>
    </row>
    <row r="177" spans="1:31" x14ac:dyDescent="0.25">
      <c r="A177" s="4"/>
      <c r="B177" s="5" t="s">
        <v>862</v>
      </c>
      <c r="C177" s="4" t="s">
        <v>59</v>
      </c>
      <c r="D177" s="4">
        <v>13</v>
      </c>
      <c r="E177" s="4">
        <v>1</v>
      </c>
      <c r="F177" s="4">
        <v>127</v>
      </c>
      <c r="G177" s="4">
        <v>127</v>
      </c>
      <c r="H177" s="4">
        <v>6.35</v>
      </c>
      <c r="I177" s="4">
        <v>25.4</v>
      </c>
      <c r="J177" s="4">
        <v>20</v>
      </c>
      <c r="K177" s="4">
        <v>20</v>
      </c>
      <c r="L177" s="4">
        <v>19</v>
      </c>
      <c r="M177" s="4">
        <v>1</v>
      </c>
      <c r="N177" s="4">
        <v>24.7</v>
      </c>
      <c r="O177" s="4">
        <v>3150</v>
      </c>
      <c r="P177" s="4">
        <v>5.03</v>
      </c>
      <c r="Q177" s="4">
        <v>54.2</v>
      </c>
      <c r="R177" s="4">
        <v>40</v>
      </c>
      <c r="S177" s="4">
        <v>34.1</v>
      </c>
      <c r="T177" s="4">
        <v>52.6</v>
      </c>
      <c r="U177" s="4">
        <v>55.2</v>
      </c>
      <c r="V177" s="4">
        <v>55.9</v>
      </c>
      <c r="W177" s="4">
        <v>56.6</v>
      </c>
      <c r="X177" s="4">
        <v>58.1</v>
      </c>
      <c r="Y177" s="4">
        <v>59.5</v>
      </c>
      <c r="Z177" s="4">
        <v>30.9</v>
      </c>
      <c r="AA177" s="4">
        <v>42.3</v>
      </c>
      <c r="AB177" s="4">
        <v>5.3999999999999999E-2</v>
      </c>
      <c r="AC177" s="4">
        <v>1.02</v>
      </c>
      <c r="AD177" s="4" t="s">
        <v>863</v>
      </c>
      <c r="AE177" s="4">
        <v>16.600000000000001</v>
      </c>
    </row>
    <row r="178" spans="1:31" x14ac:dyDescent="0.25">
      <c r="A178" s="4" t="s">
        <v>59</v>
      </c>
      <c r="B178" s="5" t="s">
        <v>864</v>
      </c>
      <c r="C178" s="4"/>
      <c r="D178" s="4">
        <v>13</v>
      </c>
      <c r="E178" s="4">
        <v>2</v>
      </c>
      <c r="F178" s="4">
        <v>102</v>
      </c>
      <c r="G178" s="4">
        <v>102</v>
      </c>
      <c r="H178" s="4">
        <v>19.100000000000001</v>
      </c>
      <c r="I178" s="4">
        <v>19.8</v>
      </c>
      <c r="J178" s="4">
        <v>5.34</v>
      </c>
      <c r="K178" s="4">
        <v>5.34</v>
      </c>
      <c r="L178" s="4">
        <v>29</v>
      </c>
      <c r="M178" s="4">
        <v>1</v>
      </c>
      <c r="N178" s="4">
        <v>55.4</v>
      </c>
      <c r="O178" s="4">
        <v>7060</v>
      </c>
      <c r="P178" s="4">
        <v>6.48</v>
      </c>
      <c r="Q178" s="4">
        <v>93.1</v>
      </c>
      <c r="R178" s="4">
        <v>30.3</v>
      </c>
      <c r="S178" s="4">
        <v>32.4</v>
      </c>
      <c r="T178" s="4">
        <v>44.4</v>
      </c>
      <c r="U178" s="4">
        <v>47.4</v>
      </c>
      <c r="V178" s="4">
        <v>48.1</v>
      </c>
      <c r="W178" s="4">
        <v>48.9</v>
      </c>
      <c r="X178" s="4">
        <v>50.5</v>
      </c>
      <c r="Y178" s="4">
        <v>52.1</v>
      </c>
      <c r="Z178" s="4">
        <v>22.9</v>
      </c>
      <c r="AA178" s="4">
        <v>859</v>
      </c>
      <c r="AB178" s="4">
        <v>0.61199999999999999</v>
      </c>
      <c r="AC178" s="4">
        <v>0.81600000000000006</v>
      </c>
      <c r="AD178" s="4" t="s">
        <v>865</v>
      </c>
      <c r="AE178" s="4">
        <v>37.299999999999997</v>
      </c>
    </row>
    <row r="179" spans="1:31" x14ac:dyDescent="0.25">
      <c r="A179" s="4"/>
      <c r="B179" s="5" t="s">
        <v>866</v>
      </c>
      <c r="C179" s="4" t="s">
        <v>59</v>
      </c>
      <c r="D179" s="4">
        <v>13</v>
      </c>
      <c r="E179" s="4">
        <v>2</v>
      </c>
      <c r="F179" s="4">
        <v>102</v>
      </c>
      <c r="G179" s="4">
        <v>102</v>
      </c>
      <c r="H179" s="4">
        <v>15.9</v>
      </c>
      <c r="I179" s="4">
        <v>19.899999999999999</v>
      </c>
      <c r="J179" s="4">
        <v>6.42</v>
      </c>
      <c r="K179" s="4">
        <v>6.42</v>
      </c>
      <c r="L179" s="4">
        <v>26</v>
      </c>
      <c r="M179" s="4">
        <v>1</v>
      </c>
      <c r="N179" s="4">
        <v>47</v>
      </c>
      <c r="O179" s="4">
        <v>5980</v>
      </c>
      <c r="P179" s="4">
        <v>5.62</v>
      </c>
      <c r="Q179" s="4">
        <v>79.5</v>
      </c>
      <c r="R179" s="4">
        <v>30.7</v>
      </c>
      <c r="S179" s="4">
        <v>31.3</v>
      </c>
      <c r="T179" s="4">
        <v>43.8</v>
      </c>
      <c r="U179" s="4">
        <v>46.7</v>
      </c>
      <c r="V179" s="4">
        <v>47.5</v>
      </c>
      <c r="W179" s="4">
        <v>48.3</v>
      </c>
      <c r="X179" s="4">
        <v>49.8</v>
      </c>
      <c r="Y179" s="4">
        <v>51.4</v>
      </c>
      <c r="Z179" s="4">
        <v>23.3</v>
      </c>
      <c r="AA179" s="4">
        <v>504</v>
      </c>
      <c r="AB179" s="4">
        <v>0.372</v>
      </c>
      <c r="AC179" s="4">
        <v>0.81600000000000006</v>
      </c>
      <c r="AD179" s="4" t="s">
        <v>867</v>
      </c>
      <c r="AE179" s="4">
        <v>31.6</v>
      </c>
    </row>
    <row r="180" spans="1:31" x14ac:dyDescent="0.25">
      <c r="A180" s="4"/>
      <c r="B180" s="5" t="s">
        <v>868</v>
      </c>
      <c r="C180" s="4"/>
      <c r="D180" s="4">
        <v>13</v>
      </c>
      <c r="E180" s="4">
        <v>1</v>
      </c>
      <c r="F180" s="4">
        <v>102</v>
      </c>
      <c r="G180" s="4">
        <v>102</v>
      </c>
      <c r="H180" s="4">
        <v>12.7</v>
      </c>
      <c r="I180" s="4">
        <v>19.899999999999999</v>
      </c>
      <c r="J180" s="4">
        <v>8.0299999999999994</v>
      </c>
      <c r="K180" s="4">
        <v>8.0299999999999994</v>
      </c>
      <c r="L180" s="4">
        <v>23</v>
      </c>
      <c r="M180" s="4">
        <v>1</v>
      </c>
      <c r="N180" s="4">
        <v>38.1</v>
      </c>
      <c r="O180" s="4">
        <v>4860</v>
      </c>
      <c r="P180" s="4">
        <v>4.6900000000000004</v>
      </c>
      <c r="Q180" s="4">
        <v>65.3</v>
      </c>
      <c r="R180" s="4">
        <v>31.1</v>
      </c>
      <c r="S180" s="4">
        <v>30.2</v>
      </c>
      <c r="T180" s="4">
        <v>43.3</v>
      </c>
      <c r="U180" s="4">
        <v>46.2</v>
      </c>
      <c r="V180" s="4">
        <v>46.9</v>
      </c>
      <c r="W180" s="4">
        <v>47.7</v>
      </c>
      <c r="X180" s="4">
        <v>49.2</v>
      </c>
      <c r="Y180" s="4">
        <v>50.8</v>
      </c>
      <c r="Z180" s="4">
        <v>23.8</v>
      </c>
      <c r="AA180" s="4">
        <v>261</v>
      </c>
      <c r="AB180" s="4">
        <v>0.19900000000000001</v>
      </c>
      <c r="AC180" s="4">
        <v>0.81600000000000006</v>
      </c>
      <c r="AD180" s="4" t="s">
        <v>869</v>
      </c>
      <c r="AE180" s="4">
        <v>25.6</v>
      </c>
    </row>
    <row r="181" spans="1:31" x14ac:dyDescent="0.25">
      <c r="A181" s="4"/>
      <c r="B181" s="5" t="s">
        <v>870</v>
      </c>
      <c r="C181" s="4" t="s">
        <v>59</v>
      </c>
      <c r="D181" s="4">
        <v>13</v>
      </c>
      <c r="E181" s="4">
        <v>1</v>
      </c>
      <c r="F181" s="4">
        <v>102</v>
      </c>
      <c r="G181" s="4">
        <v>102</v>
      </c>
      <c r="H181" s="4">
        <v>11.1</v>
      </c>
      <c r="I181" s="4">
        <v>20</v>
      </c>
      <c r="J181" s="4">
        <v>9.19</v>
      </c>
      <c r="K181" s="4">
        <v>9.19</v>
      </c>
      <c r="L181" s="4">
        <v>21</v>
      </c>
      <c r="M181" s="4">
        <v>1</v>
      </c>
      <c r="N181" s="4">
        <v>33.6</v>
      </c>
      <c r="O181" s="4">
        <v>4280</v>
      </c>
      <c r="P181" s="4">
        <v>4.1900000000000004</v>
      </c>
      <c r="Q181" s="4">
        <v>57.8</v>
      </c>
      <c r="R181" s="4">
        <v>31.3</v>
      </c>
      <c r="S181" s="4">
        <v>29.6</v>
      </c>
      <c r="T181" s="4">
        <v>43</v>
      </c>
      <c r="U181" s="4">
        <v>45.9</v>
      </c>
      <c r="V181" s="4">
        <v>46.6</v>
      </c>
      <c r="W181" s="4">
        <v>47.4</v>
      </c>
      <c r="X181" s="4">
        <v>48.9</v>
      </c>
      <c r="Y181" s="4">
        <v>50.4</v>
      </c>
      <c r="Z181" s="4">
        <v>24</v>
      </c>
      <c r="AA181" s="4">
        <v>176</v>
      </c>
      <c r="AB181" s="4">
        <v>0.13600000000000001</v>
      </c>
      <c r="AC181" s="4">
        <v>0.81600000000000006</v>
      </c>
      <c r="AD181" s="4" t="s">
        <v>871</v>
      </c>
      <c r="AE181" s="4">
        <v>22.6</v>
      </c>
    </row>
    <row r="182" spans="1:31" x14ac:dyDescent="0.25">
      <c r="A182" s="4"/>
      <c r="B182" s="5" t="s">
        <v>872</v>
      </c>
      <c r="C182" s="4"/>
      <c r="D182" s="4">
        <v>13</v>
      </c>
      <c r="E182" s="4">
        <v>1</v>
      </c>
      <c r="F182" s="4">
        <v>102</v>
      </c>
      <c r="G182" s="4">
        <v>102</v>
      </c>
      <c r="H182" s="4">
        <v>9.5299999999999994</v>
      </c>
      <c r="I182" s="4">
        <v>20.100000000000001</v>
      </c>
      <c r="J182" s="4">
        <v>10.7</v>
      </c>
      <c r="K182" s="4">
        <v>10.7</v>
      </c>
      <c r="L182" s="4">
        <v>20</v>
      </c>
      <c r="M182" s="4">
        <v>1</v>
      </c>
      <c r="N182" s="4">
        <v>29.1</v>
      </c>
      <c r="O182" s="4">
        <v>3710</v>
      </c>
      <c r="P182" s="4">
        <v>3.68</v>
      </c>
      <c r="Q182" s="4">
        <v>50.4</v>
      </c>
      <c r="R182" s="4">
        <v>31.5</v>
      </c>
      <c r="S182" s="4">
        <v>29</v>
      </c>
      <c r="T182" s="4">
        <v>42.8</v>
      </c>
      <c r="U182" s="4">
        <v>45.6</v>
      </c>
      <c r="V182" s="4">
        <v>46.4</v>
      </c>
      <c r="W182" s="4">
        <v>47.1</v>
      </c>
      <c r="X182" s="4">
        <v>48.6</v>
      </c>
      <c r="Y182" s="4">
        <v>50.1</v>
      </c>
      <c r="Z182" s="4">
        <v>24.3</v>
      </c>
      <c r="AA182" s="4">
        <v>112</v>
      </c>
      <c r="AB182" s="4">
        <v>8.8400000000000006E-2</v>
      </c>
      <c r="AC182" s="4">
        <v>0.81600000000000006</v>
      </c>
      <c r="AD182" s="4" t="s">
        <v>873</v>
      </c>
      <c r="AE182" s="4">
        <v>19.600000000000001</v>
      </c>
    </row>
    <row r="183" spans="1:31" x14ac:dyDescent="0.25">
      <c r="A183" s="4"/>
      <c r="B183" s="5" t="s">
        <v>874</v>
      </c>
      <c r="C183" s="4"/>
      <c r="D183" s="4">
        <v>13</v>
      </c>
      <c r="E183" s="4">
        <v>1</v>
      </c>
      <c r="F183" s="4">
        <v>102</v>
      </c>
      <c r="G183" s="4">
        <v>102</v>
      </c>
      <c r="H183" s="4">
        <v>7.94</v>
      </c>
      <c r="I183" s="4">
        <v>20.2</v>
      </c>
      <c r="J183" s="4">
        <v>12.8</v>
      </c>
      <c r="K183" s="4">
        <v>12.8</v>
      </c>
      <c r="L183" s="4">
        <v>18</v>
      </c>
      <c r="M183" s="4">
        <v>1</v>
      </c>
      <c r="N183" s="4">
        <v>24.4</v>
      </c>
      <c r="O183" s="4">
        <v>3110</v>
      </c>
      <c r="P183" s="4">
        <v>3.13</v>
      </c>
      <c r="Q183" s="4">
        <v>42.6</v>
      </c>
      <c r="R183" s="4">
        <v>31.7</v>
      </c>
      <c r="S183" s="4">
        <v>28.4</v>
      </c>
      <c r="T183" s="4">
        <v>42.6</v>
      </c>
      <c r="U183" s="4">
        <v>45.4</v>
      </c>
      <c r="V183" s="4">
        <v>46.1</v>
      </c>
      <c r="W183" s="4">
        <v>46.8</v>
      </c>
      <c r="X183" s="4">
        <v>48.3</v>
      </c>
      <c r="Y183" s="4">
        <v>49.8</v>
      </c>
      <c r="Z183" s="4">
        <v>24.5</v>
      </c>
      <c r="AA183" s="4">
        <v>65.400000000000006</v>
      </c>
      <c r="AB183" s="4">
        <v>5.2400000000000002E-2</v>
      </c>
      <c r="AC183" s="4">
        <v>0.81600000000000006</v>
      </c>
      <c r="AD183" s="4" t="s">
        <v>875</v>
      </c>
      <c r="AE183" s="4">
        <v>16.399999999999999</v>
      </c>
    </row>
    <row r="184" spans="1:31" x14ac:dyDescent="0.25">
      <c r="A184" s="4"/>
      <c r="B184" s="5" t="s">
        <v>876</v>
      </c>
      <c r="C184" s="4"/>
      <c r="D184" s="4">
        <v>13</v>
      </c>
      <c r="E184" s="4">
        <v>1</v>
      </c>
      <c r="F184" s="4">
        <v>102</v>
      </c>
      <c r="G184" s="4">
        <v>102</v>
      </c>
      <c r="H184" s="4">
        <v>6.35</v>
      </c>
      <c r="I184" s="4">
        <v>20.3</v>
      </c>
      <c r="J184" s="4">
        <v>16.100000000000001</v>
      </c>
      <c r="K184" s="4">
        <v>16.100000000000001</v>
      </c>
      <c r="L184" s="4">
        <v>16</v>
      </c>
      <c r="M184" s="4">
        <v>1</v>
      </c>
      <c r="N184" s="4">
        <v>19.7</v>
      </c>
      <c r="O184" s="4">
        <v>2510</v>
      </c>
      <c r="P184" s="4">
        <v>2.56</v>
      </c>
      <c r="Q184" s="4">
        <v>34.5</v>
      </c>
      <c r="R184" s="4">
        <v>31.9</v>
      </c>
      <c r="S184" s="4">
        <v>27.9</v>
      </c>
      <c r="T184" s="4">
        <v>42.4</v>
      </c>
      <c r="U184" s="4">
        <v>45.1</v>
      </c>
      <c r="V184" s="4">
        <v>45.8</v>
      </c>
      <c r="W184" s="4">
        <v>46.5</v>
      </c>
      <c r="X184" s="4">
        <v>48</v>
      </c>
      <c r="Y184" s="4">
        <v>49.5</v>
      </c>
      <c r="Z184" s="4">
        <v>24.7</v>
      </c>
      <c r="AA184" s="4">
        <v>33.700000000000003</v>
      </c>
      <c r="AB184" s="4">
        <v>2.75E-2</v>
      </c>
      <c r="AC184" s="4">
        <v>0.81600000000000006</v>
      </c>
      <c r="AD184" s="4" t="s">
        <v>877</v>
      </c>
      <c r="AE184" s="4">
        <v>13.2</v>
      </c>
    </row>
    <row r="185" spans="1:31" x14ac:dyDescent="0.25">
      <c r="A185" s="4" t="s">
        <v>59</v>
      </c>
      <c r="B185" s="5" t="s">
        <v>878</v>
      </c>
      <c r="C185" s="4"/>
      <c r="D185" s="4">
        <v>13</v>
      </c>
      <c r="E185" s="4">
        <v>1</v>
      </c>
      <c r="F185" s="4">
        <v>88.9</v>
      </c>
      <c r="G185" s="4">
        <v>88.9</v>
      </c>
      <c r="H185" s="4">
        <v>12.7</v>
      </c>
      <c r="I185" s="4">
        <v>17.3</v>
      </c>
      <c r="J185" s="4">
        <v>7</v>
      </c>
      <c r="K185" s="4">
        <v>7</v>
      </c>
      <c r="L185" s="4">
        <v>23</v>
      </c>
      <c r="M185" s="4">
        <v>1</v>
      </c>
      <c r="N185" s="4">
        <v>32.9</v>
      </c>
      <c r="O185" s="4">
        <v>4190</v>
      </c>
      <c r="P185" s="4">
        <v>3.03</v>
      </c>
      <c r="Q185" s="4">
        <v>48.8</v>
      </c>
      <c r="R185" s="4">
        <v>26.9</v>
      </c>
      <c r="S185" s="4">
        <v>26.9</v>
      </c>
      <c r="T185" s="4">
        <v>38</v>
      </c>
      <c r="U185" s="4">
        <v>40.9</v>
      </c>
      <c r="V185" s="4">
        <v>41.7</v>
      </c>
      <c r="W185" s="4">
        <v>42.4</v>
      </c>
      <c r="X185" s="4">
        <v>44</v>
      </c>
      <c r="Y185" s="4">
        <v>45.6</v>
      </c>
      <c r="Z185" s="4">
        <v>20.5</v>
      </c>
      <c r="AA185" s="4">
        <v>225</v>
      </c>
      <c r="AB185" s="4">
        <v>0.128</v>
      </c>
      <c r="AC185" s="4">
        <v>0.71099999999999997</v>
      </c>
      <c r="AD185" s="4" t="s">
        <v>879</v>
      </c>
      <c r="AE185" s="4">
        <v>22.1</v>
      </c>
    </row>
    <row r="186" spans="1:31" x14ac:dyDescent="0.25">
      <c r="A186" s="4"/>
      <c r="B186" s="5" t="s">
        <v>880</v>
      </c>
      <c r="C186" s="4" t="s">
        <v>59</v>
      </c>
      <c r="D186" s="4">
        <v>13</v>
      </c>
      <c r="E186" s="4">
        <v>1</v>
      </c>
      <c r="F186" s="4">
        <v>88.9</v>
      </c>
      <c r="G186" s="4">
        <v>88.9</v>
      </c>
      <c r="H186" s="4">
        <v>11.1</v>
      </c>
      <c r="I186" s="4">
        <v>17.399999999999999</v>
      </c>
      <c r="J186" s="4">
        <v>8.01</v>
      </c>
      <c r="K186" s="4">
        <v>8.01</v>
      </c>
      <c r="L186" s="4">
        <v>21</v>
      </c>
      <c r="M186" s="4">
        <v>1</v>
      </c>
      <c r="N186" s="4">
        <v>29.1</v>
      </c>
      <c r="O186" s="4">
        <v>3700</v>
      </c>
      <c r="P186" s="4">
        <v>2.71</v>
      </c>
      <c r="Q186" s="4">
        <v>43.3</v>
      </c>
      <c r="R186" s="4">
        <v>27.1</v>
      </c>
      <c r="S186" s="4">
        <v>26.3</v>
      </c>
      <c r="T186" s="4">
        <v>37.700000000000003</v>
      </c>
      <c r="U186" s="4">
        <v>40.6</v>
      </c>
      <c r="V186" s="4">
        <v>41.4</v>
      </c>
      <c r="W186" s="4">
        <v>42.1</v>
      </c>
      <c r="X186" s="4">
        <v>43.7</v>
      </c>
      <c r="Y186" s="4">
        <v>45.3</v>
      </c>
      <c r="Z186" s="4">
        <v>20.7</v>
      </c>
      <c r="AA186" s="4">
        <v>152</v>
      </c>
      <c r="AB186" s="4">
        <v>8.7999999999999995E-2</v>
      </c>
      <c r="AC186" s="4">
        <v>0.71099999999999997</v>
      </c>
      <c r="AD186" s="4" t="s">
        <v>881</v>
      </c>
      <c r="AE186" s="4">
        <v>19.5</v>
      </c>
    </row>
    <row r="187" spans="1:31" x14ac:dyDescent="0.25">
      <c r="A187" s="4"/>
      <c r="B187" s="5" t="s">
        <v>882</v>
      </c>
      <c r="C187" s="4"/>
      <c r="D187" s="4">
        <v>13</v>
      </c>
      <c r="E187" s="4">
        <v>1</v>
      </c>
      <c r="F187" s="4">
        <v>88.9</v>
      </c>
      <c r="G187" s="4">
        <v>88.9</v>
      </c>
      <c r="H187" s="4">
        <v>9.5299999999999994</v>
      </c>
      <c r="I187" s="4">
        <v>17.399999999999999</v>
      </c>
      <c r="J187" s="4">
        <v>9.33</v>
      </c>
      <c r="K187" s="4">
        <v>9.33</v>
      </c>
      <c r="L187" s="4">
        <v>20</v>
      </c>
      <c r="M187" s="4">
        <v>1</v>
      </c>
      <c r="N187" s="4">
        <v>25.2</v>
      </c>
      <c r="O187" s="4">
        <v>3210</v>
      </c>
      <c r="P187" s="4">
        <v>2.39</v>
      </c>
      <c r="Q187" s="4">
        <v>37.799999999999997</v>
      </c>
      <c r="R187" s="4">
        <v>27.3</v>
      </c>
      <c r="S187" s="4">
        <v>25.7</v>
      </c>
      <c r="T187" s="4">
        <v>37.5</v>
      </c>
      <c r="U187" s="4">
        <v>40.299999999999997</v>
      </c>
      <c r="V187" s="4">
        <v>41.1</v>
      </c>
      <c r="W187" s="4">
        <v>41.8</v>
      </c>
      <c r="X187" s="4">
        <v>43.4</v>
      </c>
      <c r="Y187" s="4">
        <v>45</v>
      </c>
      <c r="Z187" s="4">
        <v>21</v>
      </c>
      <c r="AA187" s="4">
        <v>97.1</v>
      </c>
      <c r="AB187" s="4">
        <v>5.7299999999999997E-2</v>
      </c>
      <c r="AC187" s="4">
        <v>0.71099999999999997</v>
      </c>
      <c r="AD187" s="4" t="s">
        <v>883</v>
      </c>
      <c r="AE187" s="4">
        <v>16.899999999999999</v>
      </c>
    </row>
    <row r="188" spans="1:31" x14ac:dyDescent="0.25">
      <c r="A188" s="4"/>
      <c r="B188" s="5" t="s">
        <v>884</v>
      </c>
      <c r="C188" s="4"/>
      <c r="D188" s="4">
        <v>13</v>
      </c>
      <c r="E188" s="4">
        <v>1</v>
      </c>
      <c r="F188" s="4">
        <v>88.9</v>
      </c>
      <c r="G188" s="4">
        <v>88.9</v>
      </c>
      <c r="H188" s="4">
        <v>7.94</v>
      </c>
      <c r="I188" s="4">
        <v>17.5</v>
      </c>
      <c r="J188" s="4">
        <v>11.2</v>
      </c>
      <c r="K188" s="4">
        <v>11.2</v>
      </c>
      <c r="L188" s="4">
        <v>18</v>
      </c>
      <c r="M188" s="4">
        <v>1</v>
      </c>
      <c r="N188" s="4">
        <v>21.2</v>
      </c>
      <c r="O188" s="4">
        <v>2700</v>
      </c>
      <c r="P188" s="4">
        <v>2.04</v>
      </c>
      <c r="Q188" s="4">
        <v>32</v>
      </c>
      <c r="R188" s="4">
        <v>27.5</v>
      </c>
      <c r="S188" s="4">
        <v>25.2</v>
      </c>
      <c r="T188" s="4">
        <v>37.299999999999997</v>
      </c>
      <c r="U188" s="4">
        <v>40.1</v>
      </c>
      <c r="V188" s="4">
        <v>40.799999999999997</v>
      </c>
      <c r="W188" s="4">
        <v>41.6</v>
      </c>
      <c r="X188" s="4">
        <v>43.1</v>
      </c>
      <c r="Y188" s="4">
        <v>44.6</v>
      </c>
      <c r="Z188" s="4">
        <v>21.2</v>
      </c>
      <c r="AA188" s="4">
        <v>56.7</v>
      </c>
      <c r="AB188" s="4">
        <v>3.4099999999999998E-2</v>
      </c>
      <c r="AC188" s="4">
        <v>0.71099999999999997</v>
      </c>
      <c r="AD188" s="4" t="s">
        <v>885</v>
      </c>
      <c r="AE188" s="4">
        <v>14.2</v>
      </c>
    </row>
    <row r="189" spans="1:31" x14ac:dyDescent="0.25">
      <c r="A189" s="4"/>
      <c r="B189" s="5" t="s">
        <v>886</v>
      </c>
      <c r="C189" s="4"/>
      <c r="D189" s="4">
        <v>13</v>
      </c>
      <c r="E189" s="4">
        <v>1</v>
      </c>
      <c r="F189" s="4">
        <v>88.9</v>
      </c>
      <c r="G189" s="4">
        <v>88.9</v>
      </c>
      <c r="H189" s="4">
        <v>6.35</v>
      </c>
      <c r="I189" s="4">
        <v>17.600000000000001</v>
      </c>
      <c r="J189" s="4">
        <v>14</v>
      </c>
      <c r="K189" s="4">
        <v>14</v>
      </c>
      <c r="L189" s="4">
        <v>16</v>
      </c>
      <c r="M189" s="4">
        <v>1</v>
      </c>
      <c r="N189" s="4">
        <v>17.100000000000001</v>
      </c>
      <c r="O189" s="4">
        <v>2180</v>
      </c>
      <c r="P189" s="4">
        <v>1.67</v>
      </c>
      <c r="Q189" s="4">
        <v>26</v>
      </c>
      <c r="R189" s="4">
        <v>27.7</v>
      </c>
      <c r="S189" s="4">
        <v>24.6</v>
      </c>
      <c r="T189" s="4">
        <v>37</v>
      </c>
      <c r="U189" s="4">
        <v>39.799999999999997</v>
      </c>
      <c r="V189" s="4">
        <v>40.5</v>
      </c>
      <c r="W189" s="4">
        <v>41.3</v>
      </c>
      <c r="X189" s="4">
        <v>42.8</v>
      </c>
      <c r="Y189" s="4">
        <v>44.3</v>
      </c>
      <c r="Z189" s="4">
        <v>21.4</v>
      </c>
      <c r="AA189" s="4">
        <v>29.3</v>
      </c>
      <c r="AB189" s="4">
        <v>1.7899999999999999E-2</v>
      </c>
      <c r="AC189" s="4">
        <v>0.71099999999999997</v>
      </c>
      <c r="AD189" s="4" t="s">
        <v>887</v>
      </c>
      <c r="AE189" s="4">
        <v>11.5</v>
      </c>
    </row>
    <row r="190" spans="1:31" x14ac:dyDescent="0.25">
      <c r="A190" s="4" t="s">
        <v>59</v>
      </c>
      <c r="B190" s="5" t="s">
        <v>888</v>
      </c>
      <c r="C190" s="4"/>
      <c r="D190" s="4">
        <v>13</v>
      </c>
      <c r="E190" s="4">
        <v>1</v>
      </c>
      <c r="F190" s="4">
        <v>76.2</v>
      </c>
      <c r="G190" s="4">
        <v>76.2</v>
      </c>
      <c r="H190" s="4">
        <v>12.7</v>
      </c>
      <c r="I190" s="4">
        <v>14.8</v>
      </c>
      <c r="J190" s="4">
        <v>6</v>
      </c>
      <c r="K190" s="4">
        <v>6</v>
      </c>
      <c r="L190" s="4">
        <v>23</v>
      </c>
      <c r="M190" s="4">
        <v>1</v>
      </c>
      <c r="N190" s="4">
        <v>27.9</v>
      </c>
      <c r="O190" s="4">
        <v>3550</v>
      </c>
      <c r="P190" s="4">
        <v>1.85</v>
      </c>
      <c r="Q190" s="4">
        <v>35.1</v>
      </c>
      <c r="R190" s="4">
        <v>22.8</v>
      </c>
      <c r="S190" s="4">
        <v>23.7</v>
      </c>
      <c r="T190" s="4">
        <v>32.9</v>
      </c>
      <c r="U190" s="4">
        <v>35.9</v>
      </c>
      <c r="V190" s="4">
        <v>36.6</v>
      </c>
      <c r="W190" s="4">
        <v>37.4</v>
      </c>
      <c r="X190" s="4">
        <v>39</v>
      </c>
      <c r="Y190" s="4">
        <v>40.700000000000003</v>
      </c>
      <c r="Z190" s="4">
        <v>17.3</v>
      </c>
      <c r="AA190" s="4">
        <v>191</v>
      </c>
      <c r="AB190" s="4">
        <v>7.7600000000000002E-2</v>
      </c>
      <c r="AC190" s="4">
        <v>0.61</v>
      </c>
      <c r="AD190" s="4" t="s">
        <v>889</v>
      </c>
      <c r="AE190" s="4">
        <v>18.7</v>
      </c>
    </row>
    <row r="191" spans="1:31" x14ac:dyDescent="0.25">
      <c r="A191" s="4"/>
      <c r="B191" s="5" t="s">
        <v>890</v>
      </c>
      <c r="C191" s="4" t="s">
        <v>59</v>
      </c>
      <c r="D191" s="4">
        <v>13</v>
      </c>
      <c r="E191" s="4">
        <v>1</v>
      </c>
      <c r="F191" s="4">
        <v>76.2</v>
      </c>
      <c r="G191" s="4">
        <v>76.2</v>
      </c>
      <c r="H191" s="4">
        <v>11.1</v>
      </c>
      <c r="I191" s="4">
        <v>14.9</v>
      </c>
      <c r="J191" s="4">
        <v>6.86</v>
      </c>
      <c r="K191" s="4">
        <v>6.86</v>
      </c>
      <c r="L191" s="4">
        <v>21</v>
      </c>
      <c r="M191" s="4">
        <v>1</v>
      </c>
      <c r="N191" s="4">
        <v>24.6</v>
      </c>
      <c r="O191" s="4">
        <v>3140</v>
      </c>
      <c r="P191" s="4">
        <v>1.66</v>
      </c>
      <c r="Q191" s="4">
        <v>31.2</v>
      </c>
      <c r="R191" s="4">
        <v>23</v>
      </c>
      <c r="S191" s="4">
        <v>23.1</v>
      </c>
      <c r="T191" s="4">
        <v>32.6</v>
      </c>
      <c r="U191" s="4">
        <v>35.5</v>
      </c>
      <c r="V191" s="4">
        <v>36.299999999999997</v>
      </c>
      <c r="W191" s="4">
        <v>37.1</v>
      </c>
      <c r="X191" s="4">
        <v>38.700000000000003</v>
      </c>
      <c r="Y191" s="4">
        <v>40.299999999999997</v>
      </c>
      <c r="Z191" s="4">
        <v>17.600000000000001</v>
      </c>
      <c r="AA191" s="4">
        <v>129</v>
      </c>
      <c r="AB191" s="4">
        <v>5.3600000000000002E-2</v>
      </c>
      <c r="AC191" s="4">
        <v>0.61</v>
      </c>
      <c r="AD191" s="4" t="s">
        <v>891</v>
      </c>
      <c r="AE191" s="4">
        <v>16.5</v>
      </c>
    </row>
    <row r="192" spans="1:31" x14ac:dyDescent="0.25">
      <c r="A192" s="4"/>
      <c r="B192" s="5" t="s">
        <v>892</v>
      </c>
      <c r="C192" s="4"/>
      <c r="D192" s="4">
        <v>13</v>
      </c>
      <c r="E192" s="4">
        <v>1</v>
      </c>
      <c r="F192" s="4">
        <v>76.2</v>
      </c>
      <c r="G192" s="4">
        <v>76.2</v>
      </c>
      <c r="H192" s="4">
        <v>9.5299999999999994</v>
      </c>
      <c r="I192" s="4">
        <v>14.9</v>
      </c>
      <c r="J192" s="4">
        <v>8</v>
      </c>
      <c r="K192" s="4">
        <v>8</v>
      </c>
      <c r="L192" s="4">
        <v>20</v>
      </c>
      <c r="M192" s="4">
        <v>1</v>
      </c>
      <c r="N192" s="4">
        <v>21.4</v>
      </c>
      <c r="O192" s="4">
        <v>2720</v>
      </c>
      <c r="P192" s="4">
        <v>1.47</v>
      </c>
      <c r="Q192" s="4">
        <v>27.3</v>
      </c>
      <c r="R192" s="4">
        <v>23.2</v>
      </c>
      <c r="S192" s="4">
        <v>22.5</v>
      </c>
      <c r="T192" s="4">
        <v>32.299999999999997</v>
      </c>
      <c r="U192" s="4">
        <v>35.299999999999997</v>
      </c>
      <c r="V192" s="4">
        <v>36</v>
      </c>
      <c r="W192" s="4">
        <v>36.799999999999997</v>
      </c>
      <c r="X192" s="4">
        <v>38.4</v>
      </c>
      <c r="Y192" s="4">
        <v>40</v>
      </c>
      <c r="Z192" s="4">
        <v>17.8</v>
      </c>
      <c r="AA192" s="4">
        <v>82.4</v>
      </c>
      <c r="AB192" s="4">
        <v>3.5099999999999999E-2</v>
      </c>
      <c r="AC192" s="4">
        <v>0.61</v>
      </c>
      <c r="AD192" s="4" t="s">
        <v>893</v>
      </c>
      <c r="AE192" s="4">
        <v>14.4</v>
      </c>
    </row>
    <row r="193" spans="1:31" x14ac:dyDescent="0.25">
      <c r="A193" s="4"/>
      <c r="B193" s="5" t="s">
        <v>894</v>
      </c>
      <c r="C193" s="4"/>
      <c r="D193" s="4">
        <v>13</v>
      </c>
      <c r="E193" s="4">
        <v>1</v>
      </c>
      <c r="F193" s="4">
        <v>76.2</v>
      </c>
      <c r="G193" s="4">
        <v>76.2</v>
      </c>
      <c r="H193" s="4">
        <v>7.94</v>
      </c>
      <c r="I193" s="4">
        <v>15</v>
      </c>
      <c r="J193" s="4">
        <v>9.6</v>
      </c>
      <c r="K193" s="4">
        <v>9.6</v>
      </c>
      <c r="L193" s="4">
        <v>18</v>
      </c>
      <c r="M193" s="4">
        <v>1</v>
      </c>
      <c r="N193" s="4">
        <v>18</v>
      </c>
      <c r="O193" s="4">
        <v>2290</v>
      </c>
      <c r="P193" s="4">
        <v>1.26</v>
      </c>
      <c r="Q193" s="4">
        <v>23.2</v>
      </c>
      <c r="R193" s="4">
        <v>23.4</v>
      </c>
      <c r="S193" s="4">
        <v>22</v>
      </c>
      <c r="T193" s="4">
        <v>32.1</v>
      </c>
      <c r="U193" s="4">
        <v>35</v>
      </c>
      <c r="V193" s="4">
        <v>35.700000000000003</v>
      </c>
      <c r="W193" s="4">
        <v>36.5</v>
      </c>
      <c r="X193" s="4">
        <v>38</v>
      </c>
      <c r="Y193" s="4">
        <v>39.6</v>
      </c>
      <c r="Z193" s="4">
        <v>18</v>
      </c>
      <c r="AA193" s="4">
        <v>48.2</v>
      </c>
      <c r="AB193" s="4">
        <v>2.1000000000000001E-2</v>
      </c>
      <c r="AC193" s="4">
        <v>0.61</v>
      </c>
      <c r="AD193" s="4" t="s">
        <v>895</v>
      </c>
      <c r="AE193" s="4">
        <v>12.1</v>
      </c>
    </row>
    <row r="194" spans="1:31" x14ac:dyDescent="0.25">
      <c r="A194" s="4"/>
      <c r="B194" s="5" t="s">
        <v>896</v>
      </c>
      <c r="C194" s="4"/>
      <c r="D194" s="4">
        <v>13</v>
      </c>
      <c r="E194" s="4">
        <v>1</v>
      </c>
      <c r="F194" s="4">
        <v>76.2</v>
      </c>
      <c r="G194" s="4">
        <v>76.2</v>
      </c>
      <c r="H194" s="4">
        <v>6.35</v>
      </c>
      <c r="I194" s="4">
        <v>15</v>
      </c>
      <c r="J194" s="4">
        <v>12</v>
      </c>
      <c r="K194" s="4">
        <v>12</v>
      </c>
      <c r="L194" s="4">
        <v>16</v>
      </c>
      <c r="M194" s="4">
        <v>1</v>
      </c>
      <c r="N194" s="4">
        <v>14.6</v>
      </c>
      <c r="O194" s="4">
        <v>1850</v>
      </c>
      <c r="P194" s="4">
        <v>1.04</v>
      </c>
      <c r="Q194" s="4">
        <v>18.899999999999999</v>
      </c>
      <c r="R194" s="4">
        <v>23.6</v>
      </c>
      <c r="S194" s="4">
        <v>21.4</v>
      </c>
      <c r="T194" s="4">
        <v>31.9</v>
      </c>
      <c r="U194" s="4">
        <v>34.700000000000003</v>
      </c>
      <c r="V194" s="4">
        <v>35.4</v>
      </c>
      <c r="W194" s="4">
        <v>36.200000000000003</v>
      </c>
      <c r="X194" s="4">
        <v>37.700000000000003</v>
      </c>
      <c r="Y194" s="4">
        <v>39.299999999999997</v>
      </c>
      <c r="Z194" s="4">
        <v>18.2</v>
      </c>
      <c r="AA194" s="4">
        <v>24.9</v>
      </c>
      <c r="AB194" s="4">
        <v>1.11E-2</v>
      </c>
      <c r="AC194" s="4">
        <v>0.61</v>
      </c>
      <c r="AD194" s="4" t="s">
        <v>897</v>
      </c>
      <c r="AE194" s="4">
        <v>9.7799999999999994</v>
      </c>
    </row>
    <row r="195" spans="1:31" x14ac:dyDescent="0.25">
      <c r="A195" s="4"/>
      <c r="B195" s="5" t="s">
        <v>898</v>
      </c>
      <c r="C195" s="4"/>
      <c r="D195" s="4">
        <v>13</v>
      </c>
      <c r="E195" s="4">
        <v>1</v>
      </c>
      <c r="F195" s="4">
        <v>76.2</v>
      </c>
      <c r="G195" s="4">
        <v>76.2</v>
      </c>
      <c r="H195" s="4">
        <v>4.76</v>
      </c>
      <c r="I195" s="4">
        <v>15.1</v>
      </c>
      <c r="J195" s="4">
        <v>16</v>
      </c>
      <c r="K195" s="4">
        <v>16</v>
      </c>
      <c r="L195" s="4">
        <v>15</v>
      </c>
      <c r="M195" s="4">
        <v>1</v>
      </c>
      <c r="N195" s="4">
        <v>11</v>
      </c>
      <c r="O195" s="4">
        <v>1410</v>
      </c>
      <c r="P195" s="4">
        <v>0.8</v>
      </c>
      <c r="Q195" s="4">
        <v>14.4</v>
      </c>
      <c r="R195" s="4">
        <v>23.9</v>
      </c>
      <c r="S195" s="4">
        <v>20.8</v>
      </c>
      <c r="T195" s="4">
        <v>31.7</v>
      </c>
      <c r="U195" s="4">
        <v>34.4</v>
      </c>
      <c r="V195" s="4">
        <v>35.200000000000003</v>
      </c>
      <c r="W195" s="4">
        <v>35.9</v>
      </c>
      <c r="X195" s="4">
        <v>37.4</v>
      </c>
      <c r="Y195" s="4">
        <v>39</v>
      </c>
      <c r="Z195" s="4">
        <v>18.399999999999999</v>
      </c>
      <c r="AA195" s="4">
        <v>10.6</v>
      </c>
      <c r="AB195" s="4">
        <v>4.8199999999999996E-3</v>
      </c>
      <c r="AC195" s="4">
        <v>0.61</v>
      </c>
      <c r="AD195" s="4" t="s">
        <v>899</v>
      </c>
      <c r="AE195" s="4">
        <v>7.41</v>
      </c>
    </row>
    <row r="196" spans="1:31" x14ac:dyDescent="0.25">
      <c r="A196" s="4" t="s">
        <v>59</v>
      </c>
      <c r="B196" s="5" t="s">
        <v>900</v>
      </c>
      <c r="C196" s="4"/>
      <c r="D196" s="4">
        <v>13</v>
      </c>
      <c r="E196" s="4">
        <v>1</v>
      </c>
      <c r="F196" s="4">
        <v>63.5</v>
      </c>
      <c r="G196" s="4">
        <v>63.5</v>
      </c>
      <c r="H196" s="4">
        <v>12.7</v>
      </c>
      <c r="I196" s="4">
        <v>12.4</v>
      </c>
      <c r="J196" s="4">
        <v>5</v>
      </c>
      <c r="K196" s="4">
        <v>5</v>
      </c>
      <c r="L196" s="4">
        <v>19</v>
      </c>
      <c r="M196" s="4">
        <v>1</v>
      </c>
      <c r="N196" s="4">
        <v>22.8</v>
      </c>
      <c r="O196" s="4">
        <v>2900</v>
      </c>
      <c r="P196" s="4">
        <v>1.02</v>
      </c>
      <c r="Q196" s="4">
        <v>23.7</v>
      </c>
      <c r="R196" s="4">
        <v>18.8</v>
      </c>
      <c r="S196" s="4">
        <v>20.5</v>
      </c>
      <c r="T196" s="4">
        <v>27.8</v>
      </c>
      <c r="U196" s="4">
        <v>30.8</v>
      </c>
      <c r="V196" s="4">
        <v>31.6</v>
      </c>
      <c r="W196" s="4">
        <v>32.4</v>
      </c>
      <c r="X196" s="4">
        <v>34.1</v>
      </c>
      <c r="Y196" s="4">
        <v>35.799999999999997</v>
      </c>
      <c r="Z196" s="4">
        <v>14.1</v>
      </c>
      <c r="AA196" s="4">
        <v>156</v>
      </c>
      <c r="AB196" s="4">
        <v>4.2500000000000003E-2</v>
      </c>
      <c r="AC196" s="4">
        <v>0.50800000000000001</v>
      </c>
      <c r="AD196" s="4" t="s">
        <v>901</v>
      </c>
      <c r="AE196" s="4">
        <v>15.3</v>
      </c>
    </row>
    <row r="197" spans="1:31" x14ac:dyDescent="0.25">
      <c r="A197" s="4"/>
      <c r="B197" s="5" t="s">
        <v>902</v>
      </c>
      <c r="C197" s="4"/>
      <c r="D197" s="4">
        <v>13</v>
      </c>
      <c r="E197" s="4">
        <v>1</v>
      </c>
      <c r="F197" s="4">
        <v>63.5</v>
      </c>
      <c r="G197" s="4">
        <v>63.5</v>
      </c>
      <c r="H197" s="4">
        <v>9.5299999999999994</v>
      </c>
      <c r="I197" s="4">
        <v>12.4</v>
      </c>
      <c r="J197" s="4">
        <v>6.66</v>
      </c>
      <c r="K197" s="4">
        <v>6.66</v>
      </c>
      <c r="L197" s="4">
        <v>16</v>
      </c>
      <c r="M197" s="4">
        <v>1</v>
      </c>
      <c r="N197" s="4">
        <v>17.600000000000001</v>
      </c>
      <c r="O197" s="4">
        <v>2240</v>
      </c>
      <c r="P197" s="4">
        <v>0.81899999999999995</v>
      </c>
      <c r="Q197" s="4">
        <v>18.600000000000001</v>
      </c>
      <c r="R197" s="4">
        <v>19.100000000000001</v>
      </c>
      <c r="S197" s="4">
        <v>19.399999999999999</v>
      </c>
      <c r="T197" s="4">
        <v>27.2</v>
      </c>
      <c r="U197" s="4">
        <v>30.2</v>
      </c>
      <c r="V197" s="4">
        <v>31</v>
      </c>
      <c r="W197" s="4">
        <v>31.8</v>
      </c>
      <c r="X197" s="4">
        <v>33.4</v>
      </c>
      <c r="Y197" s="4">
        <v>35</v>
      </c>
      <c r="Z197" s="4">
        <v>14.6</v>
      </c>
      <c r="AA197" s="4">
        <v>67.8</v>
      </c>
      <c r="AB197" s="4">
        <v>1.95E-2</v>
      </c>
      <c r="AC197" s="4">
        <v>0.50800000000000001</v>
      </c>
      <c r="AD197" s="4" t="s">
        <v>903</v>
      </c>
      <c r="AE197" s="4">
        <v>11.8</v>
      </c>
    </row>
    <row r="198" spans="1:31" x14ac:dyDescent="0.25">
      <c r="A198" s="4"/>
      <c r="B198" s="5" t="s">
        <v>904</v>
      </c>
      <c r="C198" s="4"/>
      <c r="D198" s="4">
        <v>13</v>
      </c>
      <c r="E198" s="4">
        <v>1</v>
      </c>
      <c r="F198" s="4">
        <v>63.5</v>
      </c>
      <c r="G198" s="4">
        <v>63.5</v>
      </c>
      <c r="H198" s="4">
        <v>7.94</v>
      </c>
      <c r="I198" s="4">
        <v>12.4</v>
      </c>
      <c r="J198" s="4">
        <v>8</v>
      </c>
      <c r="K198" s="4">
        <v>8</v>
      </c>
      <c r="L198" s="4">
        <v>14</v>
      </c>
      <c r="M198" s="4">
        <v>1</v>
      </c>
      <c r="N198" s="4">
        <v>14.8</v>
      </c>
      <c r="O198" s="4">
        <v>1890</v>
      </c>
      <c r="P198" s="4">
        <v>0.70699999999999996</v>
      </c>
      <c r="Q198" s="4">
        <v>15.8</v>
      </c>
      <c r="R198" s="4">
        <v>19.3</v>
      </c>
      <c r="S198" s="4">
        <v>18.8</v>
      </c>
      <c r="T198" s="4">
        <v>27</v>
      </c>
      <c r="U198" s="4">
        <v>29.9</v>
      </c>
      <c r="V198" s="4">
        <v>30.7</v>
      </c>
      <c r="W198" s="4">
        <v>31.4</v>
      </c>
      <c r="X198" s="4">
        <v>33</v>
      </c>
      <c r="Y198" s="4">
        <v>34.700000000000003</v>
      </c>
      <c r="Z198" s="4">
        <v>14.8</v>
      </c>
      <c r="AA198" s="4">
        <v>39.700000000000003</v>
      </c>
      <c r="AB198" s="4">
        <v>1.17E-2</v>
      </c>
      <c r="AC198" s="4">
        <v>0.50800000000000001</v>
      </c>
      <c r="AD198" s="4" t="s">
        <v>905</v>
      </c>
      <c r="AE198" s="4">
        <v>9.9700000000000006</v>
      </c>
    </row>
    <row r="199" spans="1:31" x14ac:dyDescent="0.25">
      <c r="A199" s="4"/>
      <c r="B199" s="5" t="s">
        <v>906</v>
      </c>
      <c r="C199" s="4"/>
      <c r="D199" s="4">
        <v>13</v>
      </c>
      <c r="E199" s="4">
        <v>1</v>
      </c>
      <c r="F199" s="4">
        <v>63.5</v>
      </c>
      <c r="G199" s="4">
        <v>63.5</v>
      </c>
      <c r="H199" s="4">
        <v>6.35</v>
      </c>
      <c r="I199" s="4">
        <v>12.5</v>
      </c>
      <c r="J199" s="4">
        <v>10</v>
      </c>
      <c r="K199" s="4">
        <v>10</v>
      </c>
      <c r="L199" s="4">
        <v>12</v>
      </c>
      <c r="M199" s="4">
        <v>1</v>
      </c>
      <c r="N199" s="4">
        <v>12</v>
      </c>
      <c r="O199" s="4">
        <v>1530</v>
      </c>
      <c r="P199" s="4">
        <v>0.58499999999999996</v>
      </c>
      <c r="Q199" s="4">
        <v>12.9</v>
      </c>
      <c r="R199" s="4">
        <v>19.5</v>
      </c>
      <c r="S199" s="4">
        <v>18.2</v>
      </c>
      <c r="T199" s="4">
        <v>26.7</v>
      </c>
      <c r="U199" s="4">
        <v>29.6</v>
      </c>
      <c r="V199" s="4">
        <v>30.3</v>
      </c>
      <c r="W199" s="4">
        <v>31.1</v>
      </c>
      <c r="X199" s="4">
        <v>32.700000000000003</v>
      </c>
      <c r="Y199" s="4">
        <v>34.299999999999997</v>
      </c>
      <c r="Z199" s="4">
        <v>15</v>
      </c>
      <c r="AA199" s="4">
        <v>20.6</v>
      </c>
      <c r="AB199" s="4">
        <v>6.2500000000000003E-3</v>
      </c>
      <c r="AC199" s="4">
        <v>0.50800000000000001</v>
      </c>
      <c r="AD199" s="4" t="s">
        <v>907</v>
      </c>
      <c r="AE199" s="4">
        <v>8.08</v>
      </c>
    </row>
    <row r="200" spans="1:31" x14ac:dyDescent="0.25">
      <c r="A200" s="4"/>
      <c r="B200" s="5" t="s">
        <v>908</v>
      </c>
      <c r="C200" s="4"/>
      <c r="D200" s="4">
        <v>13</v>
      </c>
      <c r="E200" s="4">
        <v>1</v>
      </c>
      <c r="F200" s="4">
        <v>63.5</v>
      </c>
      <c r="G200" s="4">
        <v>63.5</v>
      </c>
      <c r="H200" s="4">
        <v>4.76</v>
      </c>
      <c r="I200" s="4">
        <v>12.6</v>
      </c>
      <c r="J200" s="4">
        <v>13.3</v>
      </c>
      <c r="K200" s="4">
        <v>13.3</v>
      </c>
      <c r="L200" s="4">
        <v>11</v>
      </c>
      <c r="M200" s="4">
        <v>1</v>
      </c>
      <c r="N200" s="4">
        <v>9.14</v>
      </c>
      <c r="O200" s="4">
        <v>1160</v>
      </c>
      <c r="P200" s="4">
        <v>0.45500000000000002</v>
      </c>
      <c r="Q200" s="4">
        <v>9.92</v>
      </c>
      <c r="R200" s="4">
        <v>19.8</v>
      </c>
      <c r="S200" s="4">
        <v>17.600000000000001</v>
      </c>
      <c r="T200" s="4">
        <v>26.5</v>
      </c>
      <c r="U200" s="4">
        <v>29.3</v>
      </c>
      <c r="V200" s="4">
        <v>30.1</v>
      </c>
      <c r="W200" s="4">
        <v>30.8</v>
      </c>
      <c r="X200" s="4">
        <v>32.4</v>
      </c>
      <c r="Y200" s="4">
        <v>34</v>
      </c>
      <c r="Z200" s="4">
        <v>15.3</v>
      </c>
      <c r="AA200" s="4">
        <v>8.7899999999999991</v>
      </c>
      <c r="AB200" s="4">
        <v>2.7399999999999998E-3</v>
      </c>
      <c r="AC200" s="4">
        <v>0.50800000000000001</v>
      </c>
      <c r="AD200" s="4" t="s">
        <v>909</v>
      </c>
      <c r="AE200" s="4">
        <v>6.14</v>
      </c>
    </row>
    <row r="201" spans="1:31" x14ac:dyDescent="0.25">
      <c r="A201" s="4" t="s">
        <v>59</v>
      </c>
      <c r="B201" s="5" t="s">
        <v>910</v>
      </c>
      <c r="C201" s="4"/>
      <c r="D201" s="4">
        <v>13</v>
      </c>
      <c r="E201" s="4">
        <v>1</v>
      </c>
      <c r="F201" s="4">
        <v>50.8</v>
      </c>
      <c r="G201" s="4">
        <v>50.8</v>
      </c>
      <c r="H201" s="4">
        <v>9.5299999999999994</v>
      </c>
      <c r="I201" s="4">
        <v>9.89</v>
      </c>
      <c r="J201" s="4">
        <v>5.33</v>
      </c>
      <c r="K201" s="4">
        <v>5.33</v>
      </c>
      <c r="L201" s="4">
        <v>16</v>
      </c>
      <c r="M201" s="4">
        <v>1</v>
      </c>
      <c r="N201" s="4">
        <v>13.8</v>
      </c>
      <c r="O201" s="4">
        <v>1750</v>
      </c>
      <c r="P201" s="4">
        <v>0.39900000000000002</v>
      </c>
      <c r="Q201" s="4">
        <v>11.5</v>
      </c>
      <c r="R201" s="4">
        <v>15.1</v>
      </c>
      <c r="S201" s="4">
        <v>16.2</v>
      </c>
      <c r="T201" s="4">
        <v>22.1</v>
      </c>
      <c r="U201" s="4">
        <v>25.2</v>
      </c>
      <c r="V201" s="4">
        <v>26</v>
      </c>
      <c r="W201" s="4">
        <v>26.8</v>
      </c>
      <c r="X201" s="4">
        <v>28.5</v>
      </c>
      <c r="Y201" s="4">
        <v>30.2</v>
      </c>
      <c r="Z201" s="4">
        <v>11.4</v>
      </c>
      <c r="AA201" s="4">
        <v>53.1</v>
      </c>
      <c r="AB201" s="4">
        <v>9.3799999999999994E-3</v>
      </c>
      <c r="AC201" s="4">
        <v>0.40600000000000003</v>
      </c>
      <c r="AD201" s="4" t="s">
        <v>911</v>
      </c>
      <c r="AE201" s="4">
        <v>9.26</v>
      </c>
    </row>
    <row r="202" spans="1:31" x14ac:dyDescent="0.25">
      <c r="A202" s="4"/>
      <c r="B202" s="5" t="s">
        <v>912</v>
      </c>
      <c r="C202" s="4"/>
      <c r="D202" s="4">
        <v>13</v>
      </c>
      <c r="E202" s="4">
        <v>1</v>
      </c>
      <c r="F202" s="4">
        <v>50.8</v>
      </c>
      <c r="G202" s="4">
        <v>50.8</v>
      </c>
      <c r="H202" s="4">
        <v>7.94</v>
      </c>
      <c r="I202" s="4">
        <v>9.9</v>
      </c>
      <c r="J202" s="4">
        <v>6.4</v>
      </c>
      <c r="K202" s="4">
        <v>6.4</v>
      </c>
      <c r="L202" s="4">
        <v>14</v>
      </c>
      <c r="M202" s="4">
        <v>1</v>
      </c>
      <c r="N202" s="4">
        <v>11.7</v>
      </c>
      <c r="O202" s="4">
        <v>1490</v>
      </c>
      <c r="P202" s="4">
        <v>0.34699999999999998</v>
      </c>
      <c r="Q202" s="4">
        <v>9.84</v>
      </c>
      <c r="R202" s="4">
        <v>15.3</v>
      </c>
      <c r="S202" s="4">
        <v>15.6</v>
      </c>
      <c r="T202" s="4">
        <v>21.8</v>
      </c>
      <c r="U202" s="4">
        <v>24.8</v>
      </c>
      <c r="V202" s="4">
        <v>25.6</v>
      </c>
      <c r="W202" s="4">
        <v>26.4</v>
      </c>
      <c r="X202" s="4">
        <v>28.1</v>
      </c>
      <c r="Y202" s="4">
        <v>29.8</v>
      </c>
      <c r="Z202" s="4">
        <v>11.6</v>
      </c>
      <c r="AA202" s="4">
        <v>31.3</v>
      </c>
      <c r="AB202" s="4">
        <v>5.7099999999999998E-3</v>
      </c>
      <c r="AC202" s="4">
        <v>0.40600000000000003</v>
      </c>
      <c r="AD202" s="4" t="s">
        <v>913</v>
      </c>
      <c r="AE202" s="4">
        <v>7.85</v>
      </c>
    </row>
    <row r="203" spans="1:31" x14ac:dyDescent="0.25">
      <c r="A203" s="4"/>
      <c r="B203" s="5" t="s">
        <v>914</v>
      </c>
      <c r="C203" s="4"/>
      <c r="D203" s="4">
        <v>13</v>
      </c>
      <c r="E203" s="4">
        <v>1</v>
      </c>
      <c r="F203" s="4">
        <v>50.8</v>
      </c>
      <c r="G203" s="4">
        <v>50.8</v>
      </c>
      <c r="H203" s="4">
        <v>6.35</v>
      </c>
      <c r="I203" s="4">
        <v>9.93</v>
      </c>
      <c r="J203" s="4">
        <v>8</v>
      </c>
      <c r="K203" s="4">
        <v>8</v>
      </c>
      <c r="L203" s="4">
        <v>12</v>
      </c>
      <c r="M203" s="4">
        <v>1</v>
      </c>
      <c r="N203" s="4">
        <v>9.5</v>
      </c>
      <c r="O203" s="4">
        <v>1210</v>
      </c>
      <c r="P203" s="4">
        <v>0.28899999999999998</v>
      </c>
      <c r="Q203" s="4">
        <v>8.09</v>
      </c>
      <c r="R203" s="4">
        <v>15.5</v>
      </c>
      <c r="S203" s="4">
        <v>15</v>
      </c>
      <c r="T203" s="4">
        <v>21.6</v>
      </c>
      <c r="U203" s="4">
        <v>24.5</v>
      </c>
      <c r="V203" s="4">
        <v>25.3</v>
      </c>
      <c r="W203" s="4">
        <v>26.1</v>
      </c>
      <c r="X203" s="4">
        <v>27.7</v>
      </c>
      <c r="Y203" s="4">
        <v>29.4</v>
      </c>
      <c r="Z203" s="4">
        <v>11.9</v>
      </c>
      <c r="AA203" s="4">
        <v>16.3</v>
      </c>
      <c r="AB203" s="4">
        <v>3.0699999999999998E-3</v>
      </c>
      <c r="AC203" s="4">
        <v>0.40600000000000003</v>
      </c>
      <c r="AD203" s="4" t="s">
        <v>915</v>
      </c>
      <c r="AE203" s="4">
        <v>6.38</v>
      </c>
    </row>
    <row r="204" spans="1:31" x14ac:dyDescent="0.25">
      <c r="A204" s="4"/>
      <c r="B204" s="5" t="s">
        <v>916</v>
      </c>
      <c r="C204" s="4"/>
      <c r="D204" s="4">
        <v>13</v>
      </c>
      <c r="E204" s="4">
        <v>1</v>
      </c>
      <c r="F204" s="4">
        <v>50.8</v>
      </c>
      <c r="G204" s="4">
        <v>50.8</v>
      </c>
      <c r="H204" s="4">
        <v>4.76</v>
      </c>
      <c r="I204" s="4">
        <v>10</v>
      </c>
      <c r="J204" s="4">
        <v>10.7</v>
      </c>
      <c r="K204" s="4">
        <v>10.7</v>
      </c>
      <c r="L204" s="4">
        <v>11</v>
      </c>
      <c r="M204" s="4">
        <v>1</v>
      </c>
      <c r="N204" s="4">
        <v>7.24</v>
      </c>
      <c r="O204" s="4">
        <v>922</v>
      </c>
      <c r="P204" s="4">
        <v>0.22700000000000001</v>
      </c>
      <c r="Q204" s="4">
        <v>6.24</v>
      </c>
      <c r="R204" s="4">
        <v>15.7</v>
      </c>
      <c r="S204" s="4">
        <v>14.5</v>
      </c>
      <c r="T204" s="4">
        <v>21.3</v>
      </c>
      <c r="U204" s="4">
        <v>24.2</v>
      </c>
      <c r="V204" s="4">
        <v>25</v>
      </c>
      <c r="W204" s="4">
        <v>25.8</v>
      </c>
      <c r="X204" s="4">
        <v>27.4</v>
      </c>
      <c r="Y204" s="4">
        <v>29.1</v>
      </c>
      <c r="Z204" s="4">
        <v>12.1</v>
      </c>
      <c r="AA204" s="4">
        <v>6.96</v>
      </c>
      <c r="AB204" s="4">
        <v>1.3600000000000001E-3</v>
      </c>
      <c r="AC204" s="4">
        <v>0.40600000000000003</v>
      </c>
      <c r="AD204" s="4" t="s">
        <v>917</v>
      </c>
      <c r="AE204" s="4">
        <v>4.8600000000000003</v>
      </c>
    </row>
    <row r="205" spans="1:31" x14ac:dyDescent="0.25">
      <c r="A205" s="4"/>
      <c r="B205" s="5" t="s">
        <v>918</v>
      </c>
      <c r="C205" s="4"/>
      <c r="D205" s="4">
        <v>13</v>
      </c>
      <c r="E205" s="4">
        <v>1</v>
      </c>
      <c r="F205" s="4">
        <v>50.8</v>
      </c>
      <c r="G205" s="4">
        <v>50.8</v>
      </c>
      <c r="H205" s="4">
        <v>3.18</v>
      </c>
      <c r="I205" s="4">
        <v>10.1</v>
      </c>
      <c r="J205" s="4">
        <v>16</v>
      </c>
      <c r="K205" s="4">
        <v>16</v>
      </c>
      <c r="L205" s="4">
        <v>9</v>
      </c>
      <c r="M205" s="4">
        <v>1</v>
      </c>
      <c r="N205" s="4">
        <v>4.91</v>
      </c>
      <c r="O205" s="4">
        <v>626</v>
      </c>
      <c r="P205" s="4">
        <v>0.158</v>
      </c>
      <c r="Q205" s="4">
        <v>4.29</v>
      </c>
      <c r="R205" s="4">
        <v>15.9</v>
      </c>
      <c r="S205" s="4">
        <v>13.9</v>
      </c>
      <c r="T205" s="4">
        <v>21.1</v>
      </c>
      <c r="U205" s="4">
        <v>23.9</v>
      </c>
      <c r="V205" s="4">
        <v>24.7</v>
      </c>
      <c r="W205" s="4">
        <v>25.5</v>
      </c>
      <c r="X205" s="4">
        <v>27.1</v>
      </c>
      <c r="Y205" s="4">
        <v>28.7</v>
      </c>
      <c r="Z205" s="4">
        <v>12.3</v>
      </c>
      <c r="AA205" s="4">
        <v>2.11</v>
      </c>
      <c r="AB205" s="4">
        <v>4.26E-4</v>
      </c>
      <c r="AC205" s="4">
        <v>0.40600000000000003</v>
      </c>
      <c r="AD205" s="4" t="s">
        <v>919</v>
      </c>
      <c r="AE205" s="4">
        <v>3.3</v>
      </c>
    </row>
    <row r="206" spans="1:31" x14ac:dyDescent="0.25">
      <c r="A206" s="4" t="s">
        <v>59</v>
      </c>
      <c r="B206" s="5" t="s">
        <v>920</v>
      </c>
      <c r="C206" s="4"/>
      <c r="D206" s="4">
        <v>13</v>
      </c>
      <c r="E206" s="4">
        <v>1</v>
      </c>
      <c r="F206" s="4">
        <v>44.5</v>
      </c>
      <c r="G206" s="4">
        <v>44.5</v>
      </c>
      <c r="H206" s="4">
        <v>6.35</v>
      </c>
      <c r="I206" s="4">
        <v>8.68</v>
      </c>
      <c r="J206" s="4">
        <v>7.01</v>
      </c>
      <c r="K206" s="4">
        <v>7.01</v>
      </c>
      <c r="L206" s="4">
        <v>12</v>
      </c>
      <c r="M206" s="4">
        <v>1</v>
      </c>
      <c r="N206" s="4">
        <v>8.24</v>
      </c>
      <c r="O206" s="4">
        <v>1050</v>
      </c>
      <c r="P206" s="4">
        <v>0.19</v>
      </c>
      <c r="Q206" s="4">
        <v>6.11</v>
      </c>
      <c r="R206" s="4">
        <v>13.4</v>
      </c>
      <c r="S206" s="4">
        <v>13.4</v>
      </c>
      <c r="T206" s="4">
        <v>19</v>
      </c>
      <c r="U206" s="4">
        <v>22</v>
      </c>
      <c r="V206" s="4">
        <v>22.8</v>
      </c>
      <c r="W206" s="4">
        <v>23.6</v>
      </c>
      <c r="X206" s="4">
        <v>25.3</v>
      </c>
      <c r="Y206" s="4">
        <v>27</v>
      </c>
      <c r="Z206" s="4">
        <v>10.3</v>
      </c>
      <c r="AA206" s="4">
        <v>14.1</v>
      </c>
      <c r="AB206" s="4">
        <v>2.0100000000000001E-3</v>
      </c>
      <c r="AC206" s="4">
        <v>0.35599999999999998</v>
      </c>
      <c r="AD206" s="4" t="s">
        <v>921</v>
      </c>
      <c r="AE206" s="4">
        <v>5.54</v>
      </c>
    </row>
    <row r="207" spans="1:31" x14ac:dyDescent="0.25">
      <c r="A207" s="4"/>
      <c r="B207" s="5" t="s">
        <v>922</v>
      </c>
      <c r="C207" s="4"/>
      <c r="D207" s="4">
        <v>13</v>
      </c>
      <c r="E207" s="4">
        <v>1</v>
      </c>
      <c r="F207" s="4">
        <v>44.5</v>
      </c>
      <c r="G207" s="4">
        <v>44.5</v>
      </c>
      <c r="H207" s="4">
        <v>4.76</v>
      </c>
      <c r="I207" s="4">
        <v>8.73</v>
      </c>
      <c r="J207" s="4">
        <v>9.35</v>
      </c>
      <c r="K207" s="4">
        <v>9.35</v>
      </c>
      <c r="L207" s="4">
        <v>11</v>
      </c>
      <c r="M207" s="4">
        <v>1</v>
      </c>
      <c r="N207" s="4">
        <v>6.3</v>
      </c>
      <c r="O207" s="4">
        <v>802</v>
      </c>
      <c r="P207" s="4">
        <v>0.15</v>
      </c>
      <c r="Q207" s="4">
        <v>4.7300000000000004</v>
      </c>
      <c r="R207" s="4">
        <v>13.7</v>
      </c>
      <c r="S207" s="4">
        <v>12.9</v>
      </c>
      <c r="T207" s="4">
        <v>18.8</v>
      </c>
      <c r="U207" s="4">
        <v>21.7</v>
      </c>
      <c r="V207" s="4">
        <v>22.5</v>
      </c>
      <c r="W207" s="4">
        <v>23.3</v>
      </c>
      <c r="X207" s="4">
        <v>24.9</v>
      </c>
      <c r="Y207" s="4">
        <v>26.6</v>
      </c>
      <c r="Z207" s="4">
        <v>10.5</v>
      </c>
      <c r="AA207" s="4">
        <v>6.06</v>
      </c>
      <c r="AB207" s="4">
        <v>8.9499999999999996E-4</v>
      </c>
      <c r="AC207" s="4">
        <v>0.35599999999999998</v>
      </c>
      <c r="AD207" s="4" t="s">
        <v>923</v>
      </c>
      <c r="AE207" s="4">
        <v>4.2300000000000004</v>
      </c>
    </row>
    <row r="208" spans="1:31" x14ac:dyDescent="0.25">
      <c r="A208" s="4"/>
      <c r="B208" s="5" t="s">
        <v>924</v>
      </c>
      <c r="C208" s="4"/>
      <c r="D208" s="4">
        <v>13</v>
      </c>
      <c r="E208" s="4">
        <v>1</v>
      </c>
      <c r="F208" s="4">
        <v>44.5</v>
      </c>
      <c r="G208" s="4">
        <v>44.5</v>
      </c>
      <c r="H208" s="4">
        <v>3.18</v>
      </c>
      <c r="I208" s="4">
        <v>8.82</v>
      </c>
      <c r="J208" s="4">
        <v>14</v>
      </c>
      <c r="K208" s="4">
        <v>14</v>
      </c>
      <c r="L208" s="4">
        <v>9</v>
      </c>
      <c r="M208" s="4">
        <v>1</v>
      </c>
      <c r="N208" s="4">
        <v>4.28</v>
      </c>
      <c r="O208" s="4">
        <v>546</v>
      </c>
      <c r="P208" s="4">
        <v>0.105</v>
      </c>
      <c r="Q208" s="4">
        <v>3.26</v>
      </c>
      <c r="R208" s="4">
        <v>13.9</v>
      </c>
      <c r="S208" s="4">
        <v>12.3</v>
      </c>
      <c r="T208" s="4">
        <v>18.5</v>
      </c>
      <c r="U208" s="4">
        <v>21.4</v>
      </c>
      <c r="V208" s="4">
        <v>22.2</v>
      </c>
      <c r="W208" s="4">
        <v>23</v>
      </c>
      <c r="X208" s="4">
        <v>24.6</v>
      </c>
      <c r="Y208" s="4">
        <v>26.3</v>
      </c>
      <c r="Z208" s="4">
        <v>10.7</v>
      </c>
      <c r="AA208" s="4">
        <v>1.84</v>
      </c>
      <c r="AB208" s="4">
        <v>2.8200000000000002E-4</v>
      </c>
      <c r="AC208" s="4">
        <v>0.35599999999999998</v>
      </c>
      <c r="AD208" s="4" t="s">
        <v>925</v>
      </c>
      <c r="AE208" s="4">
        <v>2.88</v>
      </c>
    </row>
    <row r="209" spans="1:31" x14ac:dyDescent="0.25">
      <c r="A209" s="4" t="s">
        <v>59</v>
      </c>
      <c r="B209" s="5" t="s">
        <v>926</v>
      </c>
      <c r="C209" s="4"/>
      <c r="D209" s="4">
        <v>13</v>
      </c>
      <c r="E209" s="4">
        <v>1</v>
      </c>
      <c r="F209" s="4">
        <v>38.1</v>
      </c>
      <c r="G209" s="4">
        <v>38.1</v>
      </c>
      <c r="H209" s="4">
        <v>6.35</v>
      </c>
      <c r="I209" s="4">
        <v>7.42</v>
      </c>
      <c r="J209" s="4">
        <v>6</v>
      </c>
      <c r="K209" s="4">
        <v>6</v>
      </c>
      <c r="L209" s="4">
        <v>11</v>
      </c>
      <c r="M209" s="4">
        <v>1</v>
      </c>
      <c r="N209" s="4">
        <v>6.96</v>
      </c>
      <c r="O209" s="4">
        <v>887</v>
      </c>
      <c r="P209" s="4">
        <v>0.115</v>
      </c>
      <c r="Q209" s="4">
        <v>4.3899999999999997</v>
      </c>
      <c r="R209" s="4">
        <v>11.4</v>
      </c>
      <c r="S209" s="4">
        <v>11.8</v>
      </c>
      <c r="T209" s="4">
        <v>16.399999999999999</v>
      </c>
      <c r="U209" s="4">
        <v>19.5</v>
      </c>
      <c r="V209" s="4">
        <v>20.3</v>
      </c>
      <c r="W209" s="4">
        <v>21.2</v>
      </c>
      <c r="X209" s="4">
        <v>22.9</v>
      </c>
      <c r="Y209" s="4">
        <v>24.6</v>
      </c>
      <c r="Z209" s="4">
        <v>8.66</v>
      </c>
      <c r="AA209" s="4">
        <v>11.9</v>
      </c>
      <c r="AB209" s="4">
        <v>1.2099999999999999E-3</v>
      </c>
      <c r="AC209" s="4">
        <v>0.30499999999999999</v>
      </c>
      <c r="AD209" s="4" t="s">
        <v>927</v>
      </c>
      <c r="AE209" s="4">
        <v>4.68</v>
      </c>
    </row>
    <row r="210" spans="1:31" x14ac:dyDescent="0.25">
      <c r="A210" s="4"/>
      <c r="B210" s="5" t="s">
        <v>928</v>
      </c>
      <c r="C210" s="4"/>
      <c r="D210" s="4">
        <v>13</v>
      </c>
      <c r="E210" s="4">
        <v>1</v>
      </c>
      <c r="F210" s="4">
        <v>38.1</v>
      </c>
      <c r="G210" s="4">
        <v>38.1</v>
      </c>
      <c r="H210" s="4">
        <v>4.76</v>
      </c>
      <c r="I210" s="4">
        <v>7.45</v>
      </c>
      <c r="J210" s="4">
        <v>8</v>
      </c>
      <c r="K210" s="4">
        <v>8</v>
      </c>
      <c r="L210" s="4">
        <v>10</v>
      </c>
      <c r="M210" s="4">
        <v>1</v>
      </c>
      <c r="N210" s="4">
        <v>5.34</v>
      </c>
      <c r="O210" s="4">
        <v>680</v>
      </c>
      <c r="P210" s="4">
        <v>9.1499999999999998E-2</v>
      </c>
      <c r="Q210" s="4">
        <v>3.41</v>
      </c>
      <c r="R210" s="4">
        <v>11.6</v>
      </c>
      <c r="S210" s="4">
        <v>11.3</v>
      </c>
      <c r="T210" s="4">
        <v>16.2</v>
      </c>
      <c r="U210" s="4">
        <v>19.2</v>
      </c>
      <c r="V210" s="4">
        <v>20</v>
      </c>
      <c r="W210" s="4">
        <v>20.8</v>
      </c>
      <c r="X210" s="4">
        <v>22.5</v>
      </c>
      <c r="Y210" s="4">
        <v>24.2</v>
      </c>
      <c r="Z210" s="4">
        <v>8.89</v>
      </c>
      <c r="AA210" s="4">
        <v>5.14</v>
      </c>
      <c r="AB210" s="4">
        <v>5.4600000000000004E-4</v>
      </c>
      <c r="AC210" s="4">
        <v>0.30499999999999999</v>
      </c>
      <c r="AD210" s="4" t="s">
        <v>929</v>
      </c>
      <c r="AE210" s="4">
        <v>3.59</v>
      </c>
    </row>
    <row r="211" spans="1:31" x14ac:dyDescent="0.25">
      <c r="A211" s="4"/>
      <c r="B211" s="5" t="s">
        <v>930</v>
      </c>
      <c r="C211" s="4"/>
      <c r="D211" s="4">
        <v>13</v>
      </c>
      <c r="E211" s="4">
        <v>1</v>
      </c>
      <c r="F211" s="4">
        <v>38.1</v>
      </c>
      <c r="G211" s="4">
        <v>38.1</v>
      </c>
      <c r="H211" s="4">
        <v>3.18</v>
      </c>
      <c r="I211" s="4">
        <v>7.52</v>
      </c>
      <c r="J211" s="4">
        <v>12</v>
      </c>
      <c r="K211" s="4">
        <v>12</v>
      </c>
      <c r="L211" s="4">
        <v>8</v>
      </c>
      <c r="M211" s="4">
        <v>1</v>
      </c>
      <c r="N211" s="4">
        <v>3.65</v>
      </c>
      <c r="O211" s="4">
        <v>464</v>
      </c>
      <c r="P211" s="4">
        <v>6.4799999999999996E-2</v>
      </c>
      <c r="Q211" s="4">
        <v>2.37</v>
      </c>
      <c r="R211" s="4">
        <v>11.8</v>
      </c>
      <c r="S211" s="4">
        <v>10.7</v>
      </c>
      <c r="T211" s="4">
        <v>15.9</v>
      </c>
      <c r="U211" s="4">
        <v>18.899999999999999</v>
      </c>
      <c r="V211" s="4">
        <v>19.600000000000001</v>
      </c>
      <c r="W211" s="4">
        <v>20.5</v>
      </c>
      <c r="X211" s="4">
        <v>22.1</v>
      </c>
      <c r="Y211" s="4">
        <v>23.8</v>
      </c>
      <c r="Z211" s="4">
        <v>9.11</v>
      </c>
      <c r="AA211" s="4">
        <v>1.57</v>
      </c>
      <c r="AB211" s="4">
        <v>1.74E-4</v>
      </c>
      <c r="AC211" s="4">
        <v>0.30499999999999999</v>
      </c>
      <c r="AD211" s="4" t="s">
        <v>931</v>
      </c>
      <c r="AE211" s="4">
        <v>2.4500000000000002</v>
      </c>
    </row>
    <row r="212" spans="1:31" x14ac:dyDescent="0.25">
      <c r="A212" s="4" t="s">
        <v>59</v>
      </c>
      <c r="B212" s="5" t="s">
        <v>932</v>
      </c>
      <c r="C212" s="4"/>
      <c r="D212" s="4">
        <v>13</v>
      </c>
      <c r="E212" s="4">
        <v>1</v>
      </c>
      <c r="F212" s="4">
        <v>31.8</v>
      </c>
      <c r="G212" s="4">
        <v>31.8</v>
      </c>
      <c r="H212" s="4">
        <v>6.35</v>
      </c>
      <c r="I212" s="4">
        <v>6.19</v>
      </c>
      <c r="J212" s="4">
        <v>5.01</v>
      </c>
      <c r="K212" s="4">
        <v>5.01</v>
      </c>
      <c r="L212" s="4">
        <v>11</v>
      </c>
      <c r="M212" s="4">
        <v>1</v>
      </c>
      <c r="N212" s="4">
        <v>5.71</v>
      </c>
      <c r="O212" s="4">
        <v>727</v>
      </c>
      <c r="P212" s="4">
        <v>6.4199999999999993E-2</v>
      </c>
      <c r="Q212" s="4">
        <v>2.98</v>
      </c>
      <c r="R212" s="4">
        <v>9.4</v>
      </c>
      <c r="S212" s="4">
        <v>10.199999999999999</v>
      </c>
      <c r="T212" s="4">
        <v>13.9</v>
      </c>
      <c r="U212" s="4">
        <v>17.100000000000001</v>
      </c>
      <c r="V212" s="4">
        <v>17.899999999999999</v>
      </c>
      <c r="W212" s="4">
        <v>18.8</v>
      </c>
      <c r="X212" s="4">
        <v>20.5</v>
      </c>
      <c r="Y212" s="4">
        <v>22.3</v>
      </c>
      <c r="Z212" s="4">
        <v>7.07</v>
      </c>
      <c r="AA212" s="4">
        <v>9.77</v>
      </c>
      <c r="AB212" s="4">
        <v>6.6699999999999995E-4</v>
      </c>
      <c r="AC212" s="4">
        <v>0.254</v>
      </c>
      <c r="AD212" s="4" t="s">
        <v>933</v>
      </c>
      <c r="AE212" s="4">
        <v>3.84</v>
      </c>
    </row>
    <row r="213" spans="1:31" x14ac:dyDescent="0.25">
      <c r="A213" s="4"/>
      <c r="B213" s="5" t="s">
        <v>934</v>
      </c>
      <c r="C213" s="4"/>
      <c r="D213" s="4">
        <v>13</v>
      </c>
      <c r="E213" s="4">
        <v>1</v>
      </c>
      <c r="F213" s="4">
        <v>31.8</v>
      </c>
      <c r="G213" s="4">
        <v>31.8</v>
      </c>
      <c r="H213" s="4">
        <v>4.76</v>
      </c>
      <c r="I213" s="4">
        <v>6.2</v>
      </c>
      <c r="J213" s="4">
        <v>6.68</v>
      </c>
      <c r="K213" s="4">
        <v>6.68</v>
      </c>
      <c r="L213" s="4">
        <v>10</v>
      </c>
      <c r="M213" s="4">
        <v>1</v>
      </c>
      <c r="N213" s="4">
        <v>4.4000000000000004</v>
      </c>
      <c r="O213" s="4">
        <v>560</v>
      </c>
      <c r="P213" s="4">
        <v>5.1400000000000001E-2</v>
      </c>
      <c r="Q213" s="4">
        <v>2.33</v>
      </c>
      <c r="R213" s="4">
        <v>9.58</v>
      </c>
      <c r="S213" s="4">
        <v>9.69</v>
      </c>
      <c r="T213" s="4">
        <v>13.6</v>
      </c>
      <c r="U213" s="4">
        <v>16.7</v>
      </c>
      <c r="V213" s="4">
        <v>17.5</v>
      </c>
      <c r="W213" s="4">
        <v>18.399999999999999</v>
      </c>
      <c r="X213" s="4">
        <v>20.100000000000001</v>
      </c>
      <c r="Y213" s="4">
        <v>21.9</v>
      </c>
      <c r="Z213" s="4">
        <v>7.31</v>
      </c>
      <c r="AA213" s="4">
        <v>4.2300000000000004</v>
      </c>
      <c r="AB213" s="4">
        <v>3.0499999999999999E-4</v>
      </c>
      <c r="AC213" s="4">
        <v>0.254</v>
      </c>
      <c r="AD213" s="4" t="s">
        <v>935</v>
      </c>
      <c r="AE213" s="4">
        <v>2.95</v>
      </c>
    </row>
    <row r="214" spans="1:31" x14ac:dyDescent="0.25">
      <c r="A214" s="4"/>
      <c r="B214" s="5" t="s">
        <v>936</v>
      </c>
      <c r="C214" s="4"/>
      <c r="D214" s="4">
        <v>13</v>
      </c>
      <c r="E214" s="4">
        <v>1</v>
      </c>
      <c r="F214" s="4">
        <v>31.8</v>
      </c>
      <c r="G214" s="4">
        <v>31.8</v>
      </c>
      <c r="H214" s="4">
        <v>3.18</v>
      </c>
      <c r="I214" s="4">
        <v>6.25</v>
      </c>
      <c r="J214" s="4">
        <v>10</v>
      </c>
      <c r="K214" s="4">
        <v>10</v>
      </c>
      <c r="L214" s="4">
        <v>8</v>
      </c>
      <c r="M214" s="4">
        <v>1</v>
      </c>
      <c r="N214" s="4">
        <v>3.02</v>
      </c>
      <c r="O214" s="4">
        <v>384</v>
      </c>
      <c r="P214" s="4">
        <v>3.6799999999999999E-2</v>
      </c>
      <c r="Q214" s="4">
        <v>1.62</v>
      </c>
      <c r="R214" s="4">
        <v>9.7899999999999991</v>
      </c>
      <c r="S214" s="4">
        <v>9.1199999999999992</v>
      </c>
      <c r="T214" s="4">
        <v>13.4</v>
      </c>
      <c r="U214" s="4">
        <v>16.399999999999999</v>
      </c>
      <c r="V214" s="4">
        <v>17.2</v>
      </c>
      <c r="W214" s="4">
        <v>18</v>
      </c>
      <c r="X214" s="4">
        <v>19.7</v>
      </c>
      <c r="Y214" s="4">
        <v>21.5</v>
      </c>
      <c r="Z214" s="4">
        <v>7.53</v>
      </c>
      <c r="AA214" s="4">
        <v>1.3</v>
      </c>
      <c r="AB214" s="4">
        <v>9.8499999999999995E-5</v>
      </c>
      <c r="AC214" s="4">
        <v>0.254</v>
      </c>
      <c r="AD214" s="4" t="s">
        <v>937</v>
      </c>
      <c r="AE214" s="4">
        <v>2.0299999999999998</v>
      </c>
    </row>
    <row r="215" spans="1:31" x14ac:dyDescent="0.25">
      <c r="A215" s="4" t="s">
        <v>59</v>
      </c>
      <c r="B215" s="5" t="s">
        <v>938</v>
      </c>
      <c r="C215" s="4"/>
      <c r="D215" s="4">
        <v>13</v>
      </c>
      <c r="E215" s="4">
        <v>1</v>
      </c>
      <c r="F215" s="4">
        <v>25.4</v>
      </c>
      <c r="G215" s="4">
        <v>25.4</v>
      </c>
      <c r="H215" s="4">
        <v>6.35</v>
      </c>
      <c r="I215" s="4">
        <v>4.9800000000000004</v>
      </c>
      <c r="J215" s="4">
        <v>4</v>
      </c>
      <c r="K215" s="4">
        <v>4</v>
      </c>
      <c r="L215" s="4">
        <v>11</v>
      </c>
      <c r="M215" s="4">
        <v>1</v>
      </c>
      <c r="N215" s="4">
        <v>4.43</v>
      </c>
      <c r="O215" s="4">
        <v>565</v>
      </c>
      <c r="P215" s="4">
        <v>3.0700000000000002E-2</v>
      </c>
      <c r="Q215" s="4">
        <v>1.83</v>
      </c>
      <c r="R215" s="4">
        <v>7.37</v>
      </c>
      <c r="S215" s="4">
        <v>8.6199999999999992</v>
      </c>
      <c r="T215" s="4">
        <v>11.3</v>
      </c>
      <c r="U215" s="4">
        <v>14.6</v>
      </c>
      <c r="V215" s="4">
        <v>15.5</v>
      </c>
      <c r="W215" s="4">
        <v>16.399999999999999</v>
      </c>
      <c r="X215" s="4">
        <v>18.2</v>
      </c>
      <c r="Y215" s="4">
        <v>20</v>
      </c>
      <c r="Z215" s="4">
        <v>5.44</v>
      </c>
      <c r="AA215" s="4">
        <v>7.59</v>
      </c>
      <c r="AB215" s="4">
        <v>3.1199999999999999E-4</v>
      </c>
      <c r="AC215" s="4">
        <v>0.20300000000000001</v>
      </c>
      <c r="AD215" s="4" t="s">
        <v>939</v>
      </c>
      <c r="AE215" s="4">
        <v>2.98</v>
      </c>
    </row>
    <row r="216" spans="1:31" x14ac:dyDescent="0.25">
      <c r="A216" s="4"/>
      <c r="B216" s="5" t="s">
        <v>940</v>
      </c>
      <c r="C216" s="4"/>
      <c r="D216" s="4">
        <v>13</v>
      </c>
      <c r="E216" s="4">
        <v>1</v>
      </c>
      <c r="F216" s="4">
        <v>25.4</v>
      </c>
      <c r="G216" s="4">
        <v>25.4</v>
      </c>
      <c r="H216" s="4">
        <v>4.76</v>
      </c>
      <c r="I216" s="4">
        <v>4.9400000000000004</v>
      </c>
      <c r="J216" s="4">
        <v>5.34</v>
      </c>
      <c r="K216" s="4">
        <v>5.34</v>
      </c>
      <c r="L216" s="4">
        <v>10</v>
      </c>
      <c r="M216" s="4">
        <v>1</v>
      </c>
      <c r="N216" s="4">
        <v>3.44</v>
      </c>
      <c r="O216" s="4">
        <v>438</v>
      </c>
      <c r="P216" s="4">
        <v>2.4899999999999999E-2</v>
      </c>
      <c r="Q216" s="4">
        <v>1.44</v>
      </c>
      <c r="R216" s="4">
        <v>7.54</v>
      </c>
      <c r="S216" s="4">
        <v>8.07</v>
      </c>
      <c r="T216" s="4">
        <v>11</v>
      </c>
      <c r="U216" s="4">
        <v>14.2</v>
      </c>
      <c r="V216" s="4">
        <v>15.1</v>
      </c>
      <c r="W216" s="4">
        <v>16</v>
      </c>
      <c r="X216" s="4">
        <v>17.8</v>
      </c>
      <c r="Y216" s="4">
        <v>19.600000000000001</v>
      </c>
      <c r="Z216" s="4">
        <v>5.69</v>
      </c>
      <c r="AA216" s="4">
        <v>3.31</v>
      </c>
      <c r="AB216" s="4">
        <v>1.46E-4</v>
      </c>
      <c r="AC216" s="4">
        <v>0.20300000000000001</v>
      </c>
      <c r="AD216" s="4" t="s">
        <v>941</v>
      </c>
      <c r="AE216" s="4">
        <v>2.31</v>
      </c>
    </row>
    <row r="217" spans="1:31" x14ac:dyDescent="0.25">
      <c r="A217" s="4"/>
      <c r="B217" s="5" t="s">
        <v>942</v>
      </c>
      <c r="C217" s="4"/>
      <c r="D217" s="4">
        <v>13</v>
      </c>
      <c r="E217" s="4">
        <v>1</v>
      </c>
      <c r="F217" s="4">
        <v>25.4</v>
      </c>
      <c r="G217" s="4">
        <v>25.4</v>
      </c>
      <c r="H217" s="4">
        <v>3.18</v>
      </c>
      <c r="I217" s="4">
        <v>4.97</v>
      </c>
      <c r="J217" s="4">
        <v>7.99</v>
      </c>
      <c r="K217" s="4">
        <v>7.99</v>
      </c>
      <c r="L217" s="4">
        <v>8</v>
      </c>
      <c r="M217" s="4">
        <v>1</v>
      </c>
      <c r="N217" s="4">
        <v>2.38</v>
      </c>
      <c r="O217" s="4">
        <v>303</v>
      </c>
      <c r="P217" s="4">
        <v>1.8100000000000002E-2</v>
      </c>
      <c r="Q217" s="4">
        <v>1.01</v>
      </c>
      <c r="R217" s="4">
        <v>7.73</v>
      </c>
      <c r="S217" s="4">
        <v>7.52</v>
      </c>
      <c r="T217" s="4">
        <v>10.8</v>
      </c>
      <c r="U217" s="4">
        <v>13.9</v>
      </c>
      <c r="V217" s="4">
        <v>14.7</v>
      </c>
      <c r="W217" s="4">
        <v>15.6</v>
      </c>
      <c r="X217" s="4">
        <v>17.3</v>
      </c>
      <c r="Y217" s="4">
        <v>19.100000000000001</v>
      </c>
      <c r="Z217" s="4">
        <v>5.93</v>
      </c>
      <c r="AA217" s="4">
        <v>1.02</v>
      </c>
      <c r="AB217" s="4">
        <v>4.8199999999999999E-5</v>
      </c>
      <c r="AC217" s="4">
        <v>0.20300000000000001</v>
      </c>
      <c r="AD217" s="4" t="s">
        <v>943</v>
      </c>
      <c r="AE217" s="4">
        <v>1.6</v>
      </c>
    </row>
    <row r="218" spans="1:31" x14ac:dyDescent="0.25">
      <c r="A218" s="4" t="s">
        <v>59</v>
      </c>
      <c r="B218" s="5" t="s">
        <v>944</v>
      </c>
      <c r="C218" s="4"/>
      <c r="D218" s="4">
        <v>13</v>
      </c>
      <c r="E218" s="4">
        <v>1</v>
      </c>
      <c r="F218" s="4">
        <v>19.100000000000001</v>
      </c>
      <c r="G218" s="4">
        <v>19.100000000000001</v>
      </c>
      <c r="H218" s="4">
        <v>3.18</v>
      </c>
      <c r="I218" s="4">
        <v>3.72</v>
      </c>
      <c r="J218" s="4">
        <v>6.01</v>
      </c>
      <c r="K218" s="4">
        <v>6.01</v>
      </c>
      <c r="L218" s="4">
        <v>8</v>
      </c>
      <c r="M218" s="4">
        <v>1</v>
      </c>
      <c r="N218" s="4">
        <v>1.75</v>
      </c>
      <c r="O218" s="4">
        <v>223</v>
      </c>
      <c r="P218" s="4">
        <v>7.28E-3</v>
      </c>
      <c r="Q218" s="4">
        <v>0.55300000000000005</v>
      </c>
      <c r="R218" s="4">
        <v>5.72</v>
      </c>
      <c r="S218" s="4">
        <v>5.93</v>
      </c>
      <c r="T218" s="4">
        <v>8.24</v>
      </c>
      <c r="U218" s="4">
        <v>11.5</v>
      </c>
      <c r="V218" s="4">
        <v>12.3</v>
      </c>
      <c r="W218" s="4">
        <v>13.2</v>
      </c>
      <c r="X218" s="4">
        <v>15.1</v>
      </c>
      <c r="Y218" s="4">
        <v>16.899999999999999</v>
      </c>
      <c r="Z218" s="4">
        <v>4.34</v>
      </c>
      <c r="AA218" s="4">
        <v>0.751</v>
      </c>
      <c r="AB218" s="4">
        <v>1.9199999999999999E-5</v>
      </c>
      <c r="AC218" s="4">
        <v>0.153</v>
      </c>
      <c r="AD218" s="4" t="s">
        <v>945</v>
      </c>
      <c r="AE218" s="4">
        <v>1.17</v>
      </c>
    </row>
  </sheetData>
  <autoFilter ref="A78:AE218" xr:uid="{58B4FE79-5F20-4520-8BC7-733AB442D16A}"/>
  <pageMargins left="0.7" right="0.7" top="0.75" bottom="0.75" header="0.3" footer="0.3"/>
</worksheet>
</file>

<file path=docMetadata/LabelInfo.xml><?xml version="1.0" encoding="utf-8"?>
<clbl:labelList xmlns:clbl="http://schemas.microsoft.com/office/2020/mipLabelMetadata">
  <clbl:label id="{e9d746c0-3369-42be-bf83-6862f3f56ae7}" enabled="1" method="Standard" siteId="{75864cfe-f26d-419c-b69d-c638695b553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C1_Transverse</vt:lpstr>
      <vt:lpstr>C1_Longitudinal</vt:lpstr>
      <vt:lpstr>D1_Transverse</vt:lpstr>
      <vt:lpstr>D1_Longitudinal</vt:lpstr>
      <vt:lpstr>W Sections</vt:lpstr>
      <vt:lpstr>2L</vt:lpstr>
      <vt:lpstr>'C1_Longitudinal'!Print_Area</vt:lpstr>
      <vt:lpstr>'C1_Transverse'!Print_Area</vt:lpstr>
      <vt:lpstr>D1_Longitudinal!Print_Area</vt:lpstr>
      <vt:lpstr>D1_Transverse!Print_Area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 Matin</dc:creator>
  <cp:lastModifiedBy>Coltin Walsh</cp:lastModifiedBy>
  <cp:lastPrinted>2026-02-24T21:35:27Z</cp:lastPrinted>
  <dcterms:created xsi:type="dcterms:W3CDTF">2019-09-20T16:06:29Z</dcterms:created>
  <dcterms:modified xsi:type="dcterms:W3CDTF">2026-02-24T21:35:41Z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9d746c0-3369-42be-bf83-6862f3f56ae7_Enabled">
    <vt:lpwstr>true</vt:lpwstr>
  </property>
  <property fmtid="{D5CDD505-2E9C-101B-9397-08002B2CF9AE}" pid="3" name="MSIP_Label_e9d746c0-3369-42be-bf83-6862f3f56ae7_SetDate">
    <vt:lpwstr>2023-06-13T15:55:38Z</vt:lpwstr>
  </property>
  <property fmtid="{D5CDD505-2E9C-101B-9397-08002B2CF9AE}" pid="4" name="MSIP_Label_e9d746c0-3369-42be-bf83-6862f3f56ae7_Method">
    <vt:lpwstr>Standard</vt:lpwstr>
  </property>
  <property fmtid="{D5CDD505-2E9C-101B-9397-08002B2CF9AE}" pid="5" name="MSIP_Label_e9d746c0-3369-42be-bf83-6862f3f56ae7_Name">
    <vt:lpwstr>Fluor General</vt:lpwstr>
  </property>
  <property fmtid="{D5CDD505-2E9C-101B-9397-08002B2CF9AE}" pid="6" name="MSIP_Label_e9d746c0-3369-42be-bf83-6862f3f56ae7_SiteId">
    <vt:lpwstr>75864cfe-f26d-419c-b69d-c638695b5533</vt:lpwstr>
  </property>
  <property fmtid="{D5CDD505-2E9C-101B-9397-08002B2CF9AE}" pid="7" name="MSIP_Label_e9d746c0-3369-42be-bf83-6862f3f56ae7_ActionId">
    <vt:lpwstr>be3bd41f-dc3b-47cc-9027-116afe6e6655</vt:lpwstr>
  </property>
  <property fmtid="{D5CDD505-2E9C-101B-9397-08002B2CF9AE}" pid="8" name="MSIP_Label_e9d746c0-3369-42be-bf83-6862f3f56ae7_ContentBits">
    <vt:lpwstr>0</vt:lpwstr>
  </property>
</Properties>
</file>