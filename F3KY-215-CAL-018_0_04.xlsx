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ml.chartshape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ml.chartshapes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ml.chartshape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24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\\FDNET.COM\CA_Projects\CA_F3KY\215_STRUCTURAL\215E_ENGINEERING_DESIGN_DATA\215E_014_R_Proj_Calculations_Sketches\F3KY-215-CAL-018 CWA 165 PM-4007 Dyn Analysis and Fdn Design\Working\"/>
    </mc:Choice>
  </mc:AlternateContent>
  <xr:revisionPtr revIDLastSave="0" documentId="13_ncr:1_{B215840B-FC41-4480-BE61-5438A451E203}" xr6:coauthVersionLast="47" xr6:coauthVersionMax="47" xr10:uidLastSave="{00000000-0000-0000-0000-000000000000}"/>
  <bookViews>
    <workbookView xWindow="-120" yWindow="-120" windowWidth="29040" windowHeight="15720" activeTab="8" xr2:uid="{114DAE75-D41E-44B9-A88C-8E71D3DAE40E}"/>
  </bookViews>
  <sheets>
    <sheet name="limits" sheetId="570" r:id="rId1"/>
    <sheet name="P3_LB" sheetId="585" r:id="rId2"/>
    <sheet name="P4_LB" sheetId="632" r:id="rId3"/>
    <sheet name="P5_LB" sheetId="633" r:id="rId4"/>
    <sheet name="P6_LB" sheetId="634" r:id="rId5"/>
    <sheet name="P3_UB" sheetId="635" r:id="rId6"/>
    <sheet name="P4_UB" sheetId="636" r:id="rId7"/>
    <sheet name="P5_UB" sheetId="637" r:id="rId8"/>
    <sheet name="P6_UB" sheetId="63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570" l="1"/>
  <c r="H24" i="570"/>
  <c r="H23" i="570"/>
  <c r="L27" i="570"/>
  <c r="G4" i="570"/>
  <c r="H27" i="570"/>
  <c r="D128" i="638"/>
  <c r="C128" i="638"/>
  <c r="B128" i="638"/>
  <c r="H126" i="638"/>
  <c r="G126" i="638"/>
  <c r="F126" i="638"/>
  <c r="H125" i="638"/>
  <c r="G125" i="638"/>
  <c r="F125" i="638"/>
  <c r="H124" i="638"/>
  <c r="G124" i="638"/>
  <c r="F124" i="638"/>
  <c r="H123" i="638"/>
  <c r="G123" i="638"/>
  <c r="F123" i="638"/>
  <c r="H122" i="638"/>
  <c r="G122" i="638"/>
  <c r="F122" i="638"/>
  <c r="H121" i="638"/>
  <c r="G121" i="638"/>
  <c r="F121" i="638"/>
  <c r="H120" i="638"/>
  <c r="G120" i="638"/>
  <c r="F120" i="638"/>
  <c r="H119" i="638"/>
  <c r="G119" i="638"/>
  <c r="F119" i="638"/>
  <c r="H118" i="638"/>
  <c r="G118" i="638"/>
  <c r="F118" i="638"/>
  <c r="H117" i="638"/>
  <c r="G117" i="638"/>
  <c r="F117" i="638"/>
  <c r="H116" i="638"/>
  <c r="G116" i="638"/>
  <c r="F116" i="638"/>
  <c r="H115" i="638"/>
  <c r="G115" i="638"/>
  <c r="F115" i="638"/>
  <c r="H114" i="638"/>
  <c r="G114" i="638"/>
  <c r="F114" i="638"/>
  <c r="H113" i="638"/>
  <c r="G113" i="638"/>
  <c r="F113" i="638"/>
  <c r="H112" i="638"/>
  <c r="G112" i="638"/>
  <c r="F112" i="638"/>
  <c r="H111" i="638"/>
  <c r="G111" i="638"/>
  <c r="F111" i="638"/>
  <c r="H110" i="638"/>
  <c r="G110" i="638"/>
  <c r="F110" i="638"/>
  <c r="H109" i="638"/>
  <c r="G109" i="638"/>
  <c r="F109" i="638"/>
  <c r="H108" i="638"/>
  <c r="G108" i="638"/>
  <c r="F108" i="638"/>
  <c r="H107" i="638"/>
  <c r="G107" i="638"/>
  <c r="F107" i="638"/>
  <c r="H106" i="638"/>
  <c r="G106" i="638"/>
  <c r="F106" i="638"/>
  <c r="H105" i="638"/>
  <c r="G105" i="638"/>
  <c r="F105" i="638"/>
  <c r="H104" i="638"/>
  <c r="G104" i="638"/>
  <c r="F104" i="638"/>
  <c r="H103" i="638"/>
  <c r="G103" i="638"/>
  <c r="F103" i="638"/>
  <c r="H102" i="638"/>
  <c r="G102" i="638"/>
  <c r="F102" i="638"/>
  <c r="H101" i="638"/>
  <c r="G101" i="638"/>
  <c r="F101" i="638"/>
  <c r="H100" i="638"/>
  <c r="G100" i="638"/>
  <c r="F100" i="638"/>
  <c r="H99" i="638"/>
  <c r="G99" i="638"/>
  <c r="F99" i="638"/>
  <c r="H98" i="638"/>
  <c r="G98" i="638"/>
  <c r="F98" i="638"/>
  <c r="H97" i="638"/>
  <c r="G97" i="638"/>
  <c r="F97" i="638"/>
  <c r="H96" i="638"/>
  <c r="G96" i="638"/>
  <c r="F96" i="638"/>
  <c r="H95" i="638"/>
  <c r="G95" i="638"/>
  <c r="F95" i="638"/>
  <c r="H94" i="638"/>
  <c r="G94" i="638"/>
  <c r="F94" i="638"/>
  <c r="H93" i="638"/>
  <c r="G93" i="638"/>
  <c r="F93" i="638"/>
  <c r="H92" i="638"/>
  <c r="G92" i="638"/>
  <c r="F92" i="638"/>
  <c r="H91" i="638"/>
  <c r="G91" i="638"/>
  <c r="F91" i="638"/>
  <c r="H90" i="638"/>
  <c r="G90" i="638"/>
  <c r="F90" i="638"/>
  <c r="H89" i="638"/>
  <c r="G89" i="638"/>
  <c r="F89" i="638"/>
  <c r="H88" i="638"/>
  <c r="G88" i="638"/>
  <c r="F88" i="638"/>
  <c r="H87" i="638"/>
  <c r="G87" i="638"/>
  <c r="F87" i="638"/>
  <c r="H86" i="638"/>
  <c r="G86" i="638"/>
  <c r="F86" i="638"/>
  <c r="H85" i="638"/>
  <c r="G85" i="638"/>
  <c r="F85" i="638"/>
  <c r="H84" i="638"/>
  <c r="G84" i="638"/>
  <c r="F84" i="638"/>
  <c r="H83" i="638"/>
  <c r="G83" i="638"/>
  <c r="F83" i="638"/>
  <c r="H82" i="638"/>
  <c r="G82" i="638"/>
  <c r="F82" i="638"/>
  <c r="H81" i="638"/>
  <c r="G81" i="638"/>
  <c r="F81" i="638"/>
  <c r="H80" i="638"/>
  <c r="G80" i="638"/>
  <c r="F80" i="638"/>
  <c r="H79" i="638"/>
  <c r="G79" i="638"/>
  <c r="F79" i="638"/>
  <c r="H78" i="638"/>
  <c r="G78" i="638"/>
  <c r="F78" i="638"/>
  <c r="H77" i="638"/>
  <c r="G77" i="638"/>
  <c r="F77" i="638"/>
  <c r="H76" i="638"/>
  <c r="G76" i="638"/>
  <c r="F76" i="638"/>
  <c r="H75" i="638"/>
  <c r="G75" i="638"/>
  <c r="F75" i="638"/>
  <c r="H74" i="638"/>
  <c r="G74" i="638"/>
  <c r="F74" i="638"/>
  <c r="H73" i="638"/>
  <c r="G73" i="638"/>
  <c r="F73" i="638"/>
  <c r="H72" i="638"/>
  <c r="G72" i="638"/>
  <c r="F72" i="638"/>
  <c r="H71" i="638"/>
  <c r="G71" i="638"/>
  <c r="F71" i="638"/>
  <c r="H70" i="638"/>
  <c r="G70" i="638"/>
  <c r="F70" i="638"/>
  <c r="H69" i="638"/>
  <c r="G69" i="638"/>
  <c r="F69" i="638"/>
  <c r="H68" i="638"/>
  <c r="G68" i="638"/>
  <c r="F68" i="638"/>
  <c r="H67" i="638"/>
  <c r="G67" i="638"/>
  <c r="F67" i="638"/>
  <c r="H66" i="638"/>
  <c r="G66" i="638"/>
  <c r="F66" i="638"/>
  <c r="H65" i="638"/>
  <c r="G65" i="638"/>
  <c r="F65" i="638"/>
  <c r="H64" i="638"/>
  <c r="G64" i="638"/>
  <c r="F64" i="638"/>
  <c r="H63" i="638"/>
  <c r="G63" i="638"/>
  <c r="F63" i="638"/>
  <c r="H62" i="638"/>
  <c r="G62" i="638"/>
  <c r="F62" i="638"/>
  <c r="H61" i="638"/>
  <c r="G61" i="638"/>
  <c r="F61" i="638"/>
  <c r="H60" i="638"/>
  <c r="G60" i="638"/>
  <c r="F60" i="638"/>
  <c r="H59" i="638"/>
  <c r="G59" i="638"/>
  <c r="F59" i="638"/>
  <c r="H58" i="638"/>
  <c r="G58" i="638"/>
  <c r="F58" i="638"/>
  <c r="H57" i="638"/>
  <c r="G57" i="638"/>
  <c r="F57" i="638"/>
  <c r="H56" i="638"/>
  <c r="G56" i="638"/>
  <c r="F56" i="638"/>
  <c r="H55" i="638"/>
  <c r="G55" i="638"/>
  <c r="F55" i="638"/>
  <c r="H54" i="638"/>
  <c r="G54" i="638"/>
  <c r="F54" i="638"/>
  <c r="H53" i="638"/>
  <c r="G53" i="638"/>
  <c r="F53" i="638"/>
  <c r="H52" i="638"/>
  <c r="G52" i="638"/>
  <c r="F52" i="638"/>
  <c r="H51" i="638"/>
  <c r="G51" i="638"/>
  <c r="F51" i="638"/>
  <c r="H50" i="638"/>
  <c r="G50" i="638"/>
  <c r="F50" i="638"/>
  <c r="H49" i="638"/>
  <c r="G49" i="638"/>
  <c r="F49" i="638"/>
  <c r="H48" i="638"/>
  <c r="G48" i="638"/>
  <c r="F48" i="638"/>
  <c r="H47" i="638"/>
  <c r="G47" i="638"/>
  <c r="F47" i="638"/>
  <c r="H46" i="638"/>
  <c r="G46" i="638"/>
  <c r="F46" i="638"/>
  <c r="H45" i="638"/>
  <c r="G45" i="638"/>
  <c r="F45" i="638"/>
  <c r="H44" i="638"/>
  <c r="G44" i="638"/>
  <c r="F44" i="638"/>
  <c r="H43" i="638"/>
  <c r="G43" i="638"/>
  <c r="F43" i="638"/>
  <c r="H42" i="638"/>
  <c r="G42" i="638"/>
  <c r="F42" i="638"/>
  <c r="H41" i="638"/>
  <c r="G41" i="638"/>
  <c r="F41" i="638"/>
  <c r="H40" i="638"/>
  <c r="G40" i="638"/>
  <c r="F40" i="638"/>
  <c r="H39" i="638"/>
  <c r="G39" i="638"/>
  <c r="F39" i="638"/>
  <c r="H38" i="638"/>
  <c r="G38" i="638"/>
  <c r="F38" i="638"/>
  <c r="H37" i="638"/>
  <c r="G37" i="638"/>
  <c r="F37" i="638"/>
  <c r="H36" i="638"/>
  <c r="G36" i="638"/>
  <c r="F36" i="638"/>
  <c r="H35" i="638"/>
  <c r="G35" i="638"/>
  <c r="F35" i="638"/>
  <c r="H34" i="638"/>
  <c r="G34" i="638"/>
  <c r="F34" i="638"/>
  <c r="H33" i="638"/>
  <c r="G33" i="638"/>
  <c r="F33" i="638"/>
  <c r="H32" i="638"/>
  <c r="G32" i="638"/>
  <c r="F32" i="638"/>
  <c r="H31" i="638"/>
  <c r="G31" i="638"/>
  <c r="F31" i="638"/>
  <c r="H30" i="638"/>
  <c r="G30" i="638"/>
  <c r="F30" i="638"/>
  <c r="H29" i="638"/>
  <c r="G29" i="638"/>
  <c r="F29" i="638"/>
  <c r="H28" i="638"/>
  <c r="G28" i="638"/>
  <c r="F28" i="638"/>
  <c r="H27" i="638"/>
  <c r="G27" i="638"/>
  <c r="F27" i="638"/>
  <c r="H26" i="638"/>
  <c r="G26" i="638"/>
  <c r="F26" i="638"/>
  <c r="H25" i="638"/>
  <c r="G25" i="638"/>
  <c r="F25" i="638"/>
  <c r="H24" i="638"/>
  <c r="G24" i="638"/>
  <c r="F24" i="638"/>
  <c r="H23" i="638"/>
  <c r="G23" i="638"/>
  <c r="F23" i="638"/>
  <c r="H22" i="638"/>
  <c r="G22" i="638"/>
  <c r="F22" i="638"/>
  <c r="H21" i="638"/>
  <c r="G21" i="638"/>
  <c r="F21" i="638"/>
  <c r="H20" i="638"/>
  <c r="H128" i="638" s="1"/>
  <c r="G20" i="638"/>
  <c r="F20" i="638"/>
  <c r="H19" i="638"/>
  <c r="G19" i="638"/>
  <c r="F19" i="638"/>
  <c r="H18" i="638"/>
  <c r="G18" i="638"/>
  <c r="F18" i="638"/>
  <c r="H17" i="638"/>
  <c r="G17" i="638"/>
  <c r="F17" i="638"/>
  <c r="H16" i="638"/>
  <c r="G16" i="638"/>
  <c r="F16" i="638"/>
  <c r="H15" i="638"/>
  <c r="G15" i="638"/>
  <c r="F15" i="638"/>
  <c r="H14" i="638"/>
  <c r="G14" i="638"/>
  <c r="F14" i="638"/>
  <c r="H13" i="638"/>
  <c r="G13" i="638"/>
  <c r="F13" i="638"/>
  <c r="H12" i="638"/>
  <c r="G12" i="638"/>
  <c r="F12" i="638"/>
  <c r="H11" i="638"/>
  <c r="G11" i="638"/>
  <c r="F11" i="638"/>
  <c r="H10" i="638"/>
  <c r="G10" i="638"/>
  <c r="F10" i="638"/>
  <c r="H9" i="638"/>
  <c r="G9" i="638"/>
  <c r="F9" i="638"/>
  <c r="H8" i="638"/>
  <c r="G8" i="638"/>
  <c r="F8" i="638"/>
  <c r="H7" i="638"/>
  <c r="G7" i="638"/>
  <c r="F7" i="638"/>
  <c r="H6" i="638"/>
  <c r="G6" i="638"/>
  <c r="F6" i="638"/>
  <c r="D128" i="637"/>
  <c r="C128" i="637"/>
  <c r="B128" i="637"/>
  <c r="H126" i="637"/>
  <c r="G126" i="637"/>
  <c r="F126" i="637"/>
  <c r="H125" i="637"/>
  <c r="G125" i="637"/>
  <c r="F125" i="637"/>
  <c r="H124" i="637"/>
  <c r="G124" i="637"/>
  <c r="F124" i="637"/>
  <c r="H123" i="637"/>
  <c r="G123" i="637"/>
  <c r="F123" i="637"/>
  <c r="H122" i="637"/>
  <c r="G122" i="637"/>
  <c r="F122" i="637"/>
  <c r="H121" i="637"/>
  <c r="G121" i="637"/>
  <c r="F121" i="637"/>
  <c r="H120" i="637"/>
  <c r="G120" i="637"/>
  <c r="F120" i="637"/>
  <c r="H119" i="637"/>
  <c r="G119" i="637"/>
  <c r="F119" i="637"/>
  <c r="H118" i="637"/>
  <c r="G118" i="637"/>
  <c r="F118" i="637"/>
  <c r="H117" i="637"/>
  <c r="G117" i="637"/>
  <c r="F117" i="637"/>
  <c r="H116" i="637"/>
  <c r="G116" i="637"/>
  <c r="F116" i="637"/>
  <c r="H115" i="637"/>
  <c r="G115" i="637"/>
  <c r="F115" i="637"/>
  <c r="H114" i="637"/>
  <c r="G114" i="637"/>
  <c r="F114" i="637"/>
  <c r="H113" i="637"/>
  <c r="G113" i="637"/>
  <c r="F113" i="637"/>
  <c r="H112" i="637"/>
  <c r="G112" i="637"/>
  <c r="F112" i="637"/>
  <c r="H111" i="637"/>
  <c r="G111" i="637"/>
  <c r="F111" i="637"/>
  <c r="H110" i="637"/>
  <c r="G110" i="637"/>
  <c r="F110" i="637"/>
  <c r="H109" i="637"/>
  <c r="G109" i="637"/>
  <c r="F109" i="637"/>
  <c r="H108" i="637"/>
  <c r="G108" i="637"/>
  <c r="F108" i="637"/>
  <c r="H107" i="637"/>
  <c r="G107" i="637"/>
  <c r="F107" i="637"/>
  <c r="H106" i="637"/>
  <c r="G106" i="637"/>
  <c r="F106" i="637"/>
  <c r="H105" i="637"/>
  <c r="G105" i="637"/>
  <c r="F105" i="637"/>
  <c r="H104" i="637"/>
  <c r="G104" i="637"/>
  <c r="F104" i="637"/>
  <c r="H103" i="637"/>
  <c r="G103" i="637"/>
  <c r="F103" i="637"/>
  <c r="H102" i="637"/>
  <c r="G102" i="637"/>
  <c r="F102" i="637"/>
  <c r="H101" i="637"/>
  <c r="G101" i="637"/>
  <c r="F101" i="637"/>
  <c r="H100" i="637"/>
  <c r="G100" i="637"/>
  <c r="F100" i="637"/>
  <c r="H99" i="637"/>
  <c r="G99" i="637"/>
  <c r="F99" i="637"/>
  <c r="H98" i="637"/>
  <c r="G98" i="637"/>
  <c r="F98" i="637"/>
  <c r="H97" i="637"/>
  <c r="G97" i="637"/>
  <c r="F97" i="637"/>
  <c r="H96" i="637"/>
  <c r="G96" i="637"/>
  <c r="F96" i="637"/>
  <c r="H95" i="637"/>
  <c r="G95" i="637"/>
  <c r="F95" i="637"/>
  <c r="H94" i="637"/>
  <c r="G94" i="637"/>
  <c r="F94" i="637"/>
  <c r="H93" i="637"/>
  <c r="G93" i="637"/>
  <c r="F93" i="637"/>
  <c r="H92" i="637"/>
  <c r="G92" i="637"/>
  <c r="F92" i="637"/>
  <c r="H91" i="637"/>
  <c r="G91" i="637"/>
  <c r="F91" i="637"/>
  <c r="H90" i="637"/>
  <c r="G90" i="637"/>
  <c r="F90" i="637"/>
  <c r="H89" i="637"/>
  <c r="G89" i="637"/>
  <c r="F89" i="637"/>
  <c r="H88" i="637"/>
  <c r="G88" i="637"/>
  <c r="F88" i="637"/>
  <c r="H87" i="637"/>
  <c r="G87" i="637"/>
  <c r="F87" i="637"/>
  <c r="H86" i="637"/>
  <c r="G86" i="637"/>
  <c r="F86" i="637"/>
  <c r="H85" i="637"/>
  <c r="G85" i="637"/>
  <c r="F85" i="637"/>
  <c r="H84" i="637"/>
  <c r="G84" i="637"/>
  <c r="F84" i="637"/>
  <c r="H83" i="637"/>
  <c r="G83" i="637"/>
  <c r="F83" i="637"/>
  <c r="H82" i="637"/>
  <c r="G82" i="637"/>
  <c r="F82" i="637"/>
  <c r="H81" i="637"/>
  <c r="G81" i="637"/>
  <c r="F81" i="637"/>
  <c r="H80" i="637"/>
  <c r="G80" i="637"/>
  <c r="F80" i="637"/>
  <c r="H79" i="637"/>
  <c r="G79" i="637"/>
  <c r="F79" i="637"/>
  <c r="H78" i="637"/>
  <c r="G78" i="637"/>
  <c r="F78" i="637"/>
  <c r="H77" i="637"/>
  <c r="G77" i="637"/>
  <c r="F77" i="637"/>
  <c r="H76" i="637"/>
  <c r="G76" i="637"/>
  <c r="F76" i="637"/>
  <c r="H75" i="637"/>
  <c r="G75" i="637"/>
  <c r="F75" i="637"/>
  <c r="H74" i="637"/>
  <c r="G74" i="637"/>
  <c r="F74" i="637"/>
  <c r="H73" i="637"/>
  <c r="G73" i="637"/>
  <c r="F73" i="637"/>
  <c r="H72" i="637"/>
  <c r="G72" i="637"/>
  <c r="F72" i="637"/>
  <c r="H71" i="637"/>
  <c r="G71" i="637"/>
  <c r="F71" i="637"/>
  <c r="H70" i="637"/>
  <c r="G70" i="637"/>
  <c r="F70" i="637"/>
  <c r="H69" i="637"/>
  <c r="G69" i="637"/>
  <c r="F69" i="637"/>
  <c r="H68" i="637"/>
  <c r="G68" i="637"/>
  <c r="F68" i="637"/>
  <c r="H67" i="637"/>
  <c r="G67" i="637"/>
  <c r="F67" i="637"/>
  <c r="H66" i="637"/>
  <c r="G66" i="637"/>
  <c r="F66" i="637"/>
  <c r="H65" i="637"/>
  <c r="G65" i="637"/>
  <c r="F65" i="637"/>
  <c r="H64" i="637"/>
  <c r="G64" i="637"/>
  <c r="F64" i="637"/>
  <c r="H63" i="637"/>
  <c r="G63" i="637"/>
  <c r="F63" i="637"/>
  <c r="H62" i="637"/>
  <c r="G62" i="637"/>
  <c r="F62" i="637"/>
  <c r="H61" i="637"/>
  <c r="G61" i="637"/>
  <c r="F61" i="637"/>
  <c r="H60" i="637"/>
  <c r="G60" i="637"/>
  <c r="F60" i="637"/>
  <c r="H59" i="637"/>
  <c r="G59" i="637"/>
  <c r="F59" i="637"/>
  <c r="H58" i="637"/>
  <c r="G58" i="637"/>
  <c r="F58" i="637"/>
  <c r="H57" i="637"/>
  <c r="G57" i="637"/>
  <c r="F57" i="637"/>
  <c r="H56" i="637"/>
  <c r="G56" i="637"/>
  <c r="F56" i="637"/>
  <c r="H55" i="637"/>
  <c r="G55" i="637"/>
  <c r="F55" i="637"/>
  <c r="H54" i="637"/>
  <c r="G54" i="637"/>
  <c r="F54" i="637"/>
  <c r="H53" i="637"/>
  <c r="G53" i="637"/>
  <c r="F53" i="637"/>
  <c r="H52" i="637"/>
  <c r="G52" i="637"/>
  <c r="F52" i="637"/>
  <c r="H51" i="637"/>
  <c r="G51" i="637"/>
  <c r="F51" i="637"/>
  <c r="H50" i="637"/>
  <c r="G50" i="637"/>
  <c r="F50" i="637"/>
  <c r="H49" i="637"/>
  <c r="G49" i="637"/>
  <c r="F49" i="637"/>
  <c r="H48" i="637"/>
  <c r="G48" i="637"/>
  <c r="F48" i="637"/>
  <c r="H47" i="637"/>
  <c r="G47" i="637"/>
  <c r="F47" i="637"/>
  <c r="H46" i="637"/>
  <c r="G46" i="637"/>
  <c r="F46" i="637"/>
  <c r="H45" i="637"/>
  <c r="G45" i="637"/>
  <c r="F45" i="637"/>
  <c r="H44" i="637"/>
  <c r="G44" i="637"/>
  <c r="F44" i="637"/>
  <c r="H43" i="637"/>
  <c r="G43" i="637"/>
  <c r="F43" i="637"/>
  <c r="H42" i="637"/>
  <c r="G42" i="637"/>
  <c r="F42" i="637"/>
  <c r="H41" i="637"/>
  <c r="G41" i="637"/>
  <c r="F41" i="637"/>
  <c r="H40" i="637"/>
  <c r="G40" i="637"/>
  <c r="F40" i="637"/>
  <c r="H39" i="637"/>
  <c r="G39" i="637"/>
  <c r="F39" i="637"/>
  <c r="H38" i="637"/>
  <c r="G38" i="637"/>
  <c r="F38" i="637"/>
  <c r="H37" i="637"/>
  <c r="G37" i="637"/>
  <c r="F37" i="637"/>
  <c r="H36" i="637"/>
  <c r="G36" i="637"/>
  <c r="F36" i="637"/>
  <c r="H35" i="637"/>
  <c r="G35" i="637"/>
  <c r="F35" i="637"/>
  <c r="H34" i="637"/>
  <c r="G34" i="637"/>
  <c r="F34" i="637"/>
  <c r="H33" i="637"/>
  <c r="G33" i="637"/>
  <c r="F33" i="637"/>
  <c r="H32" i="637"/>
  <c r="G32" i="637"/>
  <c r="F32" i="637"/>
  <c r="H31" i="637"/>
  <c r="G31" i="637"/>
  <c r="F31" i="637"/>
  <c r="H30" i="637"/>
  <c r="G30" i="637"/>
  <c r="F30" i="637"/>
  <c r="H29" i="637"/>
  <c r="G29" i="637"/>
  <c r="F29" i="637"/>
  <c r="H28" i="637"/>
  <c r="G28" i="637"/>
  <c r="F28" i="637"/>
  <c r="H27" i="637"/>
  <c r="G27" i="637"/>
  <c r="F27" i="637"/>
  <c r="H26" i="637"/>
  <c r="G26" i="637"/>
  <c r="F26" i="637"/>
  <c r="H25" i="637"/>
  <c r="G25" i="637"/>
  <c r="F25" i="637"/>
  <c r="H24" i="637"/>
  <c r="G24" i="637"/>
  <c r="F24" i="637"/>
  <c r="H23" i="637"/>
  <c r="G23" i="637"/>
  <c r="F23" i="637"/>
  <c r="H22" i="637"/>
  <c r="G22" i="637"/>
  <c r="F22" i="637"/>
  <c r="H21" i="637"/>
  <c r="G21" i="637"/>
  <c r="F21" i="637"/>
  <c r="H20" i="637"/>
  <c r="G20" i="637"/>
  <c r="F20" i="637"/>
  <c r="H19" i="637"/>
  <c r="G19" i="637"/>
  <c r="F19" i="637"/>
  <c r="H18" i="637"/>
  <c r="G18" i="637"/>
  <c r="F18" i="637"/>
  <c r="H17" i="637"/>
  <c r="G17" i="637"/>
  <c r="F17" i="637"/>
  <c r="H16" i="637"/>
  <c r="G16" i="637"/>
  <c r="F16" i="637"/>
  <c r="H15" i="637"/>
  <c r="G15" i="637"/>
  <c r="F15" i="637"/>
  <c r="H14" i="637"/>
  <c r="G14" i="637"/>
  <c r="F14" i="637"/>
  <c r="H13" i="637"/>
  <c r="G13" i="637"/>
  <c r="F13" i="637"/>
  <c r="H12" i="637"/>
  <c r="G12" i="637"/>
  <c r="F12" i="637"/>
  <c r="H11" i="637"/>
  <c r="G11" i="637"/>
  <c r="F11" i="637"/>
  <c r="H10" i="637"/>
  <c r="G10" i="637"/>
  <c r="F10" i="637"/>
  <c r="H9" i="637"/>
  <c r="G9" i="637"/>
  <c r="F9" i="637"/>
  <c r="H8" i="637"/>
  <c r="G8" i="637"/>
  <c r="F8" i="637"/>
  <c r="H7" i="637"/>
  <c r="G7" i="637"/>
  <c r="F7" i="637"/>
  <c r="H6" i="637"/>
  <c r="G6" i="637"/>
  <c r="F6" i="637"/>
  <c r="D128" i="636"/>
  <c r="C128" i="636"/>
  <c r="B128" i="636"/>
  <c r="H126" i="636"/>
  <c r="G126" i="636"/>
  <c r="F126" i="636"/>
  <c r="H125" i="636"/>
  <c r="G125" i="636"/>
  <c r="F125" i="636"/>
  <c r="H124" i="636"/>
  <c r="G124" i="636"/>
  <c r="F124" i="636"/>
  <c r="H123" i="636"/>
  <c r="G123" i="636"/>
  <c r="F123" i="636"/>
  <c r="H122" i="636"/>
  <c r="G122" i="636"/>
  <c r="F122" i="636"/>
  <c r="H121" i="636"/>
  <c r="G121" i="636"/>
  <c r="F121" i="636"/>
  <c r="H120" i="636"/>
  <c r="G120" i="636"/>
  <c r="F120" i="636"/>
  <c r="H119" i="636"/>
  <c r="G119" i="636"/>
  <c r="F119" i="636"/>
  <c r="H118" i="636"/>
  <c r="G118" i="636"/>
  <c r="F118" i="636"/>
  <c r="H117" i="636"/>
  <c r="G117" i="636"/>
  <c r="F117" i="636"/>
  <c r="H116" i="636"/>
  <c r="G116" i="636"/>
  <c r="F116" i="636"/>
  <c r="H115" i="636"/>
  <c r="G115" i="636"/>
  <c r="F115" i="636"/>
  <c r="H114" i="636"/>
  <c r="G114" i="636"/>
  <c r="F114" i="636"/>
  <c r="H113" i="636"/>
  <c r="G113" i="636"/>
  <c r="F113" i="636"/>
  <c r="H112" i="636"/>
  <c r="G112" i="636"/>
  <c r="F112" i="636"/>
  <c r="H111" i="636"/>
  <c r="G111" i="636"/>
  <c r="F111" i="636"/>
  <c r="H110" i="636"/>
  <c r="G110" i="636"/>
  <c r="F110" i="636"/>
  <c r="H109" i="636"/>
  <c r="G109" i="636"/>
  <c r="F109" i="636"/>
  <c r="H108" i="636"/>
  <c r="G108" i="636"/>
  <c r="F108" i="636"/>
  <c r="H107" i="636"/>
  <c r="G107" i="636"/>
  <c r="F107" i="636"/>
  <c r="H106" i="636"/>
  <c r="G106" i="636"/>
  <c r="F106" i="636"/>
  <c r="H105" i="636"/>
  <c r="G105" i="636"/>
  <c r="F105" i="636"/>
  <c r="H104" i="636"/>
  <c r="G104" i="636"/>
  <c r="F104" i="636"/>
  <c r="H103" i="636"/>
  <c r="G103" i="636"/>
  <c r="F103" i="636"/>
  <c r="H102" i="636"/>
  <c r="G102" i="636"/>
  <c r="F102" i="636"/>
  <c r="H101" i="636"/>
  <c r="G101" i="636"/>
  <c r="F101" i="636"/>
  <c r="H100" i="636"/>
  <c r="G100" i="636"/>
  <c r="F100" i="636"/>
  <c r="H99" i="636"/>
  <c r="G99" i="636"/>
  <c r="F99" i="636"/>
  <c r="H98" i="636"/>
  <c r="G98" i="636"/>
  <c r="F98" i="636"/>
  <c r="H97" i="636"/>
  <c r="G97" i="636"/>
  <c r="F97" i="636"/>
  <c r="H96" i="636"/>
  <c r="G96" i="636"/>
  <c r="F96" i="636"/>
  <c r="H95" i="636"/>
  <c r="G95" i="636"/>
  <c r="F95" i="636"/>
  <c r="H94" i="636"/>
  <c r="G94" i="636"/>
  <c r="F94" i="636"/>
  <c r="H93" i="636"/>
  <c r="G93" i="636"/>
  <c r="F93" i="636"/>
  <c r="H92" i="636"/>
  <c r="G92" i="636"/>
  <c r="F92" i="636"/>
  <c r="H91" i="636"/>
  <c r="G91" i="636"/>
  <c r="F91" i="636"/>
  <c r="H90" i="636"/>
  <c r="G90" i="636"/>
  <c r="F90" i="636"/>
  <c r="H89" i="636"/>
  <c r="G89" i="636"/>
  <c r="F89" i="636"/>
  <c r="H88" i="636"/>
  <c r="G88" i="636"/>
  <c r="F88" i="636"/>
  <c r="H87" i="636"/>
  <c r="G87" i="636"/>
  <c r="F87" i="636"/>
  <c r="H86" i="636"/>
  <c r="G86" i="636"/>
  <c r="F86" i="636"/>
  <c r="H85" i="636"/>
  <c r="G85" i="636"/>
  <c r="F85" i="636"/>
  <c r="H84" i="636"/>
  <c r="G84" i="636"/>
  <c r="F84" i="636"/>
  <c r="H83" i="636"/>
  <c r="G83" i="636"/>
  <c r="F83" i="636"/>
  <c r="H82" i="636"/>
  <c r="G82" i="636"/>
  <c r="F82" i="636"/>
  <c r="H81" i="636"/>
  <c r="G81" i="636"/>
  <c r="F81" i="636"/>
  <c r="H80" i="636"/>
  <c r="G80" i="636"/>
  <c r="F80" i="636"/>
  <c r="H79" i="636"/>
  <c r="G79" i="636"/>
  <c r="F79" i="636"/>
  <c r="H78" i="636"/>
  <c r="G78" i="636"/>
  <c r="F78" i="636"/>
  <c r="H77" i="636"/>
  <c r="G77" i="636"/>
  <c r="F77" i="636"/>
  <c r="H76" i="636"/>
  <c r="G76" i="636"/>
  <c r="F76" i="636"/>
  <c r="H75" i="636"/>
  <c r="G75" i="636"/>
  <c r="F75" i="636"/>
  <c r="H74" i="636"/>
  <c r="G74" i="636"/>
  <c r="F74" i="636"/>
  <c r="H73" i="636"/>
  <c r="G73" i="636"/>
  <c r="F73" i="636"/>
  <c r="H72" i="636"/>
  <c r="G72" i="636"/>
  <c r="F72" i="636"/>
  <c r="H71" i="636"/>
  <c r="G71" i="636"/>
  <c r="F71" i="636"/>
  <c r="H70" i="636"/>
  <c r="G70" i="636"/>
  <c r="F70" i="636"/>
  <c r="H69" i="636"/>
  <c r="G69" i="636"/>
  <c r="F69" i="636"/>
  <c r="H68" i="636"/>
  <c r="G68" i="636"/>
  <c r="F68" i="636"/>
  <c r="H67" i="636"/>
  <c r="G67" i="636"/>
  <c r="F67" i="636"/>
  <c r="H66" i="636"/>
  <c r="G66" i="636"/>
  <c r="F66" i="636"/>
  <c r="H65" i="636"/>
  <c r="G65" i="636"/>
  <c r="F65" i="636"/>
  <c r="H64" i="636"/>
  <c r="G64" i="636"/>
  <c r="F64" i="636"/>
  <c r="H63" i="636"/>
  <c r="G63" i="636"/>
  <c r="F63" i="636"/>
  <c r="H62" i="636"/>
  <c r="G62" i="636"/>
  <c r="F62" i="636"/>
  <c r="H61" i="636"/>
  <c r="G61" i="636"/>
  <c r="F61" i="636"/>
  <c r="H60" i="636"/>
  <c r="G60" i="636"/>
  <c r="F60" i="636"/>
  <c r="H59" i="636"/>
  <c r="G59" i="636"/>
  <c r="F59" i="636"/>
  <c r="H58" i="636"/>
  <c r="G58" i="636"/>
  <c r="F58" i="636"/>
  <c r="H57" i="636"/>
  <c r="G57" i="636"/>
  <c r="F57" i="636"/>
  <c r="H56" i="636"/>
  <c r="G56" i="636"/>
  <c r="F56" i="636"/>
  <c r="H55" i="636"/>
  <c r="G55" i="636"/>
  <c r="F55" i="636"/>
  <c r="H54" i="636"/>
  <c r="G54" i="636"/>
  <c r="F54" i="636"/>
  <c r="H53" i="636"/>
  <c r="G53" i="636"/>
  <c r="F53" i="636"/>
  <c r="H52" i="636"/>
  <c r="G52" i="636"/>
  <c r="F52" i="636"/>
  <c r="H51" i="636"/>
  <c r="G51" i="636"/>
  <c r="F51" i="636"/>
  <c r="H50" i="636"/>
  <c r="G50" i="636"/>
  <c r="F50" i="636"/>
  <c r="H49" i="636"/>
  <c r="G49" i="636"/>
  <c r="F49" i="636"/>
  <c r="H48" i="636"/>
  <c r="G48" i="636"/>
  <c r="F48" i="636"/>
  <c r="H47" i="636"/>
  <c r="G47" i="636"/>
  <c r="F47" i="636"/>
  <c r="H46" i="636"/>
  <c r="G46" i="636"/>
  <c r="F46" i="636"/>
  <c r="H45" i="636"/>
  <c r="G45" i="636"/>
  <c r="F45" i="636"/>
  <c r="H44" i="636"/>
  <c r="G44" i="636"/>
  <c r="F44" i="636"/>
  <c r="H43" i="636"/>
  <c r="G43" i="636"/>
  <c r="F43" i="636"/>
  <c r="H42" i="636"/>
  <c r="G42" i="636"/>
  <c r="F42" i="636"/>
  <c r="H41" i="636"/>
  <c r="G41" i="636"/>
  <c r="F41" i="636"/>
  <c r="H40" i="636"/>
  <c r="G40" i="636"/>
  <c r="F40" i="636"/>
  <c r="H39" i="636"/>
  <c r="G39" i="636"/>
  <c r="F39" i="636"/>
  <c r="H38" i="636"/>
  <c r="G38" i="636"/>
  <c r="F38" i="636"/>
  <c r="H37" i="636"/>
  <c r="G37" i="636"/>
  <c r="F37" i="636"/>
  <c r="H36" i="636"/>
  <c r="G36" i="636"/>
  <c r="F36" i="636"/>
  <c r="H35" i="636"/>
  <c r="G35" i="636"/>
  <c r="F35" i="636"/>
  <c r="H34" i="636"/>
  <c r="G34" i="636"/>
  <c r="F34" i="636"/>
  <c r="H33" i="636"/>
  <c r="G33" i="636"/>
  <c r="F33" i="636"/>
  <c r="H32" i="636"/>
  <c r="G32" i="636"/>
  <c r="F32" i="636"/>
  <c r="H31" i="636"/>
  <c r="G31" i="636"/>
  <c r="F31" i="636"/>
  <c r="H30" i="636"/>
  <c r="G30" i="636"/>
  <c r="F30" i="636"/>
  <c r="H29" i="636"/>
  <c r="G29" i="636"/>
  <c r="F29" i="636"/>
  <c r="H28" i="636"/>
  <c r="G28" i="636"/>
  <c r="F28" i="636"/>
  <c r="H27" i="636"/>
  <c r="G27" i="636"/>
  <c r="F27" i="636"/>
  <c r="H26" i="636"/>
  <c r="G26" i="636"/>
  <c r="F26" i="636"/>
  <c r="H25" i="636"/>
  <c r="G25" i="636"/>
  <c r="F25" i="636"/>
  <c r="H24" i="636"/>
  <c r="G24" i="636"/>
  <c r="F24" i="636"/>
  <c r="H23" i="636"/>
  <c r="G23" i="636"/>
  <c r="F23" i="636"/>
  <c r="H22" i="636"/>
  <c r="G22" i="636"/>
  <c r="F22" i="636"/>
  <c r="H21" i="636"/>
  <c r="G21" i="636"/>
  <c r="F21" i="636"/>
  <c r="H20" i="636"/>
  <c r="G20" i="636"/>
  <c r="F20" i="636"/>
  <c r="H19" i="636"/>
  <c r="G19" i="636"/>
  <c r="F19" i="636"/>
  <c r="H18" i="636"/>
  <c r="G18" i="636"/>
  <c r="F18" i="636"/>
  <c r="H17" i="636"/>
  <c r="G17" i="636"/>
  <c r="F17" i="636"/>
  <c r="H16" i="636"/>
  <c r="G16" i="636"/>
  <c r="F16" i="636"/>
  <c r="H15" i="636"/>
  <c r="G15" i="636"/>
  <c r="F15" i="636"/>
  <c r="H14" i="636"/>
  <c r="G14" i="636"/>
  <c r="F14" i="636"/>
  <c r="H13" i="636"/>
  <c r="G13" i="636"/>
  <c r="F13" i="636"/>
  <c r="H12" i="636"/>
  <c r="G12" i="636"/>
  <c r="F12" i="636"/>
  <c r="H11" i="636"/>
  <c r="G11" i="636"/>
  <c r="F11" i="636"/>
  <c r="H10" i="636"/>
  <c r="G10" i="636"/>
  <c r="F10" i="636"/>
  <c r="H9" i="636"/>
  <c r="G9" i="636"/>
  <c r="F9" i="636"/>
  <c r="H8" i="636"/>
  <c r="G8" i="636"/>
  <c r="F8" i="636"/>
  <c r="H7" i="636"/>
  <c r="G7" i="636"/>
  <c r="F7" i="636"/>
  <c r="H6" i="636"/>
  <c r="G6" i="636"/>
  <c r="F6" i="636"/>
  <c r="D128" i="635"/>
  <c r="C128" i="635"/>
  <c r="B128" i="635"/>
  <c r="H126" i="635"/>
  <c r="G126" i="635"/>
  <c r="F126" i="635"/>
  <c r="H125" i="635"/>
  <c r="G125" i="635"/>
  <c r="F125" i="635"/>
  <c r="H124" i="635"/>
  <c r="G124" i="635"/>
  <c r="F124" i="635"/>
  <c r="H123" i="635"/>
  <c r="G123" i="635"/>
  <c r="F123" i="635"/>
  <c r="H122" i="635"/>
  <c r="G122" i="635"/>
  <c r="F122" i="635"/>
  <c r="H121" i="635"/>
  <c r="G121" i="635"/>
  <c r="F121" i="635"/>
  <c r="H120" i="635"/>
  <c r="G120" i="635"/>
  <c r="F120" i="635"/>
  <c r="H119" i="635"/>
  <c r="G119" i="635"/>
  <c r="F119" i="635"/>
  <c r="H118" i="635"/>
  <c r="G118" i="635"/>
  <c r="F118" i="635"/>
  <c r="H117" i="635"/>
  <c r="G117" i="635"/>
  <c r="F117" i="635"/>
  <c r="H116" i="635"/>
  <c r="G116" i="635"/>
  <c r="F116" i="635"/>
  <c r="H115" i="635"/>
  <c r="G115" i="635"/>
  <c r="F115" i="635"/>
  <c r="H114" i="635"/>
  <c r="G114" i="635"/>
  <c r="F114" i="635"/>
  <c r="H113" i="635"/>
  <c r="G113" i="635"/>
  <c r="F113" i="635"/>
  <c r="H112" i="635"/>
  <c r="G112" i="635"/>
  <c r="F112" i="635"/>
  <c r="H111" i="635"/>
  <c r="G111" i="635"/>
  <c r="F111" i="635"/>
  <c r="H110" i="635"/>
  <c r="G110" i="635"/>
  <c r="F110" i="635"/>
  <c r="H109" i="635"/>
  <c r="G109" i="635"/>
  <c r="F109" i="635"/>
  <c r="H108" i="635"/>
  <c r="G108" i="635"/>
  <c r="F108" i="635"/>
  <c r="H107" i="635"/>
  <c r="G107" i="635"/>
  <c r="F107" i="635"/>
  <c r="H106" i="635"/>
  <c r="G106" i="635"/>
  <c r="F106" i="635"/>
  <c r="H105" i="635"/>
  <c r="G105" i="635"/>
  <c r="F105" i="635"/>
  <c r="H104" i="635"/>
  <c r="G104" i="635"/>
  <c r="F104" i="635"/>
  <c r="H103" i="635"/>
  <c r="G103" i="635"/>
  <c r="F103" i="635"/>
  <c r="H102" i="635"/>
  <c r="G102" i="635"/>
  <c r="F102" i="635"/>
  <c r="H101" i="635"/>
  <c r="G101" i="635"/>
  <c r="F101" i="635"/>
  <c r="H100" i="635"/>
  <c r="G100" i="635"/>
  <c r="F100" i="635"/>
  <c r="H99" i="635"/>
  <c r="G99" i="635"/>
  <c r="F99" i="635"/>
  <c r="H98" i="635"/>
  <c r="G98" i="635"/>
  <c r="F98" i="635"/>
  <c r="H97" i="635"/>
  <c r="G97" i="635"/>
  <c r="F97" i="635"/>
  <c r="H96" i="635"/>
  <c r="G96" i="635"/>
  <c r="F96" i="635"/>
  <c r="H95" i="635"/>
  <c r="G95" i="635"/>
  <c r="F95" i="635"/>
  <c r="H94" i="635"/>
  <c r="G94" i="635"/>
  <c r="F94" i="635"/>
  <c r="H93" i="635"/>
  <c r="G93" i="635"/>
  <c r="F93" i="635"/>
  <c r="H92" i="635"/>
  <c r="G92" i="635"/>
  <c r="F92" i="635"/>
  <c r="H91" i="635"/>
  <c r="G91" i="635"/>
  <c r="F91" i="635"/>
  <c r="H90" i="635"/>
  <c r="G90" i="635"/>
  <c r="F90" i="635"/>
  <c r="H89" i="635"/>
  <c r="G89" i="635"/>
  <c r="F89" i="635"/>
  <c r="H88" i="635"/>
  <c r="G88" i="635"/>
  <c r="F88" i="635"/>
  <c r="H87" i="635"/>
  <c r="G87" i="635"/>
  <c r="F87" i="635"/>
  <c r="H86" i="635"/>
  <c r="G86" i="635"/>
  <c r="F86" i="635"/>
  <c r="H85" i="635"/>
  <c r="G85" i="635"/>
  <c r="F85" i="635"/>
  <c r="H84" i="635"/>
  <c r="G84" i="635"/>
  <c r="F84" i="635"/>
  <c r="H83" i="635"/>
  <c r="G83" i="635"/>
  <c r="F83" i="635"/>
  <c r="H82" i="635"/>
  <c r="G82" i="635"/>
  <c r="F82" i="635"/>
  <c r="H81" i="635"/>
  <c r="G81" i="635"/>
  <c r="F81" i="635"/>
  <c r="H80" i="635"/>
  <c r="G80" i="635"/>
  <c r="F80" i="635"/>
  <c r="H79" i="635"/>
  <c r="G79" i="635"/>
  <c r="F79" i="635"/>
  <c r="H78" i="635"/>
  <c r="G78" i="635"/>
  <c r="F78" i="635"/>
  <c r="H77" i="635"/>
  <c r="G77" i="635"/>
  <c r="F77" i="635"/>
  <c r="H76" i="635"/>
  <c r="G76" i="635"/>
  <c r="F76" i="635"/>
  <c r="H75" i="635"/>
  <c r="G75" i="635"/>
  <c r="F75" i="635"/>
  <c r="H74" i="635"/>
  <c r="G74" i="635"/>
  <c r="F74" i="635"/>
  <c r="H73" i="635"/>
  <c r="G73" i="635"/>
  <c r="F73" i="635"/>
  <c r="H72" i="635"/>
  <c r="G72" i="635"/>
  <c r="F72" i="635"/>
  <c r="H71" i="635"/>
  <c r="G71" i="635"/>
  <c r="F71" i="635"/>
  <c r="H70" i="635"/>
  <c r="G70" i="635"/>
  <c r="F70" i="635"/>
  <c r="H69" i="635"/>
  <c r="G69" i="635"/>
  <c r="F69" i="635"/>
  <c r="H68" i="635"/>
  <c r="G68" i="635"/>
  <c r="F68" i="635"/>
  <c r="H67" i="635"/>
  <c r="G67" i="635"/>
  <c r="F67" i="635"/>
  <c r="H66" i="635"/>
  <c r="G66" i="635"/>
  <c r="F66" i="635"/>
  <c r="H65" i="635"/>
  <c r="G65" i="635"/>
  <c r="F65" i="635"/>
  <c r="H64" i="635"/>
  <c r="G64" i="635"/>
  <c r="F64" i="635"/>
  <c r="H63" i="635"/>
  <c r="G63" i="635"/>
  <c r="F63" i="635"/>
  <c r="H62" i="635"/>
  <c r="G62" i="635"/>
  <c r="F62" i="635"/>
  <c r="H61" i="635"/>
  <c r="G61" i="635"/>
  <c r="F61" i="635"/>
  <c r="H60" i="635"/>
  <c r="G60" i="635"/>
  <c r="F60" i="635"/>
  <c r="H59" i="635"/>
  <c r="G59" i="635"/>
  <c r="F59" i="635"/>
  <c r="H58" i="635"/>
  <c r="G58" i="635"/>
  <c r="F58" i="635"/>
  <c r="H57" i="635"/>
  <c r="G57" i="635"/>
  <c r="F57" i="635"/>
  <c r="H56" i="635"/>
  <c r="G56" i="635"/>
  <c r="F56" i="635"/>
  <c r="H55" i="635"/>
  <c r="G55" i="635"/>
  <c r="F55" i="635"/>
  <c r="H54" i="635"/>
  <c r="G54" i="635"/>
  <c r="F54" i="635"/>
  <c r="H53" i="635"/>
  <c r="G53" i="635"/>
  <c r="F53" i="635"/>
  <c r="H52" i="635"/>
  <c r="G52" i="635"/>
  <c r="F52" i="635"/>
  <c r="H51" i="635"/>
  <c r="G51" i="635"/>
  <c r="F51" i="635"/>
  <c r="H50" i="635"/>
  <c r="G50" i="635"/>
  <c r="F50" i="635"/>
  <c r="H49" i="635"/>
  <c r="G49" i="635"/>
  <c r="F49" i="635"/>
  <c r="H48" i="635"/>
  <c r="G48" i="635"/>
  <c r="F48" i="635"/>
  <c r="H47" i="635"/>
  <c r="G47" i="635"/>
  <c r="F47" i="635"/>
  <c r="H46" i="635"/>
  <c r="G46" i="635"/>
  <c r="F46" i="635"/>
  <c r="H45" i="635"/>
  <c r="G45" i="635"/>
  <c r="F45" i="635"/>
  <c r="H44" i="635"/>
  <c r="G44" i="635"/>
  <c r="F44" i="635"/>
  <c r="H43" i="635"/>
  <c r="G43" i="635"/>
  <c r="F43" i="635"/>
  <c r="H42" i="635"/>
  <c r="G42" i="635"/>
  <c r="F42" i="635"/>
  <c r="H41" i="635"/>
  <c r="G41" i="635"/>
  <c r="F41" i="635"/>
  <c r="H40" i="635"/>
  <c r="G40" i="635"/>
  <c r="F40" i="635"/>
  <c r="H39" i="635"/>
  <c r="G39" i="635"/>
  <c r="F39" i="635"/>
  <c r="H38" i="635"/>
  <c r="G38" i="635"/>
  <c r="F38" i="635"/>
  <c r="H37" i="635"/>
  <c r="G37" i="635"/>
  <c r="F37" i="635"/>
  <c r="H36" i="635"/>
  <c r="G36" i="635"/>
  <c r="F36" i="635"/>
  <c r="H35" i="635"/>
  <c r="G35" i="635"/>
  <c r="F35" i="635"/>
  <c r="H34" i="635"/>
  <c r="G34" i="635"/>
  <c r="F34" i="635"/>
  <c r="H33" i="635"/>
  <c r="G33" i="635"/>
  <c r="F33" i="635"/>
  <c r="H32" i="635"/>
  <c r="G32" i="635"/>
  <c r="F32" i="635"/>
  <c r="H31" i="635"/>
  <c r="G31" i="635"/>
  <c r="F31" i="635"/>
  <c r="H30" i="635"/>
  <c r="G30" i="635"/>
  <c r="F30" i="635"/>
  <c r="H29" i="635"/>
  <c r="G29" i="635"/>
  <c r="F29" i="635"/>
  <c r="H28" i="635"/>
  <c r="G28" i="635"/>
  <c r="F28" i="635"/>
  <c r="H27" i="635"/>
  <c r="G27" i="635"/>
  <c r="F27" i="635"/>
  <c r="H26" i="635"/>
  <c r="G26" i="635"/>
  <c r="F26" i="635"/>
  <c r="H25" i="635"/>
  <c r="G25" i="635"/>
  <c r="F25" i="635"/>
  <c r="H24" i="635"/>
  <c r="G24" i="635"/>
  <c r="F24" i="635"/>
  <c r="H23" i="635"/>
  <c r="G23" i="635"/>
  <c r="F23" i="635"/>
  <c r="H22" i="635"/>
  <c r="G22" i="635"/>
  <c r="F22" i="635"/>
  <c r="H21" i="635"/>
  <c r="G21" i="635"/>
  <c r="F21" i="635"/>
  <c r="H20" i="635"/>
  <c r="G20" i="635"/>
  <c r="F20" i="635"/>
  <c r="H19" i="635"/>
  <c r="G19" i="635"/>
  <c r="F19" i="635"/>
  <c r="H18" i="635"/>
  <c r="G18" i="635"/>
  <c r="F18" i="635"/>
  <c r="H17" i="635"/>
  <c r="G17" i="635"/>
  <c r="F17" i="635"/>
  <c r="H16" i="635"/>
  <c r="G16" i="635"/>
  <c r="F16" i="635"/>
  <c r="H15" i="635"/>
  <c r="G15" i="635"/>
  <c r="F15" i="635"/>
  <c r="H14" i="635"/>
  <c r="G14" i="635"/>
  <c r="F14" i="635"/>
  <c r="H13" i="635"/>
  <c r="G13" i="635"/>
  <c r="F13" i="635"/>
  <c r="H12" i="635"/>
  <c r="G12" i="635"/>
  <c r="F12" i="635"/>
  <c r="H11" i="635"/>
  <c r="G11" i="635"/>
  <c r="F11" i="635"/>
  <c r="H10" i="635"/>
  <c r="G10" i="635"/>
  <c r="F10" i="635"/>
  <c r="H9" i="635"/>
  <c r="G9" i="635"/>
  <c r="F9" i="635"/>
  <c r="H8" i="635"/>
  <c r="G8" i="635"/>
  <c r="F8" i="635"/>
  <c r="H7" i="635"/>
  <c r="G7" i="635"/>
  <c r="F7" i="635"/>
  <c r="H6" i="635"/>
  <c r="G6" i="635"/>
  <c r="F6" i="635"/>
  <c r="D128" i="634"/>
  <c r="C128" i="634"/>
  <c r="B128" i="634"/>
  <c r="H126" i="634"/>
  <c r="G126" i="634"/>
  <c r="F126" i="634"/>
  <c r="H125" i="634"/>
  <c r="G125" i="634"/>
  <c r="F125" i="634"/>
  <c r="H124" i="634"/>
  <c r="G124" i="634"/>
  <c r="F124" i="634"/>
  <c r="H123" i="634"/>
  <c r="G123" i="634"/>
  <c r="F123" i="634"/>
  <c r="H122" i="634"/>
  <c r="G122" i="634"/>
  <c r="F122" i="634"/>
  <c r="H121" i="634"/>
  <c r="G121" i="634"/>
  <c r="F121" i="634"/>
  <c r="H120" i="634"/>
  <c r="G120" i="634"/>
  <c r="F120" i="634"/>
  <c r="H119" i="634"/>
  <c r="G119" i="634"/>
  <c r="F119" i="634"/>
  <c r="H118" i="634"/>
  <c r="G118" i="634"/>
  <c r="F118" i="634"/>
  <c r="H117" i="634"/>
  <c r="G117" i="634"/>
  <c r="F117" i="634"/>
  <c r="H116" i="634"/>
  <c r="G116" i="634"/>
  <c r="F116" i="634"/>
  <c r="H115" i="634"/>
  <c r="G115" i="634"/>
  <c r="F115" i="634"/>
  <c r="H114" i="634"/>
  <c r="G114" i="634"/>
  <c r="F114" i="634"/>
  <c r="H113" i="634"/>
  <c r="G113" i="634"/>
  <c r="F113" i="634"/>
  <c r="H112" i="634"/>
  <c r="G112" i="634"/>
  <c r="F112" i="634"/>
  <c r="H111" i="634"/>
  <c r="G111" i="634"/>
  <c r="F111" i="634"/>
  <c r="H110" i="634"/>
  <c r="G110" i="634"/>
  <c r="F110" i="634"/>
  <c r="H109" i="634"/>
  <c r="G109" i="634"/>
  <c r="F109" i="634"/>
  <c r="H108" i="634"/>
  <c r="G108" i="634"/>
  <c r="F108" i="634"/>
  <c r="H107" i="634"/>
  <c r="G107" i="634"/>
  <c r="F107" i="634"/>
  <c r="H106" i="634"/>
  <c r="G106" i="634"/>
  <c r="F106" i="634"/>
  <c r="H105" i="634"/>
  <c r="G105" i="634"/>
  <c r="F105" i="634"/>
  <c r="H104" i="634"/>
  <c r="G104" i="634"/>
  <c r="F104" i="634"/>
  <c r="H103" i="634"/>
  <c r="G103" i="634"/>
  <c r="F103" i="634"/>
  <c r="H102" i="634"/>
  <c r="G102" i="634"/>
  <c r="F102" i="634"/>
  <c r="H101" i="634"/>
  <c r="G101" i="634"/>
  <c r="F101" i="634"/>
  <c r="H100" i="634"/>
  <c r="G100" i="634"/>
  <c r="F100" i="634"/>
  <c r="H99" i="634"/>
  <c r="G99" i="634"/>
  <c r="F99" i="634"/>
  <c r="H98" i="634"/>
  <c r="G98" i="634"/>
  <c r="F98" i="634"/>
  <c r="H97" i="634"/>
  <c r="G97" i="634"/>
  <c r="F97" i="634"/>
  <c r="H96" i="634"/>
  <c r="G96" i="634"/>
  <c r="F96" i="634"/>
  <c r="H95" i="634"/>
  <c r="G95" i="634"/>
  <c r="F95" i="634"/>
  <c r="H94" i="634"/>
  <c r="G94" i="634"/>
  <c r="F94" i="634"/>
  <c r="H93" i="634"/>
  <c r="G93" i="634"/>
  <c r="F93" i="634"/>
  <c r="H92" i="634"/>
  <c r="G92" i="634"/>
  <c r="F92" i="634"/>
  <c r="H91" i="634"/>
  <c r="G91" i="634"/>
  <c r="F91" i="634"/>
  <c r="H90" i="634"/>
  <c r="G90" i="634"/>
  <c r="F90" i="634"/>
  <c r="H89" i="634"/>
  <c r="G89" i="634"/>
  <c r="F89" i="634"/>
  <c r="H88" i="634"/>
  <c r="G88" i="634"/>
  <c r="F88" i="634"/>
  <c r="H87" i="634"/>
  <c r="G87" i="634"/>
  <c r="F87" i="634"/>
  <c r="H86" i="634"/>
  <c r="G86" i="634"/>
  <c r="F86" i="634"/>
  <c r="H85" i="634"/>
  <c r="G85" i="634"/>
  <c r="F85" i="634"/>
  <c r="H84" i="634"/>
  <c r="G84" i="634"/>
  <c r="F84" i="634"/>
  <c r="H83" i="634"/>
  <c r="G83" i="634"/>
  <c r="F83" i="634"/>
  <c r="H82" i="634"/>
  <c r="G82" i="634"/>
  <c r="F82" i="634"/>
  <c r="H81" i="634"/>
  <c r="G81" i="634"/>
  <c r="F81" i="634"/>
  <c r="H80" i="634"/>
  <c r="G80" i="634"/>
  <c r="F80" i="634"/>
  <c r="H79" i="634"/>
  <c r="G79" i="634"/>
  <c r="F79" i="634"/>
  <c r="H78" i="634"/>
  <c r="G78" i="634"/>
  <c r="F78" i="634"/>
  <c r="H77" i="634"/>
  <c r="G77" i="634"/>
  <c r="F77" i="634"/>
  <c r="H76" i="634"/>
  <c r="G76" i="634"/>
  <c r="F76" i="634"/>
  <c r="H75" i="634"/>
  <c r="G75" i="634"/>
  <c r="F75" i="634"/>
  <c r="H74" i="634"/>
  <c r="G74" i="634"/>
  <c r="F74" i="634"/>
  <c r="H73" i="634"/>
  <c r="G73" i="634"/>
  <c r="F73" i="634"/>
  <c r="H72" i="634"/>
  <c r="G72" i="634"/>
  <c r="F72" i="634"/>
  <c r="H71" i="634"/>
  <c r="G71" i="634"/>
  <c r="F71" i="634"/>
  <c r="H70" i="634"/>
  <c r="G70" i="634"/>
  <c r="F70" i="634"/>
  <c r="H69" i="634"/>
  <c r="G69" i="634"/>
  <c r="F69" i="634"/>
  <c r="H68" i="634"/>
  <c r="G68" i="634"/>
  <c r="F68" i="634"/>
  <c r="H67" i="634"/>
  <c r="G67" i="634"/>
  <c r="F67" i="634"/>
  <c r="H66" i="634"/>
  <c r="G66" i="634"/>
  <c r="F66" i="634"/>
  <c r="H65" i="634"/>
  <c r="G65" i="634"/>
  <c r="F65" i="634"/>
  <c r="H64" i="634"/>
  <c r="G64" i="634"/>
  <c r="F64" i="634"/>
  <c r="H63" i="634"/>
  <c r="G63" i="634"/>
  <c r="F63" i="634"/>
  <c r="H62" i="634"/>
  <c r="G62" i="634"/>
  <c r="F62" i="634"/>
  <c r="H61" i="634"/>
  <c r="G61" i="634"/>
  <c r="F61" i="634"/>
  <c r="H60" i="634"/>
  <c r="G60" i="634"/>
  <c r="F60" i="634"/>
  <c r="H59" i="634"/>
  <c r="G59" i="634"/>
  <c r="F59" i="634"/>
  <c r="H58" i="634"/>
  <c r="G58" i="634"/>
  <c r="F58" i="634"/>
  <c r="H57" i="634"/>
  <c r="G57" i="634"/>
  <c r="F57" i="634"/>
  <c r="H56" i="634"/>
  <c r="G56" i="634"/>
  <c r="F56" i="634"/>
  <c r="H55" i="634"/>
  <c r="G55" i="634"/>
  <c r="F55" i="634"/>
  <c r="H54" i="634"/>
  <c r="G54" i="634"/>
  <c r="F54" i="634"/>
  <c r="H53" i="634"/>
  <c r="G53" i="634"/>
  <c r="F53" i="634"/>
  <c r="H52" i="634"/>
  <c r="G52" i="634"/>
  <c r="F52" i="634"/>
  <c r="H51" i="634"/>
  <c r="G51" i="634"/>
  <c r="F51" i="634"/>
  <c r="H50" i="634"/>
  <c r="G50" i="634"/>
  <c r="F50" i="634"/>
  <c r="H49" i="634"/>
  <c r="G49" i="634"/>
  <c r="F49" i="634"/>
  <c r="H48" i="634"/>
  <c r="G48" i="634"/>
  <c r="F48" i="634"/>
  <c r="H47" i="634"/>
  <c r="G47" i="634"/>
  <c r="F47" i="634"/>
  <c r="H46" i="634"/>
  <c r="G46" i="634"/>
  <c r="F46" i="634"/>
  <c r="H45" i="634"/>
  <c r="G45" i="634"/>
  <c r="F45" i="634"/>
  <c r="H44" i="634"/>
  <c r="G44" i="634"/>
  <c r="F44" i="634"/>
  <c r="H43" i="634"/>
  <c r="G43" i="634"/>
  <c r="F43" i="634"/>
  <c r="H42" i="634"/>
  <c r="G42" i="634"/>
  <c r="F42" i="634"/>
  <c r="H41" i="634"/>
  <c r="G41" i="634"/>
  <c r="F41" i="634"/>
  <c r="H40" i="634"/>
  <c r="G40" i="634"/>
  <c r="F40" i="634"/>
  <c r="H39" i="634"/>
  <c r="G39" i="634"/>
  <c r="F39" i="634"/>
  <c r="H38" i="634"/>
  <c r="G38" i="634"/>
  <c r="F38" i="634"/>
  <c r="H37" i="634"/>
  <c r="G37" i="634"/>
  <c r="F37" i="634"/>
  <c r="H36" i="634"/>
  <c r="G36" i="634"/>
  <c r="F36" i="634"/>
  <c r="H35" i="634"/>
  <c r="G35" i="634"/>
  <c r="F35" i="634"/>
  <c r="H34" i="634"/>
  <c r="G34" i="634"/>
  <c r="F34" i="634"/>
  <c r="H33" i="634"/>
  <c r="G33" i="634"/>
  <c r="F33" i="634"/>
  <c r="H32" i="634"/>
  <c r="G32" i="634"/>
  <c r="F32" i="634"/>
  <c r="H31" i="634"/>
  <c r="G31" i="634"/>
  <c r="F31" i="634"/>
  <c r="H30" i="634"/>
  <c r="G30" i="634"/>
  <c r="F30" i="634"/>
  <c r="H29" i="634"/>
  <c r="G29" i="634"/>
  <c r="F29" i="634"/>
  <c r="H28" i="634"/>
  <c r="G28" i="634"/>
  <c r="F28" i="634"/>
  <c r="H27" i="634"/>
  <c r="G27" i="634"/>
  <c r="F27" i="634"/>
  <c r="H26" i="634"/>
  <c r="G26" i="634"/>
  <c r="F26" i="634"/>
  <c r="H25" i="634"/>
  <c r="G25" i="634"/>
  <c r="F25" i="634"/>
  <c r="H24" i="634"/>
  <c r="G24" i="634"/>
  <c r="F24" i="634"/>
  <c r="H23" i="634"/>
  <c r="G23" i="634"/>
  <c r="F23" i="634"/>
  <c r="H22" i="634"/>
  <c r="G22" i="634"/>
  <c r="F22" i="634"/>
  <c r="H21" i="634"/>
  <c r="G21" i="634"/>
  <c r="F21" i="634"/>
  <c r="H20" i="634"/>
  <c r="G20" i="634"/>
  <c r="F20" i="634"/>
  <c r="H19" i="634"/>
  <c r="G19" i="634"/>
  <c r="F19" i="634"/>
  <c r="H18" i="634"/>
  <c r="G18" i="634"/>
  <c r="F18" i="634"/>
  <c r="H17" i="634"/>
  <c r="G17" i="634"/>
  <c r="F17" i="634"/>
  <c r="H16" i="634"/>
  <c r="G16" i="634"/>
  <c r="F16" i="634"/>
  <c r="H15" i="634"/>
  <c r="G15" i="634"/>
  <c r="F15" i="634"/>
  <c r="H14" i="634"/>
  <c r="G14" i="634"/>
  <c r="F14" i="634"/>
  <c r="H13" i="634"/>
  <c r="G13" i="634"/>
  <c r="F13" i="634"/>
  <c r="H12" i="634"/>
  <c r="G12" i="634"/>
  <c r="F12" i="634"/>
  <c r="H11" i="634"/>
  <c r="G11" i="634"/>
  <c r="F11" i="634"/>
  <c r="H10" i="634"/>
  <c r="G10" i="634"/>
  <c r="F10" i="634"/>
  <c r="H9" i="634"/>
  <c r="G9" i="634"/>
  <c r="F9" i="634"/>
  <c r="H8" i="634"/>
  <c r="G8" i="634"/>
  <c r="F8" i="634"/>
  <c r="H7" i="634"/>
  <c r="G7" i="634"/>
  <c r="F7" i="634"/>
  <c r="H6" i="634"/>
  <c r="G6" i="634"/>
  <c r="F6" i="634"/>
  <c r="D128" i="633"/>
  <c r="C128" i="633"/>
  <c r="B128" i="633"/>
  <c r="H126" i="633"/>
  <c r="G126" i="633"/>
  <c r="F126" i="633"/>
  <c r="H125" i="633"/>
  <c r="G125" i="633"/>
  <c r="F125" i="633"/>
  <c r="H124" i="633"/>
  <c r="G124" i="633"/>
  <c r="F124" i="633"/>
  <c r="H123" i="633"/>
  <c r="G123" i="633"/>
  <c r="F123" i="633"/>
  <c r="H122" i="633"/>
  <c r="G122" i="633"/>
  <c r="F122" i="633"/>
  <c r="H121" i="633"/>
  <c r="G121" i="633"/>
  <c r="F121" i="633"/>
  <c r="H120" i="633"/>
  <c r="G120" i="633"/>
  <c r="F120" i="633"/>
  <c r="H119" i="633"/>
  <c r="G119" i="633"/>
  <c r="F119" i="633"/>
  <c r="H118" i="633"/>
  <c r="G118" i="633"/>
  <c r="F118" i="633"/>
  <c r="H117" i="633"/>
  <c r="G117" i="633"/>
  <c r="F117" i="633"/>
  <c r="H116" i="633"/>
  <c r="G116" i="633"/>
  <c r="F116" i="633"/>
  <c r="H115" i="633"/>
  <c r="G115" i="633"/>
  <c r="F115" i="633"/>
  <c r="H114" i="633"/>
  <c r="G114" i="633"/>
  <c r="F114" i="633"/>
  <c r="H113" i="633"/>
  <c r="G113" i="633"/>
  <c r="F113" i="633"/>
  <c r="H112" i="633"/>
  <c r="G112" i="633"/>
  <c r="F112" i="633"/>
  <c r="H111" i="633"/>
  <c r="G111" i="633"/>
  <c r="F111" i="633"/>
  <c r="H110" i="633"/>
  <c r="G110" i="633"/>
  <c r="F110" i="633"/>
  <c r="H109" i="633"/>
  <c r="G109" i="633"/>
  <c r="F109" i="633"/>
  <c r="H108" i="633"/>
  <c r="G108" i="633"/>
  <c r="F108" i="633"/>
  <c r="H107" i="633"/>
  <c r="G107" i="633"/>
  <c r="F107" i="633"/>
  <c r="H106" i="633"/>
  <c r="G106" i="633"/>
  <c r="F106" i="633"/>
  <c r="H105" i="633"/>
  <c r="G105" i="633"/>
  <c r="F105" i="633"/>
  <c r="H104" i="633"/>
  <c r="G104" i="633"/>
  <c r="F104" i="633"/>
  <c r="H103" i="633"/>
  <c r="G103" i="633"/>
  <c r="F103" i="633"/>
  <c r="H102" i="633"/>
  <c r="G102" i="633"/>
  <c r="F102" i="633"/>
  <c r="H101" i="633"/>
  <c r="G101" i="633"/>
  <c r="F101" i="633"/>
  <c r="H100" i="633"/>
  <c r="G100" i="633"/>
  <c r="F100" i="633"/>
  <c r="H99" i="633"/>
  <c r="G99" i="633"/>
  <c r="F99" i="633"/>
  <c r="H98" i="633"/>
  <c r="G98" i="633"/>
  <c r="F98" i="633"/>
  <c r="H97" i="633"/>
  <c r="G97" i="633"/>
  <c r="F97" i="633"/>
  <c r="H96" i="633"/>
  <c r="G96" i="633"/>
  <c r="F96" i="633"/>
  <c r="H95" i="633"/>
  <c r="G95" i="633"/>
  <c r="F95" i="633"/>
  <c r="H94" i="633"/>
  <c r="G94" i="633"/>
  <c r="F94" i="633"/>
  <c r="H93" i="633"/>
  <c r="G93" i="633"/>
  <c r="F93" i="633"/>
  <c r="H92" i="633"/>
  <c r="G92" i="633"/>
  <c r="F92" i="633"/>
  <c r="H91" i="633"/>
  <c r="G91" i="633"/>
  <c r="F91" i="633"/>
  <c r="H90" i="633"/>
  <c r="G90" i="633"/>
  <c r="F90" i="633"/>
  <c r="H89" i="633"/>
  <c r="G89" i="633"/>
  <c r="F89" i="633"/>
  <c r="H88" i="633"/>
  <c r="G88" i="633"/>
  <c r="F88" i="633"/>
  <c r="H87" i="633"/>
  <c r="G87" i="633"/>
  <c r="F87" i="633"/>
  <c r="H86" i="633"/>
  <c r="G86" i="633"/>
  <c r="F86" i="633"/>
  <c r="H85" i="633"/>
  <c r="G85" i="633"/>
  <c r="F85" i="633"/>
  <c r="H84" i="633"/>
  <c r="G84" i="633"/>
  <c r="F84" i="633"/>
  <c r="H83" i="633"/>
  <c r="G83" i="633"/>
  <c r="F83" i="633"/>
  <c r="H82" i="633"/>
  <c r="G82" i="633"/>
  <c r="F82" i="633"/>
  <c r="H81" i="633"/>
  <c r="G81" i="633"/>
  <c r="F81" i="633"/>
  <c r="H80" i="633"/>
  <c r="G80" i="633"/>
  <c r="F80" i="633"/>
  <c r="H79" i="633"/>
  <c r="G79" i="633"/>
  <c r="F79" i="633"/>
  <c r="H78" i="633"/>
  <c r="G78" i="633"/>
  <c r="F78" i="633"/>
  <c r="H77" i="633"/>
  <c r="G77" i="633"/>
  <c r="F77" i="633"/>
  <c r="H76" i="633"/>
  <c r="G76" i="633"/>
  <c r="F76" i="633"/>
  <c r="H75" i="633"/>
  <c r="G75" i="633"/>
  <c r="F75" i="633"/>
  <c r="H74" i="633"/>
  <c r="G74" i="633"/>
  <c r="F74" i="633"/>
  <c r="H73" i="633"/>
  <c r="G73" i="633"/>
  <c r="F73" i="633"/>
  <c r="H72" i="633"/>
  <c r="G72" i="633"/>
  <c r="F72" i="633"/>
  <c r="H71" i="633"/>
  <c r="G71" i="633"/>
  <c r="F71" i="633"/>
  <c r="H70" i="633"/>
  <c r="G70" i="633"/>
  <c r="F70" i="633"/>
  <c r="H69" i="633"/>
  <c r="G69" i="633"/>
  <c r="F69" i="633"/>
  <c r="H68" i="633"/>
  <c r="G68" i="633"/>
  <c r="F68" i="633"/>
  <c r="H67" i="633"/>
  <c r="G67" i="633"/>
  <c r="F67" i="633"/>
  <c r="H66" i="633"/>
  <c r="G66" i="633"/>
  <c r="F66" i="633"/>
  <c r="H65" i="633"/>
  <c r="G65" i="633"/>
  <c r="F65" i="633"/>
  <c r="H64" i="633"/>
  <c r="G64" i="633"/>
  <c r="F64" i="633"/>
  <c r="H63" i="633"/>
  <c r="G63" i="633"/>
  <c r="F63" i="633"/>
  <c r="H62" i="633"/>
  <c r="G62" i="633"/>
  <c r="F62" i="633"/>
  <c r="H61" i="633"/>
  <c r="G61" i="633"/>
  <c r="F61" i="633"/>
  <c r="H60" i="633"/>
  <c r="G60" i="633"/>
  <c r="F60" i="633"/>
  <c r="H59" i="633"/>
  <c r="G59" i="633"/>
  <c r="F59" i="633"/>
  <c r="H58" i="633"/>
  <c r="G58" i="633"/>
  <c r="F58" i="633"/>
  <c r="H57" i="633"/>
  <c r="G57" i="633"/>
  <c r="F57" i="633"/>
  <c r="H56" i="633"/>
  <c r="G56" i="633"/>
  <c r="F56" i="633"/>
  <c r="H55" i="633"/>
  <c r="G55" i="633"/>
  <c r="F55" i="633"/>
  <c r="H54" i="633"/>
  <c r="G54" i="633"/>
  <c r="F54" i="633"/>
  <c r="H53" i="633"/>
  <c r="G53" i="633"/>
  <c r="F53" i="633"/>
  <c r="H52" i="633"/>
  <c r="G52" i="633"/>
  <c r="F52" i="633"/>
  <c r="H51" i="633"/>
  <c r="G51" i="633"/>
  <c r="F51" i="633"/>
  <c r="H50" i="633"/>
  <c r="G50" i="633"/>
  <c r="F50" i="633"/>
  <c r="H49" i="633"/>
  <c r="G49" i="633"/>
  <c r="F49" i="633"/>
  <c r="H48" i="633"/>
  <c r="G48" i="633"/>
  <c r="F48" i="633"/>
  <c r="H47" i="633"/>
  <c r="G47" i="633"/>
  <c r="F47" i="633"/>
  <c r="H46" i="633"/>
  <c r="G46" i="633"/>
  <c r="F46" i="633"/>
  <c r="H45" i="633"/>
  <c r="G45" i="633"/>
  <c r="F45" i="633"/>
  <c r="H44" i="633"/>
  <c r="G44" i="633"/>
  <c r="F44" i="633"/>
  <c r="H43" i="633"/>
  <c r="G43" i="633"/>
  <c r="F43" i="633"/>
  <c r="H42" i="633"/>
  <c r="G42" i="633"/>
  <c r="F42" i="633"/>
  <c r="H41" i="633"/>
  <c r="G41" i="633"/>
  <c r="F41" i="633"/>
  <c r="H40" i="633"/>
  <c r="G40" i="633"/>
  <c r="F40" i="633"/>
  <c r="H39" i="633"/>
  <c r="G39" i="633"/>
  <c r="F39" i="633"/>
  <c r="H38" i="633"/>
  <c r="G38" i="633"/>
  <c r="F38" i="633"/>
  <c r="H37" i="633"/>
  <c r="G37" i="633"/>
  <c r="F37" i="633"/>
  <c r="H36" i="633"/>
  <c r="G36" i="633"/>
  <c r="F36" i="633"/>
  <c r="H35" i="633"/>
  <c r="G35" i="633"/>
  <c r="F35" i="633"/>
  <c r="H34" i="633"/>
  <c r="G34" i="633"/>
  <c r="F34" i="633"/>
  <c r="H33" i="633"/>
  <c r="G33" i="633"/>
  <c r="F33" i="633"/>
  <c r="H32" i="633"/>
  <c r="G32" i="633"/>
  <c r="F32" i="633"/>
  <c r="H31" i="633"/>
  <c r="G31" i="633"/>
  <c r="F31" i="633"/>
  <c r="H30" i="633"/>
  <c r="G30" i="633"/>
  <c r="F30" i="633"/>
  <c r="H29" i="633"/>
  <c r="G29" i="633"/>
  <c r="F29" i="633"/>
  <c r="H28" i="633"/>
  <c r="G28" i="633"/>
  <c r="F28" i="633"/>
  <c r="H27" i="633"/>
  <c r="G27" i="633"/>
  <c r="F27" i="633"/>
  <c r="H26" i="633"/>
  <c r="G26" i="633"/>
  <c r="F26" i="633"/>
  <c r="H25" i="633"/>
  <c r="G25" i="633"/>
  <c r="F25" i="633"/>
  <c r="H24" i="633"/>
  <c r="G24" i="633"/>
  <c r="F24" i="633"/>
  <c r="H23" i="633"/>
  <c r="G23" i="633"/>
  <c r="F23" i="633"/>
  <c r="H22" i="633"/>
  <c r="G22" i="633"/>
  <c r="F22" i="633"/>
  <c r="H21" i="633"/>
  <c r="G21" i="633"/>
  <c r="F21" i="633"/>
  <c r="H20" i="633"/>
  <c r="G20" i="633"/>
  <c r="F20" i="633"/>
  <c r="H19" i="633"/>
  <c r="G19" i="633"/>
  <c r="F19" i="633"/>
  <c r="H18" i="633"/>
  <c r="G18" i="633"/>
  <c r="F18" i="633"/>
  <c r="H17" i="633"/>
  <c r="G17" i="633"/>
  <c r="F17" i="633"/>
  <c r="H16" i="633"/>
  <c r="G16" i="633"/>
  <c r="F16" i="633"/>
  <c r="H15" i="633"/>
  <c r="G15" i="633"/>
  <c r="F15" i="633"/>
  <c r="H14" i="633"/>
  <c r="G14" i="633"/>
  <c r="F14" i="633"/>
  <c r="H13" i="633"/>
  <c r="G13" i="633"/>
  <c r="F13" i="633"/>
  <c r="H12" i="633"/>
  <c r="G12" i="633"/>
  <c r="F12" i="633"/>
  <c r="H11" i="633"/>
  <c r="G11" i="633"/>
  <c r="F11" i="633"/>
  <c r="H10" i="633"/>
  <c r="G10" i="633"/>
  <c r="F10" i="633"/>
  <c r="H9" i="633"/>
  <c r="G9" i="633"/>
  <c r="F9" i="633"/>
  <c r="H8" i="633"/>
  <c r="G8" i="633"/>
  <c r="F8" i="633"/>
  <c r="H7" i="633"/>
  <c r="G7" i="633"/>
  <c r="F7" i="633"/>
  <c r="H6" i="633"/>
  <c r="G6" i="633"/>
  <c r="F6" i="633"/>
  <c r="D128" i="632"/>
  <c r="C128" i="632"/>
  <c r="B128" i="632"/>
  <c r="H126" i="632"/>
  <c r="G126" i="632"/>
  <c r="F126" i="632"/>
  <c r="H125" i="632"/>
  <c r="G125" i="632"/>
  <c r="F125" i="632"/>
  <c r="H124" i="632"/>
  <c r="G124" i="632"/>
  <c r="F124" i="632"/>
  <c r="H123" i="632"/>
  <c r="G123" i="632"/>
  <c r="F123" i="632"/>
  <c r="H122" i="632"/>
  <c r="G122" i="632"/>
  <c r="F122" i="632"/>
  <c r="H121" i="632"/>
  <c r="G121" i="632"/>
  <c r="F121" i="632"/>
  <c r="H120" i="632"/>
  <c r="G120" i="632"/>
  <c r="F120" i="632"/>
  <c r="H119" i="632"/>
  <c r="G119" i="632"/>
  <c r="F119" i="632"/>
  <c r="H118" i="632"/>
  <c r="G118" i="632"/>
  <c r="F118" i="632"/>
  <c r="H117" i="632"/>
  <c r="G117" i="632"/>
  <c r="F117" i="632"/>
  <c r="H116" i="632"/>
  <c r="G116" i="632"/>
  <c r="F116" i="632"/>
  <c r="H115" i="632"/>
  <c r="G115" i="632"/>
  <c r="F115" i="632"/>
  <c r="H114" i="632"/>
  <c r="G114" i="632"/>
  <c r="F114" i="632"/>
  <c r="H113" i="632"/>
  <c r="G113" i="632"/>
  <c r="F113" i="632"/>
  <c r="H112" i="632"/>
  <c r="G112" i="632"/>
  <c r="F112" i="632"/>
  <c r="H111" i="632"/>
  <c r="G111" i="632"/>
  <c r="F111" i="632"/>
  <c r="H110" i="632"/>
  <c r="G110" i="632"/>
  <c r="F110" i="632"/>
  <c r="H109" i="632"/>
  <c r="G109" i="632"/>
  <c r="F109" i="632"/>
  <c r="H108" i="632"/>
  <c r="G108" i="632"/>
  <c r="F108" i="632"/>
  <c r="H107" i="632"/>
  <c r="G107" i="632"/>
  <c r="F107" i="632"/>
  <c r="H106" i="632"/>
  <c r="G106" i="632"/>
  <c r="F106" i="632"/>
  <c r="H105" i="632"/>
  <c r="G105" i="632"/>
  <c r="F105" i="632"/>
  <c r="H104" i="632"/>
  <c r="G104" i="632"/>
  <c r="F104" i="632"/>
  <c r="H103" i="632"/>
  <c r="G103" i="632"/>
  <c r="F103" i="632"/>
  <c r="H102" i="632"/>
  <c r="G102" i="632"/>
  <c r="F102" i="632"/>
  <c r="H101" i="632"/>
  <c r="G101" i="632"/>
  <c r="F101" i="632"/>
  <c r="H100" i="632"/>
  <c r="G100" i="632"/>
  <c r="F100" i="632"/>
  <c r="H99" i="632"/>
  <c r="G99" i="632"/>
  <c r="F99" i="632"/>
  <c r="H98" i="632"/>
  <c r="G98" i="632"/>
  <c r="F98" i="632"/>
  <c r="H97" i="632"/>
  <c r="G97" i="632"/>
  <c r="F97" i="632"/>
  <c r="H96" i="632"/>
  <c r="G96" i="632"/>
  <c r="F96" i="632"/>
  <c r="H95" i="632"/>
  <c r="G95" i="632"/>
  <c r="F95" i="632"/>
  <c r="H94" i="632"/>
  <c r="G94" i="632"/>
  <c r="F94" i="632"/>
  <c r="H93" i="632"/>
  <c r="G93" i="632"/>
  <c r="F93" i="632"/>
  <c r="H92" i="632"/>
  <c r="G92" i="632"/>
  <c r="F92" i="632"/>
  <c r="H91" i="632"/>
  <c r="G91" i="632"/>
  <c r="F91" i="632"/>
  <c r="H90" i="632"/>
  <c r="G90" i="632"/>
  <c r="F90" i="632"/>
  <c r="H89" i="632"/>
  <c r="G89" i="632"/>
  <c r="F89" i="632"/>
  <c r="H88" i="632"/>
  <c r="G88" i="632"/>
  <c r="F88" i="632"/>
  <c r="H87" i="632"/>
  <c r="G87" i="632"/>
  <c r="F87" i="632"/>
  <c r="H86" i="632"/>
  <c r="G86" i="632"/>
  <c r="F86" i="632"/>
  <c r="H85" i="632"/>
  <c r="G85" i="632"/>
  <c r="F85" i="632"/>
  <c r="H84" i="632"/>
  <c r="G84" i="632"/>
  <c r="F84" i="632"/>
  <c r="H83" i="632"/>
  <c r="G83" i="632"/>
  <c r="F83" i="632"/>
  <c r="H82" i="632"/>
  <c r="G82" i="632"/>
  <c r="F82" i="632"/>
  <c r="H81" i="632"/>
  <c r="G81" i="632"/>
  <c r="F81" i="632"/>
  <c r="H80" i="632"/>
  <c r="G80" i="632"/>
  <c r="F80" i="632"/>
  <c r="H79" i="632"/>
  <c r="G79" i="632"/>
  <c r="F79" i="632"/>
  <c r="H78" i="632"/>
  <c r="G78" i="632"/>
  <c r="F78" i="632"/>
  <c r="H77" i="632"/>
  <c r="G77" i="632"/>
  <c r="F77" i="632"/>
  <c r="H76" i="632"/>
  <c r="G76" i="632"/>
  <c r="F76" i="632"/>
  <c r="H75" i="632"/>
  <c r="G75" i="632"/>
  <c r="F75" i="632"/>
  <c r="H74" i="632"/>
  <c r="G74" i="632"/>
  <c r="F74" i="632"/>
  <c r="H73" i="632"/>
  <c r="G73" i="632"/>
  <c r="F73" i="632"/>
  <c r="H72" i="632"/>
  <c r="G72" i="632"/>
  <c r="F72" i="632"/>
  <c r="H71" i="632"/>
  <c r="G71" i="632"/>
  <c r="F71" i="632"/>
  <c r="H70" i="632"/>
  <c r="G70" i="632"/>
  <c r="F70" i="632"/>
  <c r="H69" i="632"/>
  <c r="G69" i="632"/>
  <c r="F69" i="632"/>
  <c r="H68" i="632"/>
  <c r="G68" i="632"/>
  <c r="F68" i="632"/>
  <c r="H67" i="632"/>
  <c r="G67" i="632"/>
  <c r="F67" i="632"/>
  <c r="H66" i="632"/>
  <c r="G66" i="632"/>
  <c r="F66" i="632"/>
  <c r="H65" i="632"/>
  <c r="G65" i="632"/>
  <c r="F65" i="632"/>
  <c r="H64" i="632"/>
  <c r="G64" i="632"/>
  <c r="F64" i="632"/>
  <c r="H63" i="632"/>
  <c r="G63" i="632"/>
  <c r="F63" i="632"/>
  <c r="H62" i="632"/>
  <c r="G62" i="632"/>
  <c r="F62" i="632"/>
  <c r="H61" i="632"/>
  <c r="G61" i="632"/>
  <c r="F61" i="632"/>
  <c r="H60" i="632"/>
  <c r="G60" i="632"/>
  <c r="F60" i="632"/>
  <c r="H59" i="632"/>
  <c r="G59" i="632"/>
  <c r="F59" i="632"/>
  <c r="H58" i="632"/>
  <c r="G58" i="632"/>
  <c r="F58" i="632"/>
  <c r="H57" i="632"/>
  <c r="G57" i="632"/>
  <c r="F57" i="632"/>
  <c r="H56" i="632"/>
  <c r="G56" i="632"/>
  <c r="F56" i="632"/>
  <c r="H55" i="632"/>
  <c r="G55" i="632"/>
  <c r="F55" i="632"/>
  <c r="H54" i="632"/>
  <c r="G54" i="632"/>
  <c r="F54" i="632"/>
  <c r="H53" i="632"/>
  <c r="G53" i="632"/>
  <c r="F53" i="632"/>
  <c r="H52" i="632"/>
  <c r="G52" i="632"/>
  <c r="F52" i="632"/>
  <c r="H51" i="632"/>
  <c r="G51" i="632"/>
  <c r="F51" i="632"/>
  <c r="H50" i="632"/>
  <c r="G50" i="632"/>
  <c r="F50" i="632"/>
  <c r="H49" i="632"/>
  <c r="G49" i="632"/>
  <c r="F49" i="632"/>
  <c r="H48" i="632"/>
  <c r="G48" i="632"/>
  <c r="F48" i="632"/>
  <c r="H47" i="632"/>
  <c r="G47" i="632"/>
  <c r="F47" i="632"/>
  <c r="H46" i="632"/>
  <c r="G46" i="632"/>
  <c r="F46" i="632"/>
  <c r="H45" i="632"/>
  <c r="G45" i="632"/>
  <c r="F45" i="632"/>
  <c r="H44" i="632"/>
  <c r="G44" i="632"/>
  <c r="F44" i="632"/>
  <c r="H43" i="632"/>
  <c r="G43" i="632"/>
  <c r="F43" i="632"/>
  <c r="H42" i="632"/>
  <c r="G42" i="632"/>
  <c r="F42" i="632"/>
  <c r="H41" i="632"/>
  <c r="G41" i="632"/>
  <c r="F41" i="632"/>
  <c r="H40" i="632"/>
  <c r="G40" i="632"/>
  <c r="F40" i="632"/>
  <c r="H39" i="632"/>
  <c r="G39" i="632"/>
  <c r="F39" i="632"/>
  <c r="H38" i="632"/>
  <c r="G38" i="632"/>
  <c r="F38" i="632"/>
  <c r="H37" i="632"/>
  <c r="G37" i="632"/>
  <c r="F37" i="632"/>
  <c r="H36" i="632"/>
  <c r="G36" i="632"/>
  <c r="F36" i="632"/>
  <c r="H35" i="632"/>
  <c r="G35" i="632"/>
  <c r="F35" i="632"/>
  <c r="H34" i="632"/>
  <c r="G34" i="632"/>
  <c r="F34" i="632"/>
  <c r="H33" i="632"/>
  <c r="G33" i="632"/>
  <c r="F33" i="632"/>
  <c r="H32" i="632"/>
  <c r="G32" i="632"/>
  <c r="F32" i="632"/>
  <c r="H31" i="632"/>
  <c r="G31" i="632"/>
  <c r="F31" i="632"/>
  <c r="H30" i="632"/>
  <c r="G30" i="632"/>
  <c r="F30" i="632"/>
  <c r="H29" i="632"/>
  <c r="G29" i="632"/>
  <c r="F29" i="632"/>
  <c r="H28" i="632"/>
  <c r="G28" i="632"/>
  <c r="F28" i="632"/>
  <c r="H27" i="632"/>
  <c r="G27" i="632"/>
  <c r="F27" i="632"/>
  <c r="H26" i="632"/>
  <c r="G26" i="632"/>
  <c r="F26" i="632"/>
  <c r="H25" i="632"/>
  <c r="G25" i="632"/>
  <c r="F25" i="632"/>
  <c r="H24" i="632"/>
  <c r="G24" i="632"/>
  <c r="F24" i="632"/>
  <c r="H23" i="632"/>
  <c r="G23" i="632"/>
  <c r="F23" i="632"/>
  <c r="H22" i="632"/>
  <c r="G22" i="632"/>
  <c r="F22" i="632"/>
  <c r="H21" i="632"/>
  <c r="G21" i="632"/>
  <c r="F21" i="632"/>
  <c r="H20" i="632"/>
  <c r="G20" i="632"/>
  <c r="F20" i="632"/>
  <c r="H19" i="632"/>
  <c r="G19" i="632"/>
  <c r="F19" i="632"/>
  <c r="H18" i="632"/>
  <c r="G18" i="632"/>
  <c r="F18" i="632"/>
  <c r="H17" i="632"/>
  <c r="G17" i="632"/>
  <c r="F17" i="632"/>
  <c r="H16" i="632"/>
  <c r="G16" i="632"/>
  <c r="F16" i="632"/>
  <c r="H15" i="632"/>
  <c r="G15" i="632"/>
  <c r="F15" i="632"/>
  <c r="H14" i="632"/>
  <c r="G14" i="632"/>
  <c r="F14" i="632"/>
  <c r="H13" i="632"/>
  <c r="G13" i="632"/>
  <c r="F13" i="632"/>
  <c r="H12" i="632"/>
  <c r="G12" i="632"/>
  <c r="F12" i="632"/>
  <c r="H11" i="632"/>
  <c r="G11" i="632"/>
  <c r="F11" i="632"/>
  <c r="H10" i="632"/>
  <c r="G10" i="632"/>
  <c r="F10" i="632"/>
  <c r="H9" i="632"/>
  <c r="G9" i="632"/>
  <c r="F9" i="632"/>
  <c r="H8" i="632"/>
  <c r="G8" i="632"/>
  <c r="F8" i="632"/>
  <c r="H7" i="632"/>
  <c r="G7" i="632"/>
  <c r="F7" i="632"/>
  <c r="H6" i="632"/>
  <c r="G6" i="632"/>
  <c r="F6" i="632"/>
  <c r="F6" i="585"/>
  <c r="G6" i="585"/>
  <c r="H6" i="585"/>
  <c r="F7" i="585"/>
  <c r="G7" i="585"/>
  <c r="H7" i="585"/>
  <c r="F8" i="585"/>
  <c r="G8" i="585"/>
  <c r="H8" i="585"/>
  <c r="D128" i="585"/>
  <c r="C128" i="585"/>
  <c r="B128" i="585"/>
  <c r="F9" i="585"/>
  <c r="G9" i="585"/>
  <c r="H9" i="585"/>
  <c r="F10" i="585"/>
  <c r="G10" i="585"/>
  <c r="H10" i="585"/>
  <c r="F11" i="585"/>
  <c r="G11" i="585"/>
  <c r="H11" i="585"/>
  <c r="F12" i="585"/>
  <c r="G12" i="585"/>
  <c r="H12" i="585"/>
  <c r="F13" i="585"/>
  <c r="G13" i="585"/>
  <c r="H13" i="585"/>
  <c r="F14" i="585"/>
  <c r="G14" i="585"/>
  <c r="H14" i="585"/>
  <c r="F15" i="585"/>
  <c r="G15" i="585"/>
  <c r="H15" i="585"/>
  <c r="F16" i="585"/>
  <c r="G16" i="585"/>
  <c r="H16" i="585"/>
  <c r="F17" i="585"/>
  <c r="G17" i="585"/>
  <c r="H17" i="585"/>
  <c r="F18" i="585"/>
  <c r="G18" i="585"/>
  <c r="H18" i="585"/>
  <c r="F19" i="585"/>
  <c r="G19" i="585"/>
  <c r="H19" i="585"/>
  <c r="F20" i="585"/>
  <c r="G20" i="585"/>
  <c r="H20" i="585"/>
  <c r="F21" i="585"/>
  <c r="G21" i="585"/>
  <c r="H21" i="585"/>
  <c r="F22" i="585"/>
  <c r="G22" i="585"/>
  <c r="H22" i="585"/>
  <c r="F23" i="585"/>
  <c r="G23" i="585"/>
  <c r="H23" i="585"/>
  <c r="F24" i="585"/>
  <c r="G24" i="585"/>
  <c r="H24" i="585"/>
  <c r="F25" i="585"/>
  <c r="G25" i="585"/>
  <c r="H25" i="585"/>
  <c r="F26" i="585"/>
  <c r="G26" i="585"/>
  <c r="H26" i="585"/>
  <c r="F27" i="585"/>
  <c r="G27" i="585"/>
  <c r="H27" i="585"/>
  <c r="F28" i="585"/>
  <c r="G28" i="585"/>
  <c r="H28" i="585"/>
  <c r="F29" i="585"/>
  <c r="G29" i="585"/>
  <c r="H29" i="585"/>
  <c r="F30" i="585"/>
  <c r="G30" i="585"/>
  <c r="H30" i="585"/>
  <c r="F31" i="585"/>
  <c r="G31" i="585"/>
  <c r="H31" i="585"/>
  <c r="F32" i="585"/>
  <c r="G32" i="585"/>
  <c r="H32" i="585"/>
  <c r="F33" i="585"/>
  <c r="G33" i="585"/>
  <c r="H33" i="585"/>
  <c r="F34" i="585"/>
  <c r="G34" i="585"/>
  <c r="H34" i="585"/>
  <c r="F35" i="585"/>
  <c r="G35" i="585"/>
  <c r="H35" i="585"/>
  <c r="F36" i="585"/>
  <c r="G36" i="585"/>
  <c r="H36" i="585"/>
  <c r="F37" i="585"/>
  <c r="G37" i="585"/>
  <c r="H37" i="585"/>
  <c r="F38" i="585"/>
  <c r="G38" i="585"/>
  <c r="H38" i="585"/>
  <c r="F39" i="585"/>
  <c r="G39" i="585"/>
  <c r="H39" i="585"/>
  <c r="F40" i="585"/>
  <c r="G40" i="585"/>
  <c r="H40" i="585"/>
  <c r="F41" i="585"/>
  <c r="G41" i="585"/>
  <c r="H41" i="585"/>
  <c r="F42" i="585"/>
  <c r="G42" i="585"/>
  <c r="H42" i="585"/>
  <c r="F43" i="585"/>
  <c r="G43" i="585"/>
  <c r="H43" i="585"/>
  <c r="F44" i="585"/>
  <c r="G44" i="585"/>
  <c r="H44" i="585"/>
  <c r="F45" i="585"/>
  <c r="G45" i="585"/>
  <c r="H45" i="585"/>
  <c r="F46" i="585"/>
  <c r="G46" i="585"/>
  <c r="H46" i="585"/>
  <c r="F47" i="585"/>
  <c r="G47" i="585"/>
  <c r="H47" i="585"/>
  <c r="F48" i="585"/>
  <c r="G48" i="585"/>
  <c r="H48" i="585"/>
  <c r="F49" i="585"/>
  <c r="G49" i="585"/>
  <c r="H49" i="585"/>
  <c r="F50" i="585"/>
  <c r="G50" i="585"/>
  <c r="H50" i="585"/>
  <c r="F51" i="585"/>
  <c r="G51" i="585"/>
  <c r="H51" i="585"/>
  <c r="F52" i="585"/>
  <c r="G52" i="585"/>
  <c r="H52" i="585"/>
  <c r="F53" i="585"/>
  <c r="G53" i="585"/>
  <c r="H53" i="585"/>
  <c r="F54" i="585"/>
  <c r="G54" i="585"/>
  <c r="H54" i="585"/>
  <c r="F55" i="585"/>
  <c r="G55" i="585"/>
  <c r="H55" i="585"/>
  <c r="F56" i="585"/>
  <c r="G56" i="585"/>
  <c r="H56" i="585"/>
  <c r="F57" i="585"/>
  <c r="G57" i="585"/>
  <c r="H57" i="585"/>
  <c r="F58" i="585"/>
  <c r="G58" i="585"/>
  <c r="H58" i="585"/>
  <c r="F59" i="585"/>
  <c r="G59" i="585"/>
  <c r="H59" i="585"/>
  <c r="F60" i="585"/>
  <c r="G60" i="585"/>
  <c r="H60" i="585"/>
  <c r="F61" i="585"/>
  <c r="G61" i="585"/>
  <c r="H61" i="585"/>
  <c r="F62" i="585"/>
  <c r="G62" i="585"/>
  <c r="H62" i="585"/>
  <c r="F63" i="585"/>
  <c r="G63" i="585"/>
  <c r="H63" i="585"/>
  <c r="F64" i="585"/>
  <c r="G64" i="585"/>
  <c r="H64" i="585"/>
  <c r="F65" i="585"/>
  <c r="G65" i="585"/>
  <c r="H65" i="585"/>
  <c r="F66" i="585"/>
  <c r="G66" i="585"/>
  <c r="H66" i="585"/>
  <c r="F67" i="585"/>
  <c r="G67" i="585"/>
  <c r="H67" i="585"/>
  <c r="F68" i="585"/>
  <c r="G68" i="585"/>
  <c r="H68" i="585"/>
  <c r="F69" i="585"/>
  <c r="G69" i="585"/>
  <c r="H69" i="585"/>
  <c r="F70" i="585"/>
  <c r="G70" i="585"/>
  <c r="H70" i="585"/>
  <c r="F71" i="585"/>
  <c r="G71" i="585"/>
  <c r="H71" i="585"/>
  <c r="F72" i="585"/>
  <c r="G72" i="585"/>
  <c r="H72" i="585"/>
  <c r="F73" i="585"/>
  <c r="G73" i="585"/>
  <c r="H73" i="585"/>
  <c r="F74" i="585"/>
  <c r="G74" i="585"/>
  <c r="H74" i="585"/>
  <c r="F75" i="585"/>
  <c r="G75" i="585"/>
  <c r="H75" i="585"/>
  <c r="F76" i="585"/>
  <c r="G76" i="585"/>
  <c r="H76" i="585"/>
  <c r="F77" i="585"/>
  <c r="G77" i="585"/>
  <c r="H77" i="585"/>
  <c r="F78" i="585"/>
  <c r="G78" i="585"/>
  <c r="H78" i="585"/>
  <c r="F79" i="585"/>
  <c r="G79" i="585"/>
  <c r="H79" i="585"/>
  <c r="F80" i="585"/>
  <c r="G80" i="585"/>
  <c r="H80" i="585"/>
  <c r="F81" i="585"/>
  <c r="G81" i="585"/>
  <c r="H81" i="585"/>
  <c r="F82" i="585"/>
  <c r="G82" i="585"/>
  <c r="H82" i="585"/>
  <c r="F83" i="585"/>
  <c r="G83" i="585"/>
  <c r="H83" i="585"/>
  <c r="F84" i="585"/>
  <c r="G84" i="585"/>
  <c r="H84" i="585"/>
  <c r="F85" i="585"/>
  <c r="G85" i="585"/>
  <c r="H85" i="585"/>
  <c r="F86" i="585"/>
  <c r="G86" i="585"/>
  <c r="H86" i="585"/>
  <c r="F87" i="585"/>
  <c r="G87" i="585"/>
  <c r="H87" i="585"/>
  <c r="F88" i="585"/>
  <c r="G88" i="585"/>
  <c r="H88" i="585"/>
  <c r="F89" i="585"/>
  <c r="G89" i="585"/>
  <c r="H89" i="585"/>
  <c r="F90" i="585"/>
  <c r="G90" i="585"/>
  <c r="H90" i="585"/>
  <c r="F91" i="585"/>
  <c r="G91" i="585"/>
  <c r="H91" i="585"/>
  <c r="F92" i="585"/>
  <c r="G92" i="585"/>
  <c r="H92" i="585"/>
  <c r="F93" i="585"/>
  <c r="G93" i="585"/>
  <c r="H93" i="585"/>
  <c r="F94" i="585"/>
  <c r="G94" i="585"/>
  <c r="H94" i="585"/>
  <c r="F95" i="585"/>
  <c r="G95" i="585"/>
  <c r="H95" i="585"/>
  <c r="F96" i="585"/>
  <c r="G96" i="585"/>
  <c r="H96" i="585"/>
  <c r="F97" i="585"/>
  <c r="G97" i="585"/>
  <c r="H97" i="585"/>
  <c r="F98" i="585"/>
  <c r="G98" i="585"/>
  <c r="H98" i="585"/>
  <c r="F99" i="585"/>
  <c r="G99" i="585"/>
  <c r="H99" i="585"/>
  <c r="F100" i="585"/>
  <c r="G100" i="585"/>
  <c r="H100" i="585"/>
  <c r="F101" i="585"/>
  <c r="G101" i="585"/>
  <c r="H101" i="585"/>
  <c r="F102" i="585"/>
  <c r="G102" i="585"/>
  <c r="H102" i="585"/>
  <c r="F103" i="585"/>
  <c r="G103" i="585"/>
  <c r="H103" i="585"/>
  <c r="F104" i="585"/>
  <c r="G104" i="585"/>
  <c r="H104" i="585"/>
  <c r="F105" i="585"/>
  <c r="G105" i="585"/>
  <c r="H105" i="585"/>
  <c r="F106" i="585"/>
  <c r="G106" i="585"/>
  <c r="H106" i="585"/>
  <c r="F107" i="585"/>
  <c r="G107" i="585"/>
  <c r="H107" i="585"/>
  <c r="F108" i="585"/>
  <c r="G108" i="585"/>
  <c r="H108" i="585"/>
  <c r="F109" i="585"/>
  <c r="G109" i="585"/>
  <c r="H109" i="585"/>
  <c r="F110" i="585"/>
  <c r="G110" i="585"/>
  <c r="H110" i="585"/>
  <c r="F111" i="585"/>
  <c r="G111" i="585"/>
  <c r="H111" i="585"/>
  <c r="F112" i="585"/>
  <c r="G112" i="585"/>
  <c r="H112" i="585"/>
  <c r="F113" i="585"/>
  <c r="G113" i="585"/>
  <c r="H113" i="585"/>
  <c r="F114" i="585"/>
  <c r="G114" i="585"/>
  <c r="H114" i="585"/>
  <c r="F115" i="585"/>
  <c r="G115" i="585"/>
  <c r="H115" i="585"/>
  <c r="F116" i="585"/>
  <c r="G116" i="585"/>
  <c r="H116" i="585"/>
  <c r="F117" i="585"/>
  <c r="G117" i="585"/>
  <c r="H117" i="585"/>
  <c r="F118" i="585"/>
  <c r="G118" i="585"/>
  <c r="H118" i="585"/>
  <c r="F119" i="585"/>
  <c r="G119" i="585"/>
  <c r="H119" i="585"/>
  <c r="F120" i="585"/>
  <c r="G120" i="585"/>
  <c r="H120" i="585"/>
  <c r="F121" i="585"/>
  <c r="G121" i="585"/>
  <c r="H121" i="585"/>
  <c r="F122" i="585"/>
  <c r="G122" i="585"/>
  <c r="H122" i="585"/>
  <c r="F123" i="585"/>
  <c r="G123" i="585"/>
  <c r="H123" i="585"/>
  <c r="F124" i="585"/>
  <c r="G124" i="585"/>
  <c r="H124" i="585"/>
  <c r="F125" i="585"/>
  <c r="G125" i="585"/>
  <c r="H125" i="585"/>
  <c r="F126" i="585"/>
  <c r="G126" i="585"/>
  <c r="H126" i="585"/>
  <c r="J23" i="570"/>
  <c r="B38" i="570"/>
  <c r="B39" i="570"/>
  <c r="H13" i="570"/>
  <c r="E28" i="570"/>
  <c r="H39" i="570"/>
  <c r="E29" i="570"/>
  <c r="G34" i="570"/>
  <c r="G33" i="570"/>
  <c r="I5" i="570"/>
  <c r="I4" i="570"/>
  <c r="H33" i="570"/>
  <c r="G5" i="570"/>
  <c r="H17" i="570"/>
  <c r="I17" i="570"/>
  <c r="J17" i="570"/>
  <c r="K17" i="570"/>
  <c r="L17" i="570"/>
  <c r="H18" i="570"/>
  <c r="I18" i="570"/>
  <c r="J18" i="570"/>
  <c r="K18" i="570"/>
  <c r="L18" i="570"/>
  <c r="D38" i="570"/>
  <c r="J39" i="570"/>
  <c r="D39" i="570"/>
  <c r="D129" i="638" l="1"/>
  <c r="C129" i="638"/>
  <c r="B129" i="638"/>
  <c r="B129" i="635"/>
  <c r="C129" i="634"/>
  <c r="D129" i="633"/>
  <c r="B129" i="633"/>
  <c r="C129" i="632"/>
  <c r="H129" i="638"/>
  <c r="D129" i="637"/>
  <c r="C129" i="637"/>
  <c r="B129" i="637"/>
  <c r="D129" i="635"/>
  <c r="D129" i="636"/>
  <c r="C129" i="636"/>
  <c r="B129" i="636"/>
  <c r="C129" i="635"/>
  <c r="D129" i="634"/>
  <c r="B129" i="634"/>
  <c r="C129" i="633"/>
  <c r="D129" i="632"/>
  <c r="B129" i="632"/>
  <c r="B129" i="585"/>
  <c r="L12" i="570"/>
  <c r="J10" i="570" s="1"/>
  <c r="L13" i="570"/>
  <c r="J38" i="570"/>
  <c r="H34" i="570"/>
  <c r="F34" i="570"/>
  <c r="F33" i="570"/>
  <c r="G128" i="635"/>
  <c r="G129" i="635" s="1"/>
  <c r="H128" i="635"/>
  <c r="H129" i="635" s="1"/>
  <c r="H128" i="634"/>
  <c r="H129" i="634" s="1"/>
  <c r="F128" i="638"/>
  <c r="F129" i="638" s="1"/>
  <c r="G128" i="638"/>
  <c r="G129" i="638" s="1"/>
  <c r="G128" i="637"/>
  <c r="G129" i="637" s="1"/>
  <c r="H128" i="637"/>
  <c r="H129" i="637" s="1"/>
  <c r="F128" i="637"/>
  <c r="F129" i="637" s="1"/>
  <c r="F128" i="636"/>
  <c r="F129" i="636" s="1"/>
  <c r="G128" i="636"/>
  <c r="G129" i="636" s="1"/>
  <c r="H128" i="636"/>
  <c r="H129" i="636" s="1"/>
  <c r="F128" i="635"/>
  <c r="F129" i="635" s="1"/>
  <c r="H128" i="632"/>
  <c r="H129" i="632" s="1"/>
  <c r="F128" i="634"/>
  <c r="F129" i="634" s="1"/>
  <c r="G128" i="634"/>
  <c r="G129" i="634" s="1"/>
  <c r="G128" i="633"/>
  <c r="G129" i="633" s="1"/>
  <c r="H128" i="633"/>
  <c r="H129" i="633" s="1"/>
  <c r="F128" i="633"/>
  <c r="F129" i="633" s="1"/>
  <c r="F128" i="632"/>
  <c r="F129" i="632" s="1"/>
  <c r="G128" i="632"/>
  <c r="G129" i="632" s="1"/>
  <c r="J24" i="570"/>
  <c r="C129" i="585"/>
  <c r="D129" i="585"/>
  <c r="G128" i="585"/>
  <c r="G129" i="585" s="1"/>
  <c r="F128" i="585"/>
  <c r="H128" i="585"/>
  <c r="H129" i="585" s="1"/>
  <c r="H9" i="570" l="1"/>
  <c r="H10" i="570"/>
  <c r="J9" i="570"/>
  <c r="F129" i="585"/>
</calcChain>
</file>

<file path=xl/sharedStrings.xml><?xml version="1.0" encoding="utf-8"?>
<sst xmlns="http://schemas.openxmlformats.org/spreadsheetml/2006/main" count="176" uniqueCount="41">
  <si>
    <t>x</t>
  </si>
  <si>
    <t>y</t>
  </si>
  <si>
    <t>z</t>
  </si>
  <si>
    <t>Human perception curves</t>
  </si>
  <si>
    <t>rpm</t>
  </si>
  <si>
    <t>amplitude (in)</t>
  </si>
  <si>
    <t>+/- 20% window</t>
  </si>
  <si>
    <t>Machine limits</t>
  </si>
  <si>
    <t>service factor for machine performance</t>
  </si>
  <si>
    <t>(applied only for horizontal amplitude</t>
  </si>
  <si>
    <t>of vibrations)</t>
  </si>
  <si>
    <t>rad/sec</t>
  </si>
  <si>
    <t>Blake 1964</t>
  </si>
  <si>
    <t>Baxter &amp; Bernhard 1967</t>
  </si>
  <si>
    <t>vendor requirements</t>
  </si>
  <si>
    <t>velocity limit:</t>
  </si>
  <si>
    <t>mm/sec</t>
  </si>
  <si>
    <t>in/sec</t>
  </si>
  <si>
    <r>
      <t xml:space="preserve">related amplitude y'/ </t>
    </r>
    <r>
      <rPr>
        <sz val="8"/>
        <rFont val="Symbol"/>
        <family val="1"/>
        <charset val="2"/>
      </rPr>
      <t>w</t>
    </r>
  </si>
  <si>
    <t>in</t>
  </si>
  <si>
    <t>frequency rpm</t>
  </si>
  <si>
    <t>(y) max</t>
  </si>
  <si>
    <t>(y') max</t>
  </si>
  <si>
    <t>mm</t>
  </si>
  <si>
    <t>velocity limit for operating</t>
  </si>
  <si>
    <t>velocity limit for malfunction</t>
  </si>
  <si>
    <r>
      <t xml:space="preserve"> (48 </t>
    </r>
    <r>
      <rPr>
        <sz val="8"/>
        <rFont val="Symbol"/>
        <family val="1"/>
        <charset val="2"/>
      </rPr>
      <t xml:space="preserve">m </t>
    </r>
    <r>
      <rPr>
        <sz val="8"/>
        <rFont val="Arial"/>
        <family val="2"/>
      </rPr>
      <t>m  )</t>
    </r>
  </si>
  <si>
    <r>
      <t xml:space="preserve"> (22 </t>
    </r>
    <r>
      <rPr>
        <sz val="8"/>
        <rFont val="Symbol"/>
        <family val="1"/>
        <charset val="2"/>
      </rPr>
      <t xml:space="preserve">m </t>
    </r>
    <r>
      <rPr>
        <sz val="8"/>
        <rFont val="Arial"/>
        <family val="2"/>
      </rPr>
      <t>m  )</t>
    </r>
  </si>
  <si>
    <r>
      <t>w</t>
    </r>
    <r>
      <rPr>
        <sz val="8"/>
        <rFont val="Arial"/>
        <family val="2"/>
      </rPr>
      <t xml:space="preserve"> motor</t>
    </r>
  </si>
  <si>
    <r>
      <t>w</t>
    </r>
    <r>
      <rPr>
        <sz val="8"/>
        <rFont val="Arial"/>
        <family val="2"/>
      </rPr>
      <t xml:space="preserve"> compressor</t>
    </r>
  </si>
  <si>
    <t>Industry Requirments</t>
  </si>
  <si>
    <t>Point 3: At SW Corner</t>
  </si>
  <si>
    <t>Point 4: At NW Corner</t>
  </si>
  <si>
    <t>Point 6: At SE Corner</t>
  </si>
  <si>
    <t>Point 5: At NE Corner</t>
  </si>
  <si>
    <t>Frequency (rpm)</t>
  </si>
  <si>
    <t>Amplitude (m)</t>
  </si>
  <si>
    <t>Amplitude (in)</t>
  </si>
  <si>
    <t>Lower Bound Soil</t>
  </si>
  <si>
    <t>Pump Operating = 4215 rpm</t>
  </si>
  <si>
    <t>Upper Bound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</si>
</sst>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00"/>
    <numFmt numFmtId="166" formatCode="0.000000"/>
    <numFmt numFmtId="167" formatCode="0.00000000"/>
  </numFmts>
  <fonts count="7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8"/>
      <name val="Arial"/>
      <family val="2"/>
    </font>
    <font>
      <sz val="8"/>
      <name val="Symbol"/>
      <family val="1"/>
      <charset val="2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left"/>
    </xf>
    <xf numFmtId="164" fontId="4" fillId="2" borderId="0" xfId="0" applyNumberFormat="1" applyFont="1" applyFill="1" applyAlignment="1">
      <alignment horizontal="center"/>
    </xf>
    <xf numFmtId="0" fontId="5" fillId="0" borderId="0" xfId="0" applyFont="1"/>
    <xf numFmtId="165" fontId="1" fillId="0" borderId="0" xfId="0" applyNumberFormat="1" applyFont="1"/>
    <xf numFmtId="2" fontId="4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left"/>
    </xf>
    <xf numFmtId="167" fontId="4" fillId="0" borderId="0" xfId="0" applyNumberFormat="1" applyFont="1"/>
    <xf numFmtId="0" fontId="1" fillId="0" borderId="0" xfId="0" applyFont="1" applyAlignment="1">
      <alignment horizontal="left"/>
    </xf>
    <xf numFmtId="1" fontId="4" fillId="0" borderId="0" xfId="0" applyNumberFormat="1" applyFont="1"/>
    <xf numFmtId="166" fontId="4" fillId="0" borderId="0" xfId="0" applyNumberFormat="1" applyFont="1"/>
    <xf numFmtId="0" fontId="4" fillId="0" borderId="2" xfId="0" applyFont="1" applyBorder="1"/>
    <xf numFmtId="0" fontId="4" fillId="0" borderId="3" xfId="0" applyFont="1" applyBorder="1"/>
    <xf numFmtId="166" fontId="4" fillId="0" borderId="4" xfId="0" applyNumberFormat="1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166" fontId="4" fillId="0" borderId="2" xfId="0" applyNumberFormat="1" applyFont="1" applyBorder="1"/>
    <xf numFmtId="0" fontId="6" fillId="3" borderId="0" xfId="0" applyFont="1" applyFill="1"/>
    <xf numFmtId="1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11" fontId="1" fillId="0" borderId="1" xfId="0" applyNumberFormat="1" applyFont="1" applyBorder="1" applyAlignment="1">
      <alignment horizontal="center"/>
    </xf>
    <xf numFmtId="11" fontId="1" fillId="0" borderId="1" xfId="0" quotePrefix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2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65-4AF7-A396-6A305C425533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265-4AF7-A396-6A305C425533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265-4AF7-A396-6A305C425533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265-4AF7-A396-6A305C425533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265-4AF7-A396-6A305C425533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265-4AF7-A396-6A305C425533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265-4AF7-A396-6A305C425533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265-4AF7-A396-6A305C425533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265-4AF7-A396-6A305C425533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265-4AF7-A396-6A305C425533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265-4AF7-A396-6A305C425533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P3_LB!$A$7:$A$126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P3_LB!$F$7:$F$126</c:f>
              <c:numCache>
                <c:formatCode>0.00E+00</c:formatCode>
                <c:ptCount val="120"/>
                <c:pt idx="0">
                  <c:v>3.6023622047244101E-8</c:v>
                </c:pt>
                <c:pt idx="1">
                  <c:v>1.4448818897637796E-7</c:v>
                </c:pt>
                <c:pt idx="2">
                  <c:v>3.2755905511811024E-7</c:v>
                </c:pt>
                <c:pt idx="3">
                  <c:v>5.8661417322834651E-7</c:v>
                </c:pt>
                <c:pt idx="4">
                  <c:v>9.2913385826771665E-7</c:v>
                </c:pt>
                <c:pt idx="5">
                  <c:v>1.358267716535433E-6</c:v>
                </c:pt>
                <c:pt idx="6">
                  <c:v>1.8818897637795276E-6</c:v>
                </c:pt>
                <c:pt idx="7">
                  <c:v>2.5078740157480313E-6</c:v>
                </c:pt>
                <c:pt idx="8">
                  <c:v>3.2440944881889763E-6</c:v>
                </c:pt>
                <c:pt idx="9">
                  <c:v>4.0944881889763785E-6</c:v>
                </c:pt>
                <c:pt idx="10">
                  <c:v>5.0787401574803152E-6</c:v>
                </c:pt>
                <c:pt idx="11">
                  <c:v>6.25984251968504E-6</c:v>
                </c:pt>
                <c:pt idx="12">
                  <c:v>7.5590551181102365E-6</c:v>
                </c:pt>
                <c:pt idx="13">
                  <c:v>9.0944881889763773E-6</c:v>
                </c:pt>
                <c:pt idx="14">
                  <c:v>1.0866141732283464E-5</c:v>
                </c:pt>
                <c:pt idx="15">
                  <c:v>1.2913385826771655E-5</c:v>
                </c:pt>
                <c:pt idx="16">
                  <c:v>1.5275590551181102E-5</c:v>
                </c:pt>
                <c:pt idx="17">
                  <c:v>1.7992125984251968E-5</c:v>
                </c:pt>
                <c:pt idx="18">
                  <c:v>2.1141732283464569E-5</c:v>
                </c:pt>
                <c:pt idx="19">
                  <c:v>2.484251968503937E-5</c:v>
                </c:pt>
                <c:pt idx="20">
                  <c:v>2.9251968503937014E-5</c:v>
                </c:pt>
                <c:pt idx="21">
                  <c:v>3.4448818897637796E-5</c:v>
                </c:pt>
                <c:pt idx="22">
                  <c:v>4.0551181102362211E-5</c:v>
                </c:pt>
                <c:pt idx="23">
                  <c:v>4.8031496062992124E-5</c:v>
                </c:pt>
                <c:pt idx="24">
                  <c:v>5.7086614173228356E-5</c:v>
                </c:pt>
                <c:pt idx="25">
                  <c:v>6.7322834645669287E-5</c:v>
                </c:pt>
                <c:pt idx="26">
                  <c:v>7.913385826771653E-5</c:v>
                </c:pt>
                <c:pt idx="27">
                  <c:v>9.2125984251968505E-5</c:v>
                </c:pt>
                <c:pt idx="28">
                  <c:v>1.0393700787401575E-4</c:v>
                </c:pt>
                <c:pt idx="29">
                  <c:v>1.1299212598425198E-4</c:v>
                </c:pt>
                <c:pt idx="30">
                  <c:v>1.1653543307086615E-4</c:v>
                </c:pt>
                <c:pt idx="31">
                  <c:v>1.1535433070866142E-4</c:v>
                </c:pt>
                <c:pt idx="32">
                  <c:v>1.1023622047244096E-4</c:v>
                </c:pt>
                <c:pt idx="33">
                  <c:v>1.0354330708661417E-4</c:v>
                </c:pt>
                <c:pt idx="34">
                  <c:v>9.6456692913385835E-5</c:v>
                </c:pt>
                <c:pt idx="35">
                  <c:v>8.9763779527559067E-5</c:v>
                </c:pt>
                <c:pt idx="36">
                  <c:v>8.3464566929133859E-5</c:v>
                </c:pt>
                <c:pt idx="37">
                  <c:v>7.8346456692913397E-5</c:v>
                </c:pt>
                <c:pt idx="38">
                  <c:v>7.3622047244094495E-5</c:v>
                </c:pt>
                <c:pt idx="39">
                  <c:v>6.9685039370078752E-5</c:v>
                </c:pt>
                <c:pt idx="40">
                  <c:v>6.6141732283464568E-5</c:v>
                </c:pt>
                <c:pt idx="41">
                  <c:v>6.2992125984251971E-5</c:v>
                </c:pt>
                <c:pt idx="42">
                  <c:v>5.9842519685039374E-5</c:v>
                </c:pt>
                <c:pt idx="43">
                  <c:v>5.7480314960629922E-5</c:v>
                </c:pt>
                <c:pt idx="44">
                  <c:v>5.5118110236220478E-5</c:v>
                </c:pt>
                <c:pt idx="45">
                  <c:v>5.2755905511811027E-5</c:v>
                </c:pt>
                <c:pt idx="46">
                  <c:v>5.0787401574803148E-5</c:v>
                </c:pt>
                <c:pt idx="47">
                  <c:v>4.8818897637795277E-5</c:v>
                </c:pt>
                <c:pt idx="48">
                  <c:v>4.6850393700787405E-5</c:v>
                </c:pt>
                <c:pt idx="49">
                  <c:v>4.4881889763779534E-5</c:v>
                </c:pt>
                <c:pt idx="50">
                  <c:v>4.3307086614173235E-5</c:v>
                </c:pt>
                <c:pt idx="51">
                  <c:v>4.1338582677165357E-5</c:v>
                </c:pt>
                <c:pt idx="52">
                  <c:v>3.9763779527559058E-5</c:v>
                </c:pt>
                <c:pt idx="53">
                  <c:v>3.8070866141732284E-5</c:v>
                </c:pt>
                <c:pt idx="54">
                  <c:v>3.6456692913385826E-5</c:v>
                </c:pt>
                <c:pt idx="55">
                  <c:v>3.5039370078740156E-5</c:v>
                </c:pt>
                <c:pt idx="56">
                  <c:v>3.3818897637795278E-5</c:v>
                </c:pt>
                <c:pt idx="57">
                  <c:v>3.2992125984251967E-5</c:v>
                </c:pt>
                <c:pt idx="58">
                  <c:v>3.2637795275590552E-5</c:v>
                </c:pt>
                <c:pt idx="59">
                  <c:v>3.2952755905511808E-5</c:v>
                </c:pt>
                <c:pt idx="60">
                  <c:v>3.413385826771654E-5</c:v>
                </c:pt>
                <c:pt idx="61">
                  <c:v>3.6220472440944888E-5</c:v>
                </c:pt>
                <c:pt idx="62">
                  <c:v>3.9251968503937002E-5</c:v>
                </c:pt>
                <c:pt idx="63">
                  <c:v>4.2913385826771655E-5</c:v>
                </c:pt>
                <c:pt idx="64">
                  <c:v>4.7637795275590558E-5</c:v>
                </c:pt>
                <c:pt idx="65">
                  <c:v>5.2755905511811027E-5</c:v>
                </c:pt>
                <c:pt idx="66">
                  <c:v>5.7874015748031495E-5</c:v>
                </c:pt>
                <c:pt idx="67">
                  <c:v>6.2992125984251971E-5</c:v>
                </c:pt>
                <c:pt idx="68">
                  <c:v>6.7716535433070873E-5</c:v>
                </c:pt>
                <c:pt idx="69">
                  <c:v>7.2047244094488189E-5</c:v>
                </c:pt>
                <c:pt idx="70">
                  <c:v>7.559055118110236E-5</c:v>
                </c:pt>
                <c:pt idx="71">
                  <c:v>7.7952755905511811E-5</c:v>
                </c:pt>
                <c:pt idx="72">
                  <c:v>7.9921259842519689E-5</c:v>
                </c:pt>
                <c:pt idx="73">
                  <c:v>8.1102362204724422E-5</c:v>
                </c:pt>
                <c:pt idx="74">
                  <c:v>8.1496062992125995E-5</c:v>
                </c:pt>
                <c:pt idx="75">
                  <c:v>8.1496062992125995E-5</c:v>
                </c:pt>
                <c:pt idx="76">
                  <c:v>8.1102362204724422E-5</c:v>
                </c:pt>
                <c:pt idx="77">
                  <c:v>8.0314960629921276E-5</c:v>
                </c:pt>
                <c:pt idx="78">
                  <c:v>7.9527559055118116E-5</c:v>
                </c:pt>
                <c:pt idx="79">
                  <c:v>7.874015748031497E-5</c:v>
                </c:pt>
                <c:pt idx="80">
                  <c:v>7.7559055118110252E-5</c:v>
                </c:pt>
                <c:pt idx="81">
                  <c:v>7.6771653543307092E-5</c:v>
                </c:pt>
                <c:pt idx="82">
                  <c:v>7.559055118110236E-5</c:v>
                </c:pt>
                <c:pt idx="83">
                  <c:v>7.4803149606299214E-5</c:v>
                </c:pt>
                <c:pt idx="84">
                  <c:v>7.3622047244094495E-5</c:v>
                </c:pt>
                <c:pt idx="85">
                  <c:v>7.2834645669291349E-5</c:v>
                </c:pt>
                <c:pt idx="86">
                  <c:v>7.2047244094488189E-5</c:v>
                </c:pt>
                <c:pt idx="87">
                  <c:v>7.1259842519685044E-5</c:v>
                </c:pt>
                <c:pt idx="88">
                  <c:v>7.0472440944881884E-5</c:v>
                </c:pt>
                <c:pt idx="89">
                  <c:v>6.9685039370078752E-5</c:v>
                </c:pt>
                <c:pt idx="90">
                  <c:v>6.8897637795275592E-5</c:v>
                </c:pt>
                <c:pt idx="91">
                  <c:v>6.8110236220472446E-5</c:v>
                </c:pt>
                <c:pt idx="92">
                  <c:v>6.7322834645669287E-5</c:v>
                </c:pt>
                <c:pt idx="93">
                  <c:v>6.6929133858267728E-5</c:v>
                </c:pt>
                <c:pt idx="94">
                  <c:v>6.6141732283464568E-5</c:v>
                </c:pt>
                <c:pt idx="95">
                  <c:v>6.5748031496062995E-5</c:v>
                </c:pt>
                <c:pt idx="96">
                  <c:v>6.5354330708661422E-5</c:v>
                </c:pt>
                <c:pt idx="97">
                  <c:v>6.4566929133858276E-5</c:v>
                </c:pt>
                <c:pt idx="98">
                  <c:v>6.4173228346456703E-5</c:v>
                </c:pt>
                <c:pt idx="99">
                  <c:v>6.3779527559055117E-5</c:v>
                </c:pt>
                <c:pt idx="100">
                  <c:v>6.3385826771653557E-5</c:v>
                </c:pt>
                <c:pt idx="101">
                  <c:v>6.2992125984251971E-5</c:v>
                </c:pt>
                <c:pt idx="102">
                  <c:v>6.2598425196850398E-5</c:v>
                </c:pt>
                <c:pt idx="103">
                  <c:v>6.2204724409448811E-5</c:v>
                </c:pt>
                <c:pt idx="104">
                  <c:v>6.1811023622047252E-5</c:v>
                </c:pt>
                <c:pt idx="105">
                  <c:v>6.1417322834645679E-5</c:v>
                </c:pt>
                <c:pt idx="106">
                  <c:v>6.1023622047244093E-5</c:v>
                </c:pt>
                <c:pt idx="107">
                  <c:v>6.0629921259842526E-5</c:v>
                </c:pt>
                <c:pt idx="108">
                  <c:v>6.0629921259842526E-5</c:v>
                </c:pt>
                <c:pt idx="109">
                  <c:v>6.0236220472440947E-5</c:v>
                </c:pt>
                <c:pt idx="110">
                  <c:v>5.9842519685039374E-5</c:v>
                </c:pt>
                <c:pt idx="111">
                  <c:v>5.9448818897637794E-5</c:v>
                </c:pt>
                <c:pt idx="112">
                  <c:v>5.9448818897637794E-5</c:v>
                </c:pt>
                <c:pt idx="113">
                  <c:v>5.9055118110236228E-5</c:v>
                </c:pt>
                <c:pt idx="114">
                  <c:v>5.8661417322834648E-5</c:v>
                </c:pt>
                <c:pt idx="115">
                  <c:v>5.8661417322834648E-5</c:v>
                </c:pt>
                <c:pt idx="116">
                  <c:v>5.8267716535433075E-5</c:v>
                </c:pt>
                <c:pt idx="117">
                  <c:v>5.8267716535433075E-5</c:v>
                </c:pt>
                <c:pt idx="118">
                  <c:v>5.7874015748031495E-5</c:v>
                </c:pt>
                <c:pt idx="119">
                  <c:v>5.7874015748031495E-5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265-4AF7-A396-6A305C425533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P3_LB!$A$7:$A$126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P3_LB!$G$7:$G$126</c:f>
              <c:numCache>
                <c:formatCode>0.00E+00</c:formatCode>
                <c:ptCount val="120"/>
                <c:pt idx="0">
                  <c:v>2.6653543307086611E-9</c:v>
                </c:pt>
                <c:pt idx="1">
                  <c:v>1.0708661417322836E-8</c:v>
                </c:pt>
                <c:pt idx="2">
                  <c:v>2.4251968503937008E-8</c:v>
                </c:pt>
                <c:pt idx="3">
                  <c:v>4.370078740157481E-8</c:v>
                </c:pt>
                <c:pt idx="4">
                  <c:v>6.8897637795275587E-8</c:v>
                </c:pt>
                <c:pt idx="5">
                  <c:v>1.0078740157480316E-7</c:v>
                </c:pt>
                <c:pt idx="6">
                  <c:v>1.3976377952755906E-7</c:v>
                </c:pt>
                <c:pt idx="7">
                  <c:v>1.8622047244094487E-7</c:v>
                </c:pt>
                <c:pt idx="8">
                  <c:v>2.4094488188976381E-7</c:v>
                </c:pt>
                <c:pt idx="9">
                  <c:v>3.0472440944881893E-7</c:v>
                </c:pt>
                <c:pt idx="10">
                  <c:v>3.7913385826771652E-7</c:v>
                </c:pt>
                <c:pt idx="11">
                  <c:v>4.6456692913385832E-7</c:v>
                </c:pt>
                <c:pt idx="12">
                  <c:v>5.6299212598425204E-7</c:v>
                </c:pt>
                <c:pt idx="13">
                  <c:v>6.7716535433070861E-7</c:v>
                </c:pt>
                <c:pt idx="14">
                  <c:v>8.0708661417322841E-7</c:v>
                </c:pt>
                <c:pt idx="15">
                  <c:v>9.5275590551181112E-7</c:v>
                </c:pt>
                <c:pt idx="16">
                  <c:v>1.1220472440944883E-6</c:v>
                </c:pt>
                <c:pt idx="17">
                  <c:v>1.3149606299212598E-6</c:v>
                </c:pt>
                <c:pt idx="18">
                  <c:v>1.5393700787401576E-6</c:v>
                </c:pt>
                <c:pt idx="19">
                  <c:v>1.795275590551181E-6</c:v>
                </c:pt>
                <c:pt idx="20">
                  <c:v>2.090551181102362E-6</c:v>
                </c:pt>
                <c:pt idx="21">
                  <c:v>2.4330708661417324E-6</c:v>
                </c:pt>
                <c:pt idx="22">
                  <c:v>2.834645669291339E-6</c:v>
                </c:pt>
                <c:pt idx="23">
                  <c:v>3.2992125984251968E-6</c:v>
                </c:pt>
                <c:pt idx="24">
                  <c:v>3.8385826771653549E-6</c:v>
                </c:pt>
                <c:pt idx="25">
                  <c:v>4.4488188976377962E-6</c:v>
                </c:pt>
                <c:pt idx="26">
                  <c:v>5.1574803149606299E-6</c:v>
                </c:pt>
                <c:pt idx="27">
                  <c:v>5.9448818897637792E-6</c:v>
                </c:pt>
                <c:pt idx="28">
                  <c:v>6.811023622047245E-6</c:v>
                </c:pt>
                <c:pt idx="29">
                  <c:v>7.6377952755905512E-6</c:v>
                </c:pt>
                <c:pt idx="30">
                  <c:v>8.3858267716535436E-6</c:v>
                </c:pt>
                <c:pt idx="31">
                  <c:v>8.9763779527559064E-6</c:v>
                </c:pt>
                <c:pt idx="32">
                  <c:v>9.370078740157481E-6</c:v>
                </c:pt>
                <c:pt idx="33">
                  <c:v>9.5275590551181123E-6</c:v>
                </c:pt>
                <c:pt idx="34">
                  <c:v>9.4881889763779536E-6</c:v>
                </c:pt>
                <c:pt idx="35">
                  <c:v>9.370078740157481E-6</c:v>
                </c:pt>
                <c:pt idx="36">
                  <c:v>9.2519685039370085E-6</c:v>
                </c:pt>
                <c:pt idx="37">
                  <c:v>9.0944881889763773E-6</c:v>
                </c:pt>
                <c:pt idx="38">
                  <c:v>9.0157480314960633E-6</c:v>
                </c:pt>
                <c:pt idx="39">
                  <c:v>8.9763779527559064E-6</c:v>
                </c:pt>
                <c:pt idx="40">
                  <c:v>9.0157480314960633E-6</c:v>
                </c:pt>
                <c:pt idx="41">
                  <c:v>9.1338582677165359E-6</c:v>
                </c:pt>
                <c:pt idx="42">
                  <c:v>9.2913385826771654E-6</c:v>
                </c:pt>
                <c:pt idx="43">
                  <c:v>9.5275590551181123E-6</c:v>
                </c:pt>
                <c:pt idx="44">
                  <c:v>9.8425196850393713E-6</c:v>
                </c:pt>
                <c:pt idx="45">
                  <c:v>1.0196850393700786E-5</c:v>
                </c:pt>
                <c:pt idx="46">
                  <c:v>1.0629921259842521E-5</c:v>
                </c:pt>
                <c:pt idx="47">
                  <c:v>1.1062992125984252E-5</c:v>
                </c:pt>
                <c:pt idx="48">
                  <c:v>1.1574803149606299E-5</c:v>
                </c:pt>
                <c:pt idx="49">
                  <c:v>1.2086614173228347E-5</c:v>
                </c:pt>
                <c:pt idx="50">
                  <c:v>1.2677165354330709E-5</c:v>
                </c:pt>
                <c:pt idx="51">
                  <c:v>1.3267716535433072E-5</c:v>
                </c:pt>
                <c:pt idx="52">
                  <c:v>1.3897637795275592E-5</c:v>
                </c:pt>
                <c:pt idx="53">
                  <c:v>1.4566929133858269E-5</c:v>
                </c:pt>
                <c:pt idx="54">
                  <c:v>1.5314960629921261E-5</c:v>
                </c:pt>
                <c:pt idx="55">
                  <c:v>1.610236220472441E-5</c:v>
                </c:pt>
                <c:pt idx="56">
                  <c:v>1.6929133858267718E-5</c:v>
                </c:pt>
                <c:pt idx="57">
                  <c:v>1.783464566929134E-5</c:v>
                </c:pt>
                <c:pt idx="58">
                  <c:v>1.8858267716535435E-5</c:v>
                </c:pt>
                <c:pt idx="59">
                  <c:v>1.9921259842519688E-5</c:v>
                </c:pt>
                <c:pt idx="60">
                  <c:v>2.110236220472441E-5</c:v>
                </c:pt>
                <c:pt idx="61">
                  <c:v>2.2362204724409453E-5</c:v>
                </c:pt>
                <c:pt idx="62">
                  <c:v>2.3661417322834651E-5</c:v>
                </c:pt>
                <c:pt idx="63">
                  <c:v>2.4960629921259846E-5</c:v>
                </c:pt>
                <c:pt idx="64">
                  <c:v>2.6259842519685044E-5</c:v>
                </c:pt>
                <c:pt idx="65">
                  <c:v>2.7480314960629925E-5</c:v>
                </c:pt>
                <c:pt idx="66">
                  <c:v>2.8543307086614178E-5</c:v>
                </c:pt>
                <c:pt idx="67">
                  <c:v>2.9409448818897641E-5</c:v>
                </c:pt>
                <c:pt idx="68">
                  <c:v>3.0000000000000001E-5</c:v>
                </c:pt>
                <c:pt idx="69">
                  <c:v>3.0314960629921263E-5</c:v>
                </c:pt>
                <c:pt idx="70">
                  <c:v>3.0314960629921263E-5</c:v>
                </c:pt>
                <c:pt idx="71">
                  <c:v>3.0039370078740159E-5</c:v>
                </c:pt>
                <c:pt idx="72">
                  <c:v>2.9566929133858273E-5</c:v>
                </c:pt>
                <c:pt idx="73">
                  <c:v>2.8897637795275589E-5</c:v>
                </c:pt>
                <c:pt idx="74">
                  <c:v>2.8110236220472443E-5</c:v>
                </c:pt>
                <c:pt idx="75">
                  <c:v>2.724409448818898E-5</c:v>
                </c:pt>
                <c:pt idx="76">
                  <c:v>2.6338582677165355E-5</c:v>
                </c:pt>
                <c:pt idx="77">
                  <c:v>2.5472440944881891E-5</c:v>
                </c:pt>
                <c:pt idx="78">
                  <c:v>2.4606299212598428E-5</c:v>
                </c:pt>
                <c:pt idx="79">
                  <c:v>2.3779527559055117E-5</c:v>
                </c:pt>
                <c:pt idx="80">
                  <c:v>2.2992125984251971E-5</c:v>
                </c:pt>
                <c:pt idx="81">
                  <c:v>2.2283464566929136E-5</c:v>
                </c:pt>
                <c:pt idx="82">
                  <c:v>2.15748031496063E-5</c:v>
                </c:pt>
                <c:pt idx="83">
                  <c:v>2.0944881889763782E-5</c:v>
                </c:pt>
                <c:pt idx="84">
                  <c:v>2.0354330708661419E-5</c:v>
                </c:pt>
                <c:pt idx="85">
                  <c:v>1.9803149606299212E-5</c:v>
                </c:pt>
                <c:pt idx="86">
                  <c:v>1.9291338582677166E-5</c:v>
                </c:pt>
                <c:pt idx="87">
                  <c:v>1.8818897637795276E-5</c:v>
                </c:pt>
                <c:pt idx="88">
                  <c:v>1.8385826771653544E-5</c:v>
                </c:pt>
                <c:pt idx="89">
                  <c:v>1.7952755905511813E-5</c:v>
                </c:pt>
                <c:pt idx="90">
                  <c:v>1.7559055118110236E-5</c:v>
                </c:pt>
                <c:pt idx="91">
                  <c:v>1.7204724409448819E-5</c:v>
                </c:pt>
                <c:pt idx="92">
                  <c:v>1.6850393700787401E-5</c:v>
                </c:pt>
                <c:pt idx="93">
                  <c:v>1.6535433070866142E-5</c:v>
                </c:pt>
                <c:pt idx="94">
                  <c:v>1.6259842519685042E-5</c:v>
                </c:pt>
                <c:pt idx="95">
                  <c:v>1.5944881889763779E-5</c:v>
                </c:pt>
                <c:pt idx="96">
                  <c:v>1.5708661417322834E-5</c:v>
                </c:pt>
                <c:pt idx="97">
                  <c:v>1.5433070866141734E-5</c:v>
                </c:pt>
                <c:pt idx="98">
                  <c:v>1.5196850393700789E-5</c:v>
                </c:pt>
                <c:pt idx="99">
                  <c:v>1.5E-5</c:v>
                </c:pt>
                <c:pt idx="100">
                  <c:v>1.4803149606299212E-5</c:v>
                </c:pt>
                <c:pt idx="101">
                  <c:v>1.4606299212598424E-5</c:v>
                </c:pt>
                <c:pt idx="102">
                  <c:v>1.4409448818897639E-5</c:v>
                </c:pt>
                <c:pt idx="103">
                  <c:v>1.4212598425196851E-5</c:v>
                </c:pt>
                <c:pt idx="104">
                  <c:v>1.4055118110236222E-5</c:v>
                </c:pt>
                <c:pt idx="105">
                  <c:v>1.3897637795275592E-5</c:v>
                </c:pt>
                <c:pt idx="106">
                  <c:v>1.3740157480314963E-5</c:v>
                </c:pt>
                <c:pt idx="107">
                  <c:v>1.3582677165354331E-5</c:v>
                </c:pt>
                <c:pt idx="108">
                  <c:v>1.346456692913386E-5</c:v>
                </c:pt>
                <c:pt idx="109">
                  <c:v>1.3307086614173228E-5</c:v>
                </c:pt>
                <c:pt idx="110">
                  <c:v>1.3188976377952757E-5</c:v>
                </c:pt>
                <c:pt idx="111">
                  <c:v>1.3070866141732284E-5</c:v>
                </c:pt>
                <c:pt idx="112">
                  <c:v>1.2952755905511812E-5</c:v>
                </c:pt>
                <c:pt idx="113">
                  <c:v>1.2874015748031496E-5</c:v>
                </c:pt>
                <c:pt idx="114">
                  <c:v>1.2755905511811025E-5</c:v>
                </c:pt>
                <c:pt idx="115">
                  <c:v>1.2677165354330709E-5</c:v>
                </c:pt>
                <c:pt idx="116">
                  <c:v>1.2598425196850396E-5</c:v>
                </c:pt>
                <c:pt idx="117">
                  <c:v>1.2480314960629923E-5</c:v>
                </c:pt>
                <c:pt idx="118">
                  <c:v>1.2401574803149607E-5</c:v>
                </c:pt>
                <c:pt idx="119">
                  <c:v>1.2322834645669293E-5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265-4AF7-A396-6A305C425533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P3_LB!$A$7:$A$126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P3_LB!$H$7:$H$126</c:f>
              <c:numCache>
                <c:formatCode>0.00E+00</c:formatCode>
                <c:ptCount val="120"/>
                <c:pt idx="0">
                  <c:v>2.1968503937007874E-8</c:v>
                </c:pt>
                <c:pt idx="1">
                  <c:v>8.740157480314962E-8</c:v>
                </c:pt>
                <c:pt idx="2">
                  <c:v>1.9606299212598426E-7</c:v>
                </c:pt>
                <c:pt idx="3">
                  <c:v>3.4724409448818898E-7</c:v>
                </c:pt>
                <c:pt idx="4">
                  <c:v>5.4330708661417324E-7</c:v>
                </c:pt>
                <c:pt idx="5">
                  <c:v>7.7952755905511816E-7</c:v>
                </c:pt>
                <c:pt idx="6">
                  <c:v>1.0669291338582678E-6</c:v>
                </c:pt>
                <c:pt idx="7">
                  <c:v>1.4094488188976379E-6</c:v>
                </c:pt>
                <c:pt idx="8">
                  <c:v>1.799212598425197E-6</c:v>
                </c:pt>
                <c:pt idx="9">
                  <c:v>2.2519685039370082E-6</c:v>
                </c:pt>
                <c:pt idx="10">
                  <c:v>2.7637795275590558E-6</c:v>
                </c:pt>
                <c:pt idx="11">
                  <c:v>3.3385826771653546E-6</c:v>
                </c:pt>
                <c:pt idx="12">
                  <c:v>3.976377952755906E-6</c:v>
                </c:pt>
                <c:pt idx="13">
                  <c:v>4.7244094488188975E-6</c:v>
                </c:pt>
                <c:pt idx="14">
                  <c:v>5.5511811023622054E-6</c:v>
                </c:pt>
                <c:pt idx="15">
                  <c:v>6.4960629921259842E-6</c:v>
                </c:pt>
                <c:pt idx="16">
                  <c:v>7.5590551181102365E-6</c:v>
                </c:pt>
                <c:pt idx="17">
                  <c:v>8.7795275590551182E-6</c:v>
                </c:pt>
                <c:pt idx="18">
                  <c:v>1.015748031496063E-5</c:v>
                </c:pt>
                <c:pt idx="19">
                  <c:v>1.1771653543307088E-5</c:v>
                </c:pt>
                <c:pt idx="20">
                  <c:v>1.3661417322834647E-5</c:v>
                </c:pt>
                <c:pt idx="21">
                  <c:v>1.5944881889763779E-5</c:v>
                </c:pt>
                <c:pt idx="22">
                  <c:v>1.862204724409449E-5</c:v>
                </c:pt>
                <c:pt idx="23">
                  <c:v>2.1889763779527559E-5</c:v>
                </c:pt>
                <c:pt idx="24">
                  <c:v>2.5905511811023623E-5</c:v>
                </c:pt>
                <c:pt idx="25">
                  <c:v>3.0826771653543309E-5</c:v>
                </c:pt>
                <c:pt idx="26">
                  <c:v>3.6771653543307089E-5</c:v>
                </c:pt>
                <c:pt idx="27">
                  <c:v>4.3307086614173235E-5</c:v>
                </c:pt>
                <c:pt idx="28">
                  <c:v>5.0393700787401582E-5</c:v>
                </c:pt>
                <c:pt idx="29">
                  <c:v>5.6299212598425204E-5</c:v>
                </c:pt>
                <c:pt idx="30">
                  <c:v>5.9842519685039374E-5</c:v>
                </c:pt>
                <c:pt idx="31">
                  <c:v>6.1023622047244093E-5</c:v>
                </c:pt>
                <c:pt idx="32">
                  <c:v>5.9448818897637794E-5</c:v>
                </c:pt>
                <c:pt idx="33">
                  <c:v>5.669291338582677E-5</c:v>
                </c:pt>
                <c:pt idx="34">
                  <c:v>5.3149606299212606E-5</c:v>
                </c:pt>
                <c:pt idx="35">
                  <c:v>4.9212598425196856E-5</c:v>
                </c:pt>
                <c:pt idx="36">
                  <c:v>4.5275590551181107E-5</c:v>
                </c:pt>
                <c:pt idx="37">
                  <c:v>4.1338582677165357E-5</c:v>
                </c:pt>
                <c:pt idx="38">
                  <c:v>3.7637795275590552E-5</c:v>
                </c:pt>
                <c:pt idx="39">
                  <c:v>3.4055118110236223E-5</c:v>
                </c:pt>
                <c:pt idx="40">
                  <c:v>3.0629921259842522E-5</c:v>
                </c:pt>
                <c:pt idx="41">
                  <c:v>2.7401574803149608E-5</c:v>
                </c:pt>
                <c:pt idx="42">
                  <c:v>2.4409448818897638E-5</c:v>
                </c:pt>
                <c:pt idx="43">
                  <c:v>2.1771653543307087E-5</c:v>
                </c:pt>
                <c:pt idx="44">
                  <c:v>1.9606299212598429E-5</c:v>
                </c:pt>
                <c:pt idx="45">
                  <c:v>1.8031496062992127E-5</c:v>
                </c:pt>
                <c:pt idx="46">
                  <c:v>1.7204724409448819E-5</c:v>
                </c:pt>
                <c:pt idx="47">
                  <c:v>1.736220472440945E-5</c:v>
                </c:pt>
                <c:pt idx="48">
                  <c:v>1.8425196850393703E-5</c:v>
                </c:pt>
                <c:pt idx="49">
                  <c:v>2.0354330708661419E-5</c:v>
                </c:pt>
                <c:pt idx="50">
                  <c:v>2.2913385826771654E-5</c:v>
                </c:pt>
                <c:pt idx="51">
                  <c:v>2.5905511811023623E-5</c:v>
                </c:pt>
                <c:pt idx="52">
                  <c:v>2.9133858267716538E-5</c:v>
                </c:pt>
                <c:pt idx="53">
                  <c:v>3.2401574803149607E-5</c:v>
                </c:pt>
                <c:pt idx="54">
                  <c:v>3.566929133858268E-5</c:v>
                </c:pt>
                <c:pt idx="55">
                  <c:v>3.8779527559055126E-5</c:v>
                </c:pt>
                <c:pt idx="56">
                  <c:v>4.173228346456693E-5</c:v>
                </c:pt>
                <c:pt idx="57">
                  <c:v>4.4488188976377954E-5</c:v>
                </c:pt>
                <c:pt idx="58">
                  <c:v>4.6850393700787405E-5</c:v>
                </c:pt>
                <c:pt idx="59">
                  <c:v>4.9212598425196856E-5</c:v>
                </c:pt>
                <c:pt idx="60">
                  <c:v>5.1181102362204728E-5</c:v>
                </c:pt>
                <c:pt idx="61">
                  <c:v>5.2755905511811027E-5</c:v>
                </c:pt>
                <c:pt idx="62">
                  <c:v>5.4330708661417325E-5</c:v>
                </c:pt>
                <c:pt idx="63">
                  <c:v>5.5511811023622051E-5</c:v>
                </c:pt>
                <c:pt idx="64">
                  <c:v>5.6299212598425204E-5</c:v>
                </c:pt>
                <c:pt idx="65">
                  <c:v>5.7086614173228356E-5</c:v>
                </c:pt>
                <c:pt idx="66">
                  <c:v>5.7874015748031495E-5</c:v>
                </c:pt>
                <c:pt idx="67">
                  <c:v>5.8267716535433075E-5</c:v>
                </c:pt>
                <c:pt idx="68">
                  <c:v>5.8661417322834648E-5</c:v>
                </c:pt>
                <c:pt idx="69">
                  <c:v>5.8661417322834648E-5</c:v>
                </c:pt>
                <c:pt idx="70">
                  <c:v>5.8661417322834648E-5</c:v>
                </c:pt>
                <c:pt idx="71">
                  <c:v>5.8267716535433075E-5</c:v>
                </c:pt>
                <c:pt idx="72">
                  <c:v>5.7874015748031495E-5</c:v>
                </c:pt>
                <c:pt idx="73">
                  <c:v>5.7874015748031495E-5</c:v>
                </c:pt>
                <c:pt idx="74">
                  <c:v>5.7480314960629922E-5</c:v>
                </c:pt>
                <c:pt idx="75">
                  <c:v>5.7086614173228356E-5</c:v>
                </c:pt>
                <c:pt idx="76">
                  <c:v>5.669291338582677E-5</c:v>
                </c:pt>
                <c:pt idx="77">
                  <c:v>5.6299212598425204E-5</c:v>
                </c:pt>
                <c:pt idx="78">
                  <c:v>5.5905511811023624E-5</c:v>
                </c:pt>
                <c:pt idx="79">
                  <c:v>5.5511811023622051E-5</c:v>
                </c:pt>
                <c:pt idx="80">
                  <c:v>5.5118110236220478E-5</c:v>
                </c:pt>
                <c:pt idx="81">
                  <c:v>5.4724409448818898E-5</c:v>
                </c:pt>
                <c:pt idx="82">
                  <c:v>5.4724409448818898E-5</c:v>
                </c:pt>
                <c:pt idx="83">
                  <c:v>5.4330708661417325E-5</c:v>
                </c:pt>
                <c:pt idx="84">
                  <c:v>5.3937007874015745E-5</c:v>
                </c:pt>
                <c:pt idx="85">
                  <c:v>5.3543307086614173E-5</c:v>
                </c:pt>
                <c:pt idx="86">
                  <c:v>5.3149606299212606E-5</c:v>
                </c:pt>
                <c:pt idx="87">
                  <c:v>5.2755905511811027E-5</c:v>
                </c:pt>
                <c:pt idx="88">
                  <c:v>5.2755905511811027E-5</c:v>
                </c:pt>
                <c:pt idx="89">
                  <c:v>5.2362204724409454E-5</c:v>
                </c:pt>
                <c:pt idx="90">
                  <c:v>5.1968503937007874E-5</c:v>
                </c:pt>
                <c:pt idx="91">
                  <c:v>5.1968503937007874E-5</c:v>
                </c:pt>
                <c:pt idx="92">
                  <c:v>5.1574803149606301E-5</c:v>
                </c:pt>
                <c:pt idx="93">
                  <c:v>5.1181102362204728E-5</c:v>
                </c:pt>
                <c:pt idx="94">
                  <c:v>5.1181102362204728E-5</c:v>
                </c:pt>
                <c:pt idx="95">
                  <c:v>5.0787401574803148E-5</c:v>
                </c:pt>
                <c:pt idx="96">
                  <c:v>5.0787401574803148E-5</c:v>
                </c:pt>
                <c:pt idx="97">
                  <c:v>5.0393700787401582E-5</c:v>
                </c:pt>
                <c:pt idx="98">
                  <c:v>5.0393700787401582E-5</c:v>
                </c:pt>
                <c:pt idx="99">
                  <c:v>4.9999999999999996E-5</c:v>
                </c:pt>
                <c:pt idx="100">
                  <c:v>4.9999999999999996E-5</c:v>
                </c:pt>
                <c:pt idx="101">
                  <c:v>4.9606299212598429E-5</c:v>
                </c:pt>
                <c:pt idx="102">
                  <c:v>4.9606299212598429E-5</c:v>
                </c:pt>
                <c:pt idx="103">
                  <c:v>4.9606299212598429E-5</c:v>
                </c:pt>
                <c:pt idx="104">
                  <c:v>4.9212598425196856E-5</c:v>
                </c:pt>
                <c:pt idx="105">
                  <c:v>4.9212598425196856E-5</c:v>
                </c:pt>
                <c:pt idx="106">
                  <c:v>4.8818897637795277E-5</c:v>
                </c:pt>
                <c:pt idx="107">
                  <c:v>4.8818897637795277E-5</c:v>
                </c:pt>
                <c:pt idx="108">
                  <c:v>4.8818897637795277E-5</c:v>
                </c:pt>
                <c:pt idx="109">
                  <c:v>4.8425196850393711E-5</c:v>
                </c:pt>
                <c:pt idx="110">
                  <c:v>4.8425196850393711E-5</c:v>
                </c:pt>
                <c:pt idx="111">
                  <c:v>4.8031496062992124E-5</c:v>
                </c:pt>
                <c:pt idx="112">
                  <c:v>4.8031496062992124E-5</c:v>
                </c:pt>
                <c:pt idx="113">
                  <c:v>4.8031496062992124E-5</c:v>
                </c:pt>
                <c:pt idx="114">
                  <c:v>4.7637795275590558E-5</c:v>
                </c:pt>
                <c:pt idx="115">
                  <c:v>4.7637795275590558E-5</c:v>
                </c:pt>
                <c:pt idx="116">
                  <c:v>4.7637795275590558E-5</c:v>
                </c:pt>
                <c:pt idx="117">
                  <c:v>4.7244094488188978E-5</c:v>
                </c:pt>
                <c:pt idx="118">
                  <c:v>4.7244094488188978E-5</c:v>
                </c:pt>
                <c:pt idx="119">
                  <c:v>4.7244094488188978E-5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265-4AF7-A396-6A305C425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3 - SW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401-4E6A-BFB9-258CE5EF378E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01-4E6A-BFB9-258CE5EF378E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401-4E6A-BFB9-258CE5EF378E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401-4E6A-BFB9-258CE5EF378E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401-4E6A-BFB9-258CE5EF378E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401-4E6A-BFB9-258CE5EF378E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401-4E6A-BFB9-258CE5EF378E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401-4E6A-BFB9-258CE5EF378E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401-4E6A-BFB9-258CE5EF378E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P3_LB!$A$7:$A$126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P3_LB!$F$7:$F$126</c:f>
              <c:numCache>
                <c:formatCode>0.00E+00</c:formatCode>
                <c:ptCount val="120"/>
                <c:pt idx="0">
                  <c:v>3.6023622047244101E-8</c:v>
                </c:pt>
                <c:pt idx="1">
                  <c:v>1.4448818897637796E-7</c:v>
                </c:pt>
                <c:pt idx="2">
                  <c:v>3.2755905511811024E-7</c:v>
                </c:pt>
                <c:pt idx="3">
                  <c:v>5.8661417322834651E-7</c:v>
                </c:pt>
                <c:pt idx="4">
                  <c:v>9.2913385826771665E-7</c:v>
                </c:pt>
                <c:pt idx="5">
                  <c:v>1.358267716535433E-6</c:v>
                </c:pt>
                <c:pt idx="6">
                  <c:v>1.8818897637795276E-6</c:v>
                </c:pt>
                <c:pt idx="7">
                  <c:v>2.5078740157480313E-6</c:v>
                </c:pt>
                <c:pt idx="8">
                  <c:v>3.2440944881889763E-6</c:v>
                </c:pt>
                <c:pt idx="9">
                  <c:v>4.0944881889763785E-6</c:v>
                </c:pt>
                <c:pt idx="10">
                  <c:v>5.0787401574803152E-6</c:v>
                </c:pt>
                <c:pt idx="11">
                  <c:v>6.25984251968504E-6</c:v>
                </c:pt>
                <c:pt idx="12">
                  <c:v>7.5590551181102365E-6</c:v>
                </c:pt>
                <c:pt idx="13">
                  <c:v>9.0944881889763773E-6</c:v>
                </c:pt>
                <c:pt idx="14">
                  <c:v>1.0866141732283464E-5</c:v>
                </c:pt>
                <c:pt idx="15">
                  <c:v>1.2913385826771655E-5</c:v>
                </c:pt>
                <c:pt idx="16">
                  <c:v>1.5275590551181102E-5</c:v>
                </c:pt>
                <c:pt idx="17">
                  <c:v>1.7992125984251968E-5</c:v>
                </c:pt>
                <c:pt idx="18">
                  <c:v>2.1141732283464569E-5</c:v>
                </c:pt>
                <c:pt idx="19">
                  <c:v>2.484251968503937E-5</c:v>
                </c:pt>
                <c:pt idx="20">
                  <c:v>2.9251968503937014E-5</c:v>
                </c:pt>
                <c:pt idx="21">
                  <c:v>3.4448818897637796E-5</c:v>
                </c:pt>
                <c:pt idx="22">
                  <c:v>4.0551181102362211E-5</c:v>
                </c:pt>
                <c:pt idx="23">
                  <c:v>4.8031496062992124E-5</c:v>
                </c:pt>
                <c:pt idx="24">
                  <c:v>5.7086614173228356E-5</c:v>
                </c:pt>
                <c:pt idx="25">
                  <c:v>6.7322834645669287E-5</c:v>
                </c:pt>
                <c:pt idx="26">
                  <c:v>7.913385826771653E-5</c:v>
                </c:pt>
                <c:pt idx="27">
                  <c:v>9.2125984251968505E-5</c:v>
                </c:pt>
                <c:pt idx="28">
                  <c:v>1.0393700787401575E-4</c:v>
                </c:pt>
                <c:pt idx="29">
                  <c:v>1.1299212598425198E-4</c:v>
                </c:pt>
                <c:pt idx="30">
                  <c:v>1.1653543307086615E-4</c:v>
                </c:pt>
                <c:pt idx="31">
                  <c:v>1.1535433070866142E-4</c:v>
                </c:pt>
                <c:pt idx="32">
                  <c:v>1.1023622047244096E-4</c:v>
                </c:pt>
                <c:pt idx="33">
                  <c:v>1.0354330708661417E-4</c:v>
                </c:pt>
                <c:pt idx="34">
                  <c:v>9.6456692913385835E-5</c:v>
                </c:pt>
                <c:pt idx="35">
                  <c:v>8.9763779527559067E-5</c:v>
                </c:pt>
                <c:pt idx="36">
                  <c:v>8.3464566929133859E-5</c:v>
                </c:pt>
                <c:pt idx="37">
                  <c:v>7.8346456692913397E-5</c:v>
                </c:pt>
                <c:pt idx="38">
                  <c:v>7.3622047244094495E-5</c:v>
                </c:pt>
                <c:pt idx="39">
                  <c:v>6.9685039370078752E-5</c:v>
                </c:pt>
                <c:pt idx="40">
                  <c:v>6.6141732283464568E-5</c:v>
                </c:pt>
                <c:pt idx="41">
                  <c:v>6.2992125984251971E-5</c:v>
                </c:pt>
                <c:pt idx="42">
                  <c:v>5.9842519685039374E-5</c:v>
                </c:pt>
                <c:pt idx="43">
                  <c:v>5.7480314960629922E-5</c:v>
                </c:pt>
                <c:pt idx="44">
                  <c:v>5.5118110236220478E-5</c:v>
                </c:pt>
                <c:pt idx="45">
                  <c:v>5.2755905511811027E-5</c:v>
                </c:pt>
                <c:pt idx="46">
                  <c:v>5.0787401574803148E-5</c:v>
                </c:pt>
                <c:pt idx="47">
                  <c:v>4.8818897637795277E-5</c:v>
                </c:pt>
                <c:pt idx="48">
                  <c:v>4.6850393700787405E-5</c:v>
                </c:pt>
                <c:pt idx="49">
                  <c:v>4.4881889763779534E-5</c:v>
                </c:pt>
                <c:pt idx="50">
                  <c:v>4.3307086614173235E-5</c:v>
                </c:pt>
                <c:pt idx="51">
                  <c:v>4.1338582677165357E-5</c:v>
                </c:pt>
                <c:pt idx="52">
                  <c:v>3.9763779527559058E-5</c:v>
                </c:pt>
                <c:pt idx="53">
                  <c:v>3.8070866141732284E-5</c:v>
                </c:pt>
                <c:pt idx="54">
                  <c:v>3.6456692913385826E-5</c:v>
                </c:pt>
                <c:pt idx="55">
                  <c:v>3.5039370078740156E-5</c:v>
                </c:pt>
                <c:pt idx="56">
                  <c:v>3.3818897637795278E-5</c:v>
                </c:pt>
                <c:pt idx="57">
                  <c:v>3.2992125984251967E-5</c:v>
                </c:pt>
                <c:pt idx="58">
                  <c:v>3.2637795275590552E-5</c:v>
                </c:pt>
                <c:pt idx="59">
                  <c:v>3.2952755905511808E-5</c:v>
                </c:pt>
                <c:pt idx="60">
                  <c:v>3.413385826771654E-5</c:v>
                </c:pt>
                <c:pt idx="61">
                  <c:v>3.6220472440944888E-5</c:v>
                </c:pt>
                <c:pt idx="62">
                  <c:v>3.9251968503937002E-5</c:v>
                </c:pt>
                <c:pt idx="63">
                  <c:v>4.2913385826771655E-5</c:v>
                </c:pt>
                <c:pt idx="64">
                  <c:v>4.7637795275590558E-5</c:v>
                </c:pt>
                <c:pt idx="65">
                  <c:v>5.2755905511811027E-5</c:v>
                </c:pt>
                <c:pt idx="66">
                  <c:v>5.7874015748031495E-5</c:v>
                </c:pt>
                <c:pt idx="67">
                  <c:v>6.2992125984251971E-5</c:v>
                </c:pt>
                <c:pt idx="68">
                  <c:v>6.7716535433070873E-5</c:v>
                </c:pt>
                <c:pt idx="69">
                  <c:v>7.2047244094488189E-5</c:v>
                </c:pt>
                <c:pt idx="70">
                  <c:v>7.559055118110236E-5</c:v>
                </c:pt>
                <c:pt idx="71">
                  <c:v>7.7952755905511811E-5</c:v>
                </c:pt>
                <c:pt idx="72">
                  <c:v>7.9921259842519689E-5</c:v>
                </c:pt>
                <c:pt idx="73">
                  <c:v>8.1102362204724422E-5</c:v>
                </c:pt>
                <c:pt idx="74">
                  <c:v>8.1496062992125995E-5</c:v>
                </c:pt>
                <c:pt idx="75">
                  <c:v>8.1496062992125995E-5</c:v>
                </c:pt>
                <c:pt idx="76">
                  <c:v>8.1102362204724422E-5</c:v>
                </c:pt>
                <c:pt idx="77">
                  <c:v>8.0314960629921276E-5</c:v>
                </c:pt>
                <c:pt idx="78">
                  <c:v>7.9527559055118116E-5</c:v>
                </c:pt>
                <c:pt idx="79">
                  <c:v>7.874015748031497E-5</c:v>
                </c:pt>
                <c:pt idx="80">
                  <c:v>7.7559055118110252E-5</c:v>
                </c:pt>
                <c:pt idx="81">
                  <c:v>7.6771653543307092E-5</c:v>
                </c:pt>
                <c:pt idx="82">
                  <c:v>7.559055118110236E-5</c:v>
                </c:pt>
                <c:pt idx="83">
                  <c:v>7.4803149606299214E-5</c:v>
                </c:pt>
                <c:pt idx="84">
                  <c:v>7.3622047244094495E-5</c:v>
                </c:pt>
                <c:pt idx="85">
                  <c:v>7.2834645669291349E-5</c:v>
                </c:pt>
                <c:pt idx="86">
                  <c:v>7.2047244094488189E-5</c:v>
                </c:pt>
                <c:pt idx="87">
                  <c:v>7.1259842519685044E-5</c:v>
                </c:pt>
                <c:pt idx="88">
                  <c:v>7.0472440944881884E-5</c:v>
                </c:pt>
                <c:pt idx="89">
                  <c:v>6.9685039370078752E-5</c:v>
                </c:pt>
                <c:pt idx="90">
                  <c:v>6.8897637795275592E-5</c:v>
                </c:pt>
                <c:pt idx="91">
                  <c:v>6.8110236220472446E-5</c:v>
                </c:pt>
                <c:pt idx="92">
                  <c:v>6.7322834645669287E-5</c:v>
                </c:pt>
                <c:pt idx="93">
                  <c:v>6.6929133858267728E-5</c:v>
                </c:pt>
                <c:pt idx="94">
                  <c:v>6.6141732283464568E-5</c:v>
                </c:pt>
                <c:pt idx="95">
                  <c:v>6.5748031496062995E-5</c:v>
                </c:pt>
                <c:pt idx="96">
                  <c:v>6.5354330708661422E-5</c:v>
                </c:pt>
                <c:pt idx="97">
                  <c:v>6.4566929133858276E-5</c:v>
                </c:pt>
                <c:pt idx="98">
                  <c:v>6.4173228346456703E-5</c:v>
                </c:pt>
                <c:pt idx="99">
                  <c:v>6.3779527559055117E-5</c:v>
                </c:pt>
                <c:pt idx="100">
                  <c:v>6.3385826771653557E-5</c:v>
                </c:pt>
                <c:pt idx="101">
                  <c:v>6.2992125984251971E-5</c:v>
                </c:pt>
                <c:pt idx="102">
                  <c:v>6.2598425196850398E-5</c:v>
                </c:pt>
                <c:pt idx="103">
                  <c:v>6.2204724409448811E-5</c:v>
                </c:pt>
                <c:pt idx="104">
                  <c:v>6.1811023622047252E-5</c:v>
                </c:pt>
                <c:pt idx="105">
                  <c:v>6.1417322834645679E-5</c:v>
                </c:pt>
                <c:pt idx="106">
                  <c:v>6.1023622047244093E-5</c:v>
                </c:pt>
                <c:pt idx="107">
                  <c:v>6.0629921259842526E-5</c:v>
                </c:pt>
                <c:pt idx="108">
                  <c:v>6.0629921259842526E-5</c:v>
                </c:pt>
                <c:pt idx="109">
                  <c:v>6.0236220472440947E-5</c:v>
                </c:pt>
                <c:pt idx="110">
                  <c:v>5.9842519685039374E-5</c:v>
                </c:pt>
                <c:pt idx="111">
                  <c:v>5.9448818897637794E-5</c:v>
                </c:pt>
                <c:pt idx="112">
                  <c:v>5.9448818897637794E-5</c:v>
                </c:pt>
                <c:pt idx="113">
                  <c:v>5.9055118110236228E-5</c:v>
                </c:pt>
                <c:pt idx="114">
                  <c:v>5.8661417322834648E-5</c:v>
                </c:pt>
                <c:pt idx="115">
                  <c:v>5.8661417322834648E-5</c:v>
                </c:pt>
                <c:pt idx="116">
                  <c:v>5.8267716535433075E-5</c:v>
                </c:pt>
                <c:pt idx="117">
                  <c:v>5.8267716535433075E-5</c:v>
                </c:pt>
                <c:pt idx="118">
                  <c:v>5.7874015748031495E-5</c:v>
                </c:pt>
                <c:pt idx="119">
                  <c:v>5.7874015748031495E-5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401-4E6A-BFB9-258CE5EF378E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P3_LB!$A$7:$A$126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P3_LB!$G$7:$G$126</c:f>
              <c:numCache>
                <c:formatCode>0.00E+00</c:formatCode>
                <c:ptCount val="120"/>
                <c:pt idx="0">
                  <c:v>2.6653543307086611E-9</c:v>
                </c:pt>
                <c:pt idx="1">
                  <c:v>1.0708661417322836E-8</c:v>
                </c:pt>
                <c:pt idx="2">
                  <c:v>2.4251968503937008E-8</c:v>
                </c:pt>
                <c:pt idx="3">
                  <c:v>4.370078740157481E-8</c:v>
                </c:pt>
                <c:pt idx="4">
                  <c:v>6.8897637795275587E-8</c:v>
                </c:pt>
                <c:pt idx="5">
                  <c:v>1.0078740157480316E-7</c:v>
                </c:pt>
                <c:pt idx="6">
                  <c:v>1.3976377952755906E-7</c:v>
                </c:pt>
                <c:pt idx="7">
                  <c:v>1.8622047244094487E-7</c:v>
                </c:pt>
                <c:pt idx="8">
                  <c:v>2.4094488188976381E-7</c:v>
                </c:pt>
                <c:pt idx="9">
                  <c:v>3.0472440944881893E-7</c:v>
                </c:pt>
                <c:pt idx="10">
                  <c:v>3.7913385826771652E-7</c:v>
                </c:pt>
                <c:pt idx="11">
                  <c:v>4.6456692913385832E-7</c:v>
                </c:pt>
                <c:pt idx="12">
                  <c:v>5.6299212598425204E-7</c:v>
                </c:pt>
                <c:pt idx="13">
                  <c:v>6.7716535433070861E-7</c:v>
                </c:pt>
                <c:pt idx="14">
                  <c:v>8.0708661417322841E-7</c:v>
                </c:pt>
                <c:pt idx="15">
                  <c:v>9.5275590551181112E-7</c:v>
                </c:pt>
                <c:pt idx="16">
                  <c:v>1.1220472440944883E-6</c:v>
                </c:pt>
                <c:pt idx="17">
                  <c:v>1.3149606299212598E-6</c:v>
                </c:pt>
                <c:pt idx="18">
                  <c:v>1.5393700787401576E-6</c:v>
                </c:pt>
                <c:pt idx="19">
                  <c:v>1.795275590551181E-6</c:v>
                </c:pt>
                <c:pt idx="20">
                  <c:v>2.090551181102362E-6</c:v>
                </c:pt>
                <c:pt idx="21">
                  <c:v>2.4330708661417324E-6</c:v>
                </c:pt>
                <c:pt idx="22">
                  <c:v>2.834645669291339E-6</c:v>
                </c:pt>
                <c:pt idx="23">
                  <c:v>3.2992125984251968E-6</c:v>
                </c:pt>
                <c:pt idx="24">
                  <c:v>3.8385826771653549E-6</c:v>
                </c:pt>
                <c:pt idx="25">
                  <c:v>4.4488188976377962E-6</c:v>
                </c:pt>
                <c:pt idx="26">
                  <c:v>5.1574803149606299E-6</c:v>
                </c:pt>
                <c:pt idx="27">
                  <c:v>5.9448818897637792E-6</c:v>
                </c:pt>
                <c:pt idx="28">
                  <c:v>6.811023622047245E-6</c:v>
                </c:pt>
                <c:pt idx="29">
                  <c:v>7.6377952755905512E-6</c:v>
                </c:pt>
                <c:pt idx="30">
                  <c:v>8.3858267716535436E-6</c:v>
                </c:pt>
                <c:pt idx="31">
                  <c:v>8.9763779527559064E-6</c:v>
                </c:pt>
                <c:pt idx="32">
                  <c:v>9.370078740157481E-6</c:v>
                </c:pt>
                <c:pt idx="33">
                  <c:v>9.5275590551181123E-6</c:v>
                </c:pt>
                <c:pt idx="34">
                  <c:v>9.4881889763779536E-6</c:v>
                </c:pt>
                <c:pt idx="35">
                  <c:v>9.370078740157481E-6</c:v>
                </c:pt>
                <c:pt idx="36">
                  <c:v>9.2519685039370085E-6</c:v>
                </c:pt>
                <c:pt idx="37">
                  <c:v>9.0944881889763773E-6</c:v>
                </c:pt>
                <c:pt idx="38">
                  <c:v>9.0157480314960633E-6</c:v>
                </c:pt>
                <c:pt idx="39">
                  <c:v>8.9763779527559064E-6</c:v>
                </c:pt>
                <c:pt idx="40">
                  <c:v>9.0157480314960633E-6</c:v>
                </c:pt>
                <c:pt idx="41">
                  <c:v>9.1338582677165359E-6</c:v>
                </c:pt>
                <c:pt idx="42">
                  <c:v>9.2913385826771654E-6</c:v>
                </c:pt>
                <c:pt idx="43">
                  <c:v>9.5275590551181123E-6</c:v>
                </c:pt>
                <c:pt idx="44">
                  <c:v>9.8425196850393713E-6</c:v>
                </c:pt>
                <c:pt idx="45">
                  <c:v>1.0196850393700786E-5</c:v>
                </c:pt>
                <c:pt idx="46">
                  <c:v>1.0629921259842521E-5</c:v>
                </c:pt>
                <c:pt idx="47">
                  <c:v>1.1062992125984252E-5</c:v>
                </c:pt>
                <c:pt idx="48">
                  <c:v>1.1574803149606299E-5</c:v>
                </c:pt>
                <c:pt idx="49">
                  <c:v>1.2086614173228347E-5</c:v>
                </c:pt>
                <c:pt idx="50">
                  <c:v>1.2677165354330709E-5</c:v>
                </c:pt>
                <c:pt idx="51">
                  <c:v>1.3267716535433072E-5</c:v>
                </c:pt>
                <c:pt idx="52">
                  <c:v>1.3897637795275592E-5</c:v>
                </c:pt>
                <c:pt idx="53">
                  <c:v>1.4566929133858269E-5</c:v>
                </c:pt>
                <c:pt idx="54">
                  <c:v>1.5314960629921261E-5</c:v>
                </c:pt>
                <c:pt idx="55">
                  <c:v>1.610236220472441E-5</c:v>
                </c:pt>
                <c:pt idx="56">
                  <c:v>1.6929133858267718E-5</c:v>
                </c:pt>
                <c:pt idx="57">
                  <c:v>1.783464566929134E-5</c:v>
                </c:pt>
                <c:pt idx="58">
                  <c:v>1.8858267716535435E-5</c:v>
                </c:pt>
                <c:pt idx="59">
                  <c:v>1.9921259842519688E-5</c:v>
                </c:pt>
                <c:pt idx="60">
                  <c:v>2.110236220472441E-5</c:v>
                </c:pt>
                <c:pt idx="61">
                  <c:v>2.2362204724409453E-5</c:v>
                </c:pt>
                <c:pt idx="62">
                  <c:v>2.3661417322834651E-5</c:v>
                </c:pt>
                <c:pt idx="63">
                  <c:v>2.4960629921259846E-5</c:v>
                </c:pt>
                <c:pt idx="64">
                  <c:v>2.6259842519685044E-5</c:v>
                </c:pt>
                <c:pt idx="65">
                  <c:v>2.7480314960629925E-5</c:v>
                </c:pt>
                <c:pt idx="66">
                  <c:v>2.8543307086614178E-5</c:v>
                </c:pt>
                <c:pt idx="67">
                  <c:v>2.9409448818897641E-5</c:v>
                </c:pt>
                <c:pt idx="68">
                  <c:v>3.0000000000000001E-5</c:v>
                </c:pt>
                <c:pt idx="69">
                  <c:v>3.0314960629921263E-5</c:v>
                </c:pt>
                <c:pt idx="70">
                  <c:v>3.0314960629921263E-5</c:v>
                </c:pt>
                <c:pt idx="71">
                  <c:v>3.0039370078740159E-5</c:v>
                </c:pt>
                <c:pt idx="72">
                  <c:v>2.9566929133858273E-5</c:v>
                </c:pt>
                <c:pt idx="73">
                  <c:v>2.8897637795275589E-5</c:v>
                </c:pt>
                <c:pt idx="74">
                  <c:v>2.8110236220472443E-5</c:v>
                </c:pt>
                <c:pt idx="75">
                  <c:v>2.724409448818898E-5</c:v>
                </c:pt>
                <c:pt idx="76">
                  <c:v>2.6338582677165355E-5</c:v>
                </c:pt>
                <c:pt idx="77">
                  <c:v>2.5472440944881891E-5</c:v>
                </c:pt>
                <c:pt idx="78">
                  <c:v>2.4606299212598428E-5</c:v>
                </c:pt>
                <c:pt idx="79">
                  <c:v>2.3779527559055117E-5</c:v>
                </c:pt>
                <c:pt idx="80">
                  <c:v>2.2992125984251971E-5</c:v>
                </c:pt>
                <c:pt idx="81">
                  <c:v>2.2283464566929136E-5</c:v>
                </c:pt>
                <c:pt idx="82">
                  <c:v>2.15748031496063E-5</c:v>
                </c:pt>
                <c:pt idx="83">
                  <c:v>2.0944881889763782E-5</c:v>
                </c:pt>
                <c:pt idx="84">
                  <c:v>2.0354330708661419E-5</c:v>
                </c:pt>
                <c:pt idx="85">
                  <c:v>1.9803149606299212E-5</c:v>
                </c:pt>
                <c:pt idx="86">
                  <c:v>1.9291338582677166E-5</c:v>
                </c:pt>
                <c:pt idx="87">
                  <c:v>1.8818897637795276E-5</c:v>
                </c:pt>
                <c:pt idx="88">
                  <c:v>1.8385826771653544E-5</c:v>
                </c:pt>
                <c:pt idx="89">
                  <c:v>1.7952755905511813E-5</c:v>
                </c:pt>
                <c:pt idx="90">
                  <c:v>1.7559055118110236E-5</c:v>
                </c:pt>
                <c:pt idx="91">
                  <c:v>1.7204724409448819E-5</c:v>
                </c:pt>
                <c:pt idx="92">
                  <c:v>1.6850393700787401E-5</c:v>
                </c:pt>
                <c:pt idx="93">
                  <c:v>1.6535433070866142E-5</c:v>
                </c:pt>
                <c:pt idx="94">
                  <c:v>1.6259842519685042E-5</c:v>
                </c:pt>
                <c:pt idx="95">
                  <c:v>1.5944881889763779E-5</c:v>
                </c:pt>
                <c:pt idx="96">
                  <c:v>1.5708661417322834E-5</c:v>
                </c:pt>
                <c:pt idx="97">
                  <c:v>1.5433070866141734E-5</c:v>
                </c:pt>
                <c:pt idx="98">
                  <c:v>1.5196850393700789E-5</c:v>
                </c:pt>
                <c:pt idx="99">
                  <c:v>1.5E-5</c:v>
                </c:pt>
                <c:pt idx="100">
                  <c:v>1.4803149606299212E-5</c:v>
                </c:pt>
                <c:pt idx="101">
                  <c:v>1.4606299212598424E-5</c:v>
                </c:pt>
                <c:pt idx="102">
                  <c:v>1.4409448818897639E-5</c:v>
                </c:pt>
                <c:pt idx="103">
                  <c:v>1.4212598425196851E-5</c:v>
                </c:pt>
                <c:pt idx="104">
                  <c:v>1.4055118110236222E-5</c:v>
                </c:pt>
                <c:pt idx="105">
                  <c:v>1.3897637795275592E-5</c:v>
                </c:pt>
                <c:pt idx="106">
                  <c:v>1.3740157480314963E-5</c:v>
                </c:pt>
                <c:pt idx="107">
                  <c:v>1.3582677165354331E-5</c:v>
                </c:pt>
                <c:pt idx="108">
                  <c:v>1.346456692913386E-5</c:v>
                </c:pt>
                <c:pt idx="109">
                  <c:v>1.3307086614173228E-5</c:v>
                </c:pt>
                <c:pt idx="110">
                  <c:v>1.3188976377952757E-5</c:v>
                </c:pt>
                <c:pt idx="111">
                  <c:v>1.3070866141732284E-5</c:v>
                </c:pt>
                <c:pt idx="112">
                  <c:v>1.2952755905511812E-5</c:v>
                </c:pt>
                <c:pt idx="113">
                  <c:v>1.2874015748031496E-5</c:v>
                </c:pt>
                <c:pt idx="114">
                  <c:v>1.2755905511811025E-5</c:v>
                </c:pt>
                <c:pt idx="115">
                  <c:v>1.2677165354330709E-5</c:v>
                </c:pt>
                <c:pt idx="116">
                  <c:v>1.2598425196850396E-5</c:v>
                </c:pt>
                <c:pt idx="117">
                  <c:v>1.2480314960629923E-5</c:v>
                </c:pt>
                <c:pt idx="118">
                  <c:v>1.2401574803149607E-5</c:v>
                </c:pt>
                <c:pt idx="119">
                  <c:v>1.2322834645669293E-5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401-4E6A-BFB9-258CE5EF378E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P3_LB!$A$7:$A$126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P3_LB!$H$7:$H$126</c:f>
              <c:numCache>
                <c:formatCode>0.00E+00</c:formatCode>
                <c:ptCount val="120"/>
                <c:pt idx="0">
                  <c:v>2.1968503937007874E-8</c:v>
                </c:pt>
                <c:pt idx="1">
                  <c:v>8.740157480314962E-8</c:v>
                </c:pt>
                <c:pt idx="2">
                  <c:v>1.9606299212598426E-7</c:v>
                </c:pt>
                <c:pt idx="3">
                  <c:v>3.4724409448818898E-7</c:v>
                </c:pt>
                <c:pt idx="4">
                  <c:v>5.4330708661417324E-7</c:v>
                </c:pt>
                <c:pt idx="5">
                  <c:v>7.7952755905511816E-7</c:v>
                </c:pt>
                <c:pt idx="6">
                  <c:v>1.0669291338582678E-6</c:v>
                </c:pt>
                <c:pt idx="7">
                  <c:v>1.4094488188976379E-6</c:v>
                </c:pt>
                <c:pt idx="8">
                  <c:v>1.799212598425197E-6</c:v>
                </c:pt>
                <c:pt idx="9">
                  <c:v>2.2519685039370082E-6</c:v>
                </c:pt>
                <c:pt idx="10">
                  <c:v>2.7637795275590558E-6</c:v>
                </c:pt>
                <c:pt idx="11">
                  <c:v>3.3385826771653546E-6</c:v>
                </c:pt>
                <c:pt idx="12">
                  <c:v>3.976377952755906E-6</c:v>
                </c:pt>
                <c:pt idx="13">
                  <c:v>4.7244094488188975E-6</c:v>
                </c:pt>
                <c:pt idx="14">
                  <c:v>5.5511811023622054E-6</c:v>
                </c:pt>
                <c:pt idx="15">
                  <c:v>6.4960629921259842E-6</c:v>
                </c:pt>
                <c:pt idx="16">
                  <c:v>7.5590551181102365E-6</c:v>
                </c:pt>
                <c:pt idx="17">
                  <c:v>8.7795275590551182E-6</c:v>
                </c:pt>
                <c:pt idx="18">
                  <c:v>1.015748031496063E-5</c:v>
                </c:pt>
                <c:pt idx="19">
                  <c:v>1.1771653543307088E-5</c:v>
                </c:pt>
                <c:pt idx="20">
                  <c:v>1.3661417322834647E-5</c:v>
                </c:pt>
                <c:pt idx="21">
                  <c:v>1.5944881889763779E-5</c:v>
                </c:pt>
                <c:pt idx="22">
                  <c:v>1.862204724409449E-5</c:v>
                </c:pt>
                <c:pt idx="23">
                  <c:v>2.1889763779527559E-5</c:v>
                </c:pt>
                <c:pt idx="24">
                  <c:v>2.5905511811023623E-5</c:v>
                </c:pt>
                <c:pt idx="25">
                  <c:v>3.0826771653543309E-5</c:v>
                </c:pt>
                <c:pt idx="26">
                  <c:v>3.6771653543307089E-5</c:v>
                </c:pt>
                <c:pt idx="27">
                  <c:v>4.3307086614173235E-5</c:v>
                </c:pt>
                <c:pt idx="28">
                  <c:v>5.0393700787401582E-5</c:v>
                </c:pt>
                <c:pt idx="29">
                  <c:v>5.6299212598425204E-5</c:v>
                </c:pt>
                <c:pt idx="30">
                  <c:v>5.9842519685039374E-5</c:v>
                </c:pt>
                <c:pt idx="31">
                  <c:v>6.1023622047244093E-5</c:v>
                </c:pt>
                <c:pt idx="32">
                  <c:v>5.9448818897637794E-5</c:v>
                </c:pt>
                <c:pt idx="33">
                  <c:v>5.669291338582677E-5</c:v>
                </c:pt>
                <c:pt idx="34">
                  <c:v>5.3149606299212606E-5</c:v>
                </c:pt>
                <c:pt idx="35">
                  <c:v>4.9212598425196856E-5</c:v>
                </c:pt>
                <c:pt idx="36">
                  <c:v>4.5275590551181107E-5</c:v>
                </c:pt>
                <c:pt idx="37">
                  <c:v>4.1338582677165357E-5</c:v>
                </c:pt>
                <c:pt idx="38">
                  <c:v>3.7637795275590552E-5</c:v>
                </c:pt>
                <c:pt idx="39">
                  <c:v>3.4055118110236223E-5</c:v>
                </c:pt>
                <c:pt idx="40">
                  <c:v>3.0629921259842522E-5</c:v>
                </c:pt>
                <c:pt idx="41">
                  <c:v>2.7401574803149608E-5</c:v>
                </c:pt>
                <c:pt idx="42">
                  <c:v>2.4409448818897638E-5</c:v>
                </c:pt>
                <c:pt idx="43">
                  <c:v>2.1771653543307087E-5</c:v>
                </c:pt>
                <c:pt idx="44">
                  <c:v>1.9606299212598429E-5</c:v>
                </c:pt>
                <c:pt idx="45">
                  <c:v>1.8031496062992127E-5</c:v>
                </c:pt>
                <c:pt idx="46">
                  <c:v>1.7204724409448819E-5</c:v>
                </c:pt>
                <c:pt idx="47">
                  <c:v>1.736220472440945E-5</c:v>
                </c:pt>
                <c:pt idx="48">
                  <c:v>1.8425196850393703E-5</c:v>
                </c:pt>
                <c:pt idx="49">
                  <c:v>2.0354330708661419E-5</c:v>
                </c:pt>
                <c:pt idx="50">
                  <c:v>2.2913385826771654E-5</c:v>
                </c:pt>
                <c:pt idx="51">
                  <c:v>2.5905511811023623E-5</c:v>
                </c:pt>
                <c:pt idx="52">
                  <c:v>2.9133858267716538E-5</c:v>
                </c:pt>
                <c:pt idx="53">
                  <c:v>3.2401574803149607E-5</c:v>
                </c:pt>
                <c:pt idx="54">
                  <c:v>3.566929133858268E-5</c:v>
                </c:pt>
                <c:pt idx="55">
                  <c:v>3.8779527559055126E-5</c:v>
                </c:pt>
                <c:pt idx="56">
                  <c:v>4.173228346456693E-5</c:v>
                </c:pt>
                <c:pt idx="57">
                  <c:v>4.4488188976377954E-5</c:v>
                </c:pt>
                <c:pt idx="58">
                  <c:v>4.6850393700787405E-5</c:v>
                </c:pt>
                <c:pt idx="59">
                  <c:v>4.9212598425196856E-5</c:v>
                </c:pt>
                <c:pt idx="60">
                  <c:v>5.1181102362204728E-5</c:v>
                </c:pt>
                <c:pt idx="61">
                  <c:v>5.2755905511811027E-5</c:v>
                </c:pt>
                <c:pt idx="62">
                  <c:v>5.4330708661417325E-5</c:v>
                </c:pt>
                <c:pt idx="63">
                  <c:v>5.5511811023622051E-5</c:v>
                </c:pt>
                <c:pt idx="64">
                  <c:v>5.6299212598425204E-5</c:v>
                </c:pt>
                <c:pt idx="65">
                  <c:v>5.7086614173228356E-5</c:v>
                </c:pt>
                <c:pt idx="66">
                  <c:v>5.7874015748031495E-5</c:v>
                </c:pt>
                <c:pt idx="67">
                  <c:v>5.8267716535433075E-5</c:v>
                </c:pt>
                <c:pt idx="68">
                  <c:v>5.8661417322834648E-5</c:v>
                </c:pt>
                <c:pt idx="69">
                  <c:v>5.8661417322834648E-5</c:v>
                </c:pt>
                <c:pt idx="70">
                  <c:v>5.8661417322834648E-5</c:v>
                </c:pt>
                <c:pt idx="71">
                  <c:v>5.8267716535433075E-5</c:v>
                </c:pt>
                <c:pt idx="72">
                  <c:v>5.7874015748031495E-5</c:v>
                </c:pt>
                <c:pt idx="73">
                  <c:v>5.7874015748031495E-5</c:v>
                </c:pt>
                <c:pt idx="74">
                  <c:v>5.7480314960629922E-5</c:v>
                </c:pt>
                <c:pt idx="75">
                  <c:v>5.7086614173228356E-5</c:v>
                </c:pt>
                <c:pt idx="76">
                  <c:v>5.669291338582677E-5</c:v>
                </c:pt>
                <c:pt idx="77">
                  <c:v>5.6299212598425204E-5</c:v>
                </c:pt>
                <c:pt idx="78">
                  <c:v>5.5905511811023624E-5</c:v>
                </c:pt>
                <c:pt idx="79">
                  <c:v>5.5511811023622051E-5</c:v>
                </c:pt>
                <c:pt idx="80">
                  <c:v>5.5118110236220478E-5</c:v>
                </c:pt>
                <c:pt idx="81">
                  <c:v>5.4724409448818898E-5</c:v>
                </c:pt>
                <c:pt idx="82">
                  <c:v>5.4724409448818898E-5</c:v>
                </c:pt>
                <c:pt idx="83">
                  <c:v>5.4330708661417325E-5</c:v>
                </c:pt>
                <c:pt idx="84">
                  <c:v>5.3937007874015745E-5</c:v>
                </c:pt>
                <c:pt idx="85">
                  <c:v>5.3543307086614173E-5</c:v>
                </c:pt>
                <c:pt idx="86">
                  <c:v>5.3149606299212606E-5</c:v>
                </c:pt>
                <c:pt idx="87">
                  <c:v>5.2755905511811027E-5</c:v>
                </c:pt>
                <c:pt idx="88">
                  <c:v>5.2755905511811027E-5</c:v>
                </c:pt>
                <c:pt idx="89">
                  <c:v>5.2362204724409454E-5</c:v>
                </c:pt>
                <c:pt idx="90">
                  <c:v>5.1968503937007874E-5</c:v>
                </c:pt>
                <c:pt idx="91">
                  <c:v>5.1968503937007874E-5</c:v>
                </c:pt>
                <c:pt idx="92">
                  <c:v>5.1574803149606301E-5</c:v>
                </c:pt>
                <c:pt idx="93">
                  <c:v>5.1181102362204728E-5</c:v>
                </c:pt>
                <c:pt idx="94">
                  <c:v>5.1181102362204728E-5</c:v>
                </c:pt>
                <c:pt idx="95">
                  <c:v>5.0787401574803148E-5</c:v>
                </c:pt>
                <c:pt idx="96">
                  <c:v>5.0787401574803148E-5</c:v>
                </c:pt>
                <c:pt idx="97">
                  <c:v>5.0393700787401582E-5</c:v>
                </c:pt>
                <c:pt idx="98">
                  <c:v>5.0393700787401582E-5</c:v>
                </c:pt>
                <c:pt idx="99">
                  <c:v>4.9999999999999996E-5</c:v>
                </c:pt>
                <c:pt idx="100">
                  <c:v>4.9999999999999996E-5</c:v>
                </c:pt>
                <c:pt idx="101">
                  <c:v>4.9606299212598429E-5</c:v>
                </c:pt>
                <c:pt idx="102">
                  <c:v>4.9606299212598429E-5</c:v>
                </c:pt>
                <c:pt idx="103">
                  <c:v>4.9606299212598429E-5</c:v>
                </c:pt>
                <c:pt idx="104">
                  <c:v>4.9212598425196856E-5</c:v>
                </c:pt>
                <c:pt idx="105">
                  <c:v>4.9212598425196856E-5</c:v>
                </c:pt>
                <c:pt idx="106">
                  <c:v>4.8818897637795277E-5</c:v>
                </c:pt>
                <c:pt idx="107">
                  <c:v>4.8818897637795277E-5</c:v>
                </c:pt>
                <c:pt idx="108">
                  <c:v>4.8818897637795277E-5</c:v>
                </c:pt>
                <c:pt idx="109">
                  <c:v>4.8425196850393711E-5</c:v>
                </c:pt>
                <c:pt idx="110">
                  <c:v>4.8425196850393711E-5</c:v>
                </c:pt>
                <c:pt idx="111">
                  <c:v>4.8031496062992124E-5</c:v>
                </c:pt>
                <c:pt idx="112">
                  <c:v>4.8031496062992124E-5</c:v>
                </c:pt>
                <c:pt idx="113">
                  <c:v>4.8031496062992124E-5</c:v>
                </c:pt>
                <c:pt idx="114">
                  <c:v>4.7637795275590558E-5</c:v>
                </c:pt>
                <c:pt idx="115">
                  <c:v>4.7637795275590558E-5</c:v>
                </c:pt>
                <c:pt idx="116">
                  <c:v>4.7637795275590558E-5</c:v>
                </c:pt>
                <c:pt idx="117">
                  <c:v>4.7244094488188978E-5</c:v>
                </c:pt>
                <c:pt idx="118">
                  <c:v>4.7244094488188978E-5</c:v>
                </c:pt>
                <c:pt idx="119">
                  <c:v>4.7244094488188978E-5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401-4E6A-BFB9-258CE5EF378E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2401-4E6A-BFB9-258CE5EF378E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5.5551181102362203E-4</c:v>
                </c:pt>
                <c:pt idx="1">
                  <c:v>5.5551181102362203E-4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401-4E6A-BFB9-258CE5EF3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A-4AF3-BEA4-1B597245E8A6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5A-4AF3-BEA4-1B597245E8A6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5A-4AF3-BEA4-1B597245E8A6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5A-4AF3-BEA4-1B597245E8A6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5A-4AF3-BEA4-1B597245E8A6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5A-4AF3-BEA4-1B597245E8A6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B5A-4AF3-BEA4-1B597245E8A6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B5A-4AF3-BEA4-1B597245E8A6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B5A-4AF3-BEA4-1B597245E8A6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B5A-4AF3-BEA4-1B597245E8A6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B5A-4AF3-BEA4-1B597245E8A6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B5A-4AF3-BEA4-1B597245E8A6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B5A-4AF3-BEA4-1B597245E8A6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B5A-4AF3-BEA4-1B597245E8A6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B5A-4AF3-BEA4-1B597245E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35-4B10-8798-188ED00FA98F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35-4B10-8798-188ED00FA98F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35-4B10-8798-188ED00FA98F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35-4B10-8798-188ED00FA98F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35-4B10-8798-188ED00FA98F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35-4B10-8798-188ED00FA98F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35-4B10-8798-188ED00FA98F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35-4B10-8798-188ED00FA98F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35-4B10-8798-188ED00FA98F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35-4B10-8798-188ED00FA98F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35-4B10-8798-188ED00FA98F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P4_LB!$A$7:$A$126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P4_LB!$F$7:$F$126</c:f>
              <c:numCache>
                <c:formatCode>0.00E+00</c:formatCode>
                <c:ptCount val="120"/>
                <c:pt idx="0">
                  <c:v>3.0314960629921261E-8</c:v>
                </c:pt>
                <c:pt idx="1">
                  <c:v>1.2165354330708663E-7</c:v>
                </c:pt>
                <c:pt idx="2">
                  <c:v>2.7598425196850396E-7</c:v>
                </c:pt>
                <c:pt idx="3">
                  <c:v>4.960629921259843E-7</c:v>
                </c:pt>
                <c:pt idx="4">
                  <c:v>7.8740157480314972E-7</c:v>
                </c:pt>
                <c:pt idx="5">
                  <c:v>1.1496062992125985E-6</c:v>
                </c:pt>
                <c:pt idx="6">
                  <c:v>1.5944881889763781E-6</c:v>
                </c:pt>
                <c:pt idx="7">
                  <c:v>2.1299212598425198E-6</c:v>
                </c:pt>
                <c:pt idx="8">
                  <c:v>2.7598425196850392E-6</c:v>
                </c:pt>
                <c:pt idx="9">
                  <c:v>3.5039370078740162E-6</c:v>
                </c:pt>
                <c:pt idx="10">
                  <c:v>4.3700787401574806E-6</c:v>
                </c:pt>
                <c:pt idx="11">
                  <c:v>5.3543307086614173E-6</c:v>
                </c:pt>
                <c:pt idx="12">
                  <c:v>6.535433070866142E-6</c:v>
                </c:pt>
                <c:pt idx="13">
                  <c:v>7.8740157480314964E-6</c:v>
                </c:pt>
                <c:pt idx="14">
                  <c:v>9.448818897637795E-6</c:v>
                </c:pt>
                <c:pt idx="15">
                  <c:v>1.1299212598425199E-5</c:v>
                </c:pt>
                <c:pt idx="16">
                  <c:v>1.346456692913386E-5</c:v>
                </c:pt>
                <c:pt idx="17">
                  <c:v>1.5944881889763779E-5</c:v>
                </c:pt>
                <c:pt idx="18">
                  <c:v>1.8858267716535435E-5</c:v>
                </c:pt>
                <c:pt idx="19">
                  <c:v>2.2322834645669294E-5</c:v>
                </c:pt>
                <c:pt idx="20">
                  <c:v>2.6456692913385827E-5</c:v>
                </c:pt>
                <c:pt idx="21">
                  <c:v>3.1377952755905509E-5</c:v>
                </c:pt>
                <c:pt idx="22">
                  <c:v>3.732283464566929E-5</c:v>
                </c:pt>
                <c:pt idx="23">
                  <c:v>4.4488188976377954E-5</c:v>
                </c:pt>
                <c:pt idx="24">
                  <c:v>5.3149606299212606E-5</c:v>
                </c:pt>
                <c:pt idx="25">
                  <c:v>6.3779527559055117E-5</c:v>
                </c:pt>
                <c:pt idx="26">
                  <c:v>7.559055118110236E-5</c:v>
                </c:pt>
                <c:pt idx="27">
                  <c:v>8.8582677165354348E-5</c:v>
                </c:pt>
                <c:pt idx="28">
                  <c:v>1.015748031496063E-4</c:v>
                </c:pt>
                <c:pt idx="29">
                  <c:v>1.1141732283464567E-4</c:v>
                </c:pt>
                <c:pt idx="30">
                  <c:v>1.1692913385826772E-4</c:v>
                </c:pt>
                <c:pt idx="31">
                  <c:v>1.173228346456693E-4</c:v>
                </c:pt>
                <c:pt idx="32">
                  <c:v>1.1377952755905511E-4</c:v>
                </c:pt>
                <c:pt idx="33">
                  <c:v>1.0866141732283465E-4</c:v>
                </c:pt>
                <c:pt idx="34">
                  <c:v>1.0275590551181103E-4</c:v>
                </c:pt>
                <c:pt idx="35">
                  <c:v>9.7244094488188981E-5</c:v>
                </c:pt>
                <c:pt idx="36">
                  <c:v>9.2519685039370092E-5</c:v>
                </c:pt>
                <c:pt idx="37">
                  <c:v>8.8188976377952775E-5</c:v>
                </c:pt>
                <c:pt idx="38">
                  <c:v>8.5039370078740165E-5</c:v>
                </c:pt>
                <c:pt idx="39">
                  <c:v>8.1889763779527554E-5</c:v>
                </c:pt>
                <c:pt idx="40">
                  <c:v>7.9527559055118116E-5</c:v>
                </c:pt>
                <c:pt idx="41">
                  <c:v>7.7559055118110252E-5</c:v>
                </c:pt>
                <c:pt idx="42">
                  <c:v>7.6377952755905519E-5</c:v>
                </c:pt>
                <c:pt idx="43">
                  <c:v>7.4803149606299214E-5</c:v>
                </c:pt>
                <c:pt idx="44">
                  <c:v>7.4015748031496068E-5</c:v>
                </c:pt>
                <c:pt idx="45">
                  <c:v>7.3622047244094495E-5</c:v>
                </c:pt>
                <c:pt idx="46">
                  <c:v>7.2834645669291349E-5</c:v>
                </c:pt>
                <c:pt idx="47">
                  <c:v>7.2834645669291349E-5</c:v>
                </c:pt>
                <c:pt idx="48">
                  <c:v>7.2834645669291349E-5</c:v>
                </c:pt>
                <c:pt idx="49">
                  <c:v>7.2834645669291349E-5</c:v>
                </c:pt>
                <c:pt idx="50">
                  <c:v>7.2834645669291349E-5</c:v>
                </c:pt>
                <c:pt idx="51">
                  <c:v>7.3228346456692908E-5</c:v>
                </c:pt>
                <c:pt idx="52">
                  <c:v>7.3622047244094495E-5</c:v>
                </c:pt>
                <c:pt idx="53">
                  <c:v>7.4409448818897641E-5</c:v>
                </c:pt>
                <c:pt idx="54">
                  <c:v>7.4803149606299214E-5</c:v>
                </c:pt>
                <c:pt idx="55">
                  <c:v>7.559055118110236E-5</c:v>
                </c:pt>
                <c:pt idx="56">
                  <c:v>7.6377952755905519E-5</c:v>
                </c:pt>
                <c:pt idx="57">
                  <c:v>7.7559055118110252E-5</c:v>
                </c:pt>
                <c:pt idx="58">
                  <c:v>7.8346456692913397E-5</c:v>
                </c:pt>
                <c:pt idx="59">
                  <c:v>7.913385826771653E-5</c:v>
                </c:pt>
                <c:pt idx="60">
                  <c:v>8.0314960629921276E-5</c:v>
                </c:pt>
                <c:pt idx="61">
                  <c:v>8.1102362204724422E-5</c:v>
                </c:pt>
                <c:pt idx="62">
                  <c:v>8.1889763779527554E-5</c:v>
                </c:pt>
                <c:pt idx="63">
                  <c:v>8.2283464566929127E-5</c:v>
                </c:pt>
                <c:pt idx="64">
                  <c:v>8.2677165354330713E-5</c:v>
                </c:pt>
                <c:pt idx="65">
                  <c:v>8.2283464566929127E-5</c:v>
                </c:pt>
                <c:pt idx="66">
                  <c:v>8.1496062992125995E-5</c:v>
                </c:pt>
                <c:pt idx="67">
                  <c:v>7.9921259842519689E-5</c:v>
                </c:pt>
                <c:pt idx="68">
                  <c:v>7.7952755905511811E-5</c:v>
                </c:pt>
                <c:pt idx="69">
                  <c:v>7.5196850393700787E-5</c:v>
                </c:pt>
                <c:pt idx="70">
                  <c:v>7.1653543307086617E-5</c:v>
                </c:pt>
                <c:pt idx="71">
                  <c:v>6.7716535433070873E-5</c:v>
                </c:pt>
                <c:pt idx="72">
                  <c:v>6.3385826771653557E-5</c:v>
                </c:pt>
                <c:pt idx="73">
                  <c:v>5.9055118110236228E-5</c:v>
                </c:pt>
                <c:pt idx="74">
                  <c:v>5.5118110236220478E-5</c:v>
                </c:pt>
                <c:pt idx="75">
                  <c:v>5.0787401574803148E-5</c:v>
                </c:pt>
                <c:pt idx="76">
                  <c:v>4.7244094488188978E-5</c:v>
                </c:pt>
                <c:pt idx="77">
                  <c:v>4.3700787401574801E-5</c:v>
                </c:pt>
                <c:pt idx="78">
                  <c:v>4.0157480314960638E-5</c:v>
                </c:pt>
                <c:pt idx="79">
                  <c:v>3.720472440944882E-5</c:v>
                </c:pt>
                <c:pt idx="80">
                  <c:v>3.4488188976377955E-5</c:v>
                </c:pt>
                <c:pt idx="81">
                  <c:v>3.1968503937007876E-5</c:v>
                </c:pt>
                <c:pt idx="82">
                  <c:v>2.9724409448818897E-5</c:v>
                </c:pt>
                <c:pt idx="83">
                  <c:v>2.7637795275590553E-5</c:v>
                </c:pt>
                <c:pt idx="84">
                  <c:v>2.578740157480315E-5</c:v>
                </c:pt>
                <c:pt idx="85">
                  <c:v>2.4094488188976379E-5</c:v>
                </c:pt>
                <c:pt idx="86">
                  <c:v>2.2559055118110236E-5</c:v>
                </c:pt>
                <c:pt idx="87">
                  <c:v>2.1181102362204724E-5</c:v>
                </c:pt>
                <c:pt idx="88">
                  <c:v>1.9921259842519688E-5</c:v>
                </c:pt>
                <c:pt idx="89">
                  <c:v>1.8818897637795276E-5</c:v>
                </c:pt>
                <c:pt idx="90">
                  <c:v>1.7795275590551185E-5</c:v>
                </c:pt>
                <c:pt idx="91">
                  <c:v>1.688976377952756E-5</c:v>
                </c:pt>
                <c:pt idx="92">
                  <c:v>1.6023622047244093E-5</c:v>
                </c:pt>
                <c:pt idx="93">
                  <c:v>1.5275590551181102E-5</c:v>
                </c:pt>
                <c:pt idx="94">
                  <c:v>1.4606299212598424E-5</c:v>
                </c:pt>
                <c:pt idx="95">
                  <c:v>1.3976377952755906E-5</c:v>
                </c:pt>
                <c:pt idx="96">
                  <c:v>1.3425196850393702E-5</c:v>
                </c:pt>
                <c:pt idx="97">
                  <c:v>1.2952755905511812E-5</c:v>
                </c:pt>
                <c:pt idx="98">
                  <c:v>1.251968503937008E-5</c:v>
                </c:pt>
                <c:pt idx="99">
                  <c:v>1.2125984251968505E-5</c:v>
                </c:pt>
                <c:pt idx="100">
                  <c:v>1.1771653543307088E-5</c:v>
                </c:pt>
                <c:pt idx="101">
                  <c:v>1.1456692913385827E-5</c:v>
                </c:pt>
                <c:pt idx="102">
                  <c:v>1.1181102362204726E-5</c:v>
                </c:pt>
                <c:pt idx="103">
                  <c:v>1.094488188976378E-5</c:v>
                </c:pt>
                <c:pt idx="104">
                  <c:v>1.0708661417322835E-5</c:v>
                </c:pt>
                <c:pt idx="105">
                  <c:v>1.0511811023622048E-5</c:v>
                </c:pt>
                <c:pt idx="106">
                  <c:v>1.0354330708661419E-5</c:v>
                </c:pt>
                <c:pt idx="107">
                  <c:v>1.0236220472440944E-5</c:v>
                </c:pt>
                <c:pt idx="108">
                  <c:v>1.0118110236220472E-5</c:v>
                </c:pt>
                <c:pt idx="109">
                  <c:v>1.0000000000000003E-5</c:v>
                </c:pt>
                <c:pt idx="110">
                  <c:v>9.9212598425196852E-6</c:v>
                </c:pt>
                <c:pt idx="111">
                  <c:v>9.8425196850393713E-6</c:v>
                </c:pt>
                <c:pt idx="112">
                  <c:v>9.8031496062992143E-6</c:v>
                </c:pt>
                <c:pt idx="113">
                  <c:v>9.724409448818897E-6</c:v>
                </c:pt>
                <c:pt idx="114">
                  <c:v>9.6850393700787418E-6</c:v>
                </c:pt>
                <c:pt idx="115">
                  <c:v>9.6456692913385831E-6</c:v>
                </c:pt>
                <c:pt idx="116">
                  <c:v>9.6456692913385831E-6</c:v>
                </c:pt>
                <c:pt idx="117">
                  <c:v>9.6062992125984262E-6</c:v>
                </c:pt>
                <c:pt idx="118">
                  <c:v>9.6062992125984262E-6</c:v>
                </c:pt>
                <c:pt idx="119">
                  <c:v>9.5669291338582675E-6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35-4B10-8798-188ED00FA98F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P4_LB!$A$7:$A$126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P4_LB!$G$7:$G$126</c:f>
              <c:numCache>
                <c:formatCode>0.00E+00</c:formatCode>
                <c:ptCount val="120"/>
                <c:pt idx="0">
                  <c:v>2.6653543307086611E-9</c:v>
                </c:pt>
                <c:pt idx="1">
                  <c:v>1.0708661417322836E-8</c:v>
                </c:pt>
                <c:pt idx="2">
                  <c:v>2.4251968503937008E-8</c:v>
                </c:pt>
                <c:pt idx="3">
                  <c:v>4.370078740157481E-8</c:v>
                </c:pt>
                <c:pt idx="4">
                  <c:v>6.8897637795275587E-8</c:v>
                </c:pt>
                <c:pt idx="5">
                  <c:v>1.0078740157480316E-7</c:v>
                </c:pt>
                <c:pt idx="6">
                  <c:v>1.3976377952755906E-7</c:v>
                </c:pt>
                <c:pt idx="7">
                  <c:v>1.8622047244094487E-7</c:v>
                </c:pt>
                <c:pt idx="8">
                  <c:v>2.4094488188976381E-7</c:v>
                </c:pt>
                <c:pt idx="9">
                  <c:v>3.0472440944881893E-7</c:v>
                </c:pt>
                <c:pt idx="10">
                  <c:v>3.7913385826771652E-7</c:v>
                </c:pt>
                <c:pt idx="11">
                  <c:v>4.6456692913385832E-7</c:v>
                </c:pt>
                <c:pt idx="12">
                  <c:v>5.6299212598425204E-7</c:v>
                </c:pt>
                <c:pt idx="13">
                  <c:v>6.7716535433070861E-7</c:v>
                </c:pt>
                <c:pt idx="14">
                  <c:v>8.0708661417322841E-7</c:v>
                </c:pt>
                <c:pt idx="15">
                  <c:v>9.5275590551181112E-7</c:v>
                </c:pt>
                <c:pt idx="16">
                  <c:v>1.1220472440944883E-6</c:v>
                </c:pt>
                <c:pt idx="17">
                  <c:v>1.3149606299212598E-6</c:v>
                </c:pt>
                <c:pt idx="18">
                  <c:v>1.5393700787401576E-6</c:v>
                </c:pt>
                <c:pt idx="19">
                  <c:v>1.795275590551181E-6</c:v>
                </c:pt>
                <c:pt idx="20">
                  <c:v>2.090551181102362E-6</c:v>
                </c:pt>
                <c:pt idx="21">
                  <c:v>2.4330708661417324E-6</c:v>
                </c:pt>
                <c:pt idx="22">
                  <c:v>2.834645669291339E-6</c:v>
                </c:pt>
                <c:pt idx="23">
                  <c:v>3.2992125984251968E-6</c:v>
                </c:pt>
                <c:pt idx="24">
                  <c:v>3.8385826771653549E-6</c:v>
                </c:pt>
                <c:pt idx="25">
                  <c:v>4.4488188976377962E-6</c:v>
                </c:pt>
                <c:pt idx="26">
                  <c:v>5.1574803149606299E-6</c:v>
                </c:pt>
                <c:pt idx="27">
                  <c:v>5.9448818897637792E-6</c:v>
                </c:pt>
                <c:pt idx="28">
                  <c:v>6.811023622047245E-6</c:v>
                </c:pt>
                <c:pt idx="29">
                  <c:v>7.6377952755905512E-6</c:v>
                </c:pt>
                <c:pt idx="30">
                  <c:v>8.3858267716535436E-6</c:v>
                </c:pt>
                <c:pt idx="31">
                  <c:v>8.9763779527559064E-6</c:v>
                </c:pt>
                <c:pt idx="32">
                  <c:v>9.370078740157481E-6</c:v>
                </c:pt>
                <c:pt idx="33">
                  <c:v>9.5275590551181123E-6</c:v>
                </c:pt>
                <c:pt idx="34">
                  <c:v>9.4881889763779536E-6</c:v>
                </c:pt>
                <c:pt idx="35">
                  <c:v>9.370078740157481E-6</c:v>
                </c:pt>
                <c:pt idx="36">
                  <c:v>9.2519685039370085E-6</c:v>
                </c:pt>
                <c:pt idx="37">
                  <c:v>9.0944881889763773E-6</c:v>
                </c:pt>
                <c:pt idx="38">
                  <c:v>9.0157480314960633E-6</c:v>
                </c:pt>
                <c:pt idx="39">
                  <c:v>8.9763779527559064E-6</c:v>
                </c:pt>
                <c:pt idx="40">
                  <c:v>9.0157480314960633E-6</c:v>
                </c:pt>
                <c:pt idx="41">
                  <c:v>9.1338582677165359E-6</c:v>
                </c:pt>
                <c:pt idx="42">
                  <c:v>9.2913385826771654E-6</c:v>
                </c:pt>
                <c:pt idx="43">
                  <c:v>9.5275590551181123E-6</c:v>
                </c:pt>
                <c:pt idx="44">
                  <c:v>9.8425196850393713E-6</c:v>
                </c:pt>
                <c:pt idx="45">
                  <c:v>1.0196850393700786E-5</c:v>
                </c:pt>
                <c:pt idx="46">
                  <c:v>1.0629921259842521E-5</c:v>
                </c:pt>
                <c:pt idx="47">
                  <c:v>1.1062992125984252E-5</c:v>
                </c:pt>
                <c:pt idx="48">
                  <c:v>1.1574803149606299E-5</c:v>
                </c:pt>
                <c:pt idx="49">
                  <c:v>1.2086614173228347E-5</c:v>
                </c:pt>
                <c:pt idx="50">
                  <c:v>1.2677165354330709E-5</c:v>
                </c:pt>
                <c:pt idx="51">
                  <c:v>1.3267716535433072E-5</c:v>
                </c:pt>
                <c:pt idx="52">
                  <c:v>1.3897637795275592E-5</c:v>
                </c:pt>
                <c:pt idx="53">
                  <c:v>1.4566929133858269E-5</c:v>
                </c:pt>
                <c:pt idx="54">
                  <c:v>1.5314960629921261E-5</c:v>
                </c:pt>
                <c:pt idx="55">
                  <c:v>1.610236220472441E-5</c:v>
                </c:pt>
                <c:pt idx="56">
                  <c:v>1.6929133858267718E-5</c:v>
                </c:pt>
                <c:pt idx="57">
                  <c:v>1.783464566929134E-5</c:v>
                </c:pt>
                <c:pt idx="58">
                  <c:v>1.8858267716535435E-5</c:v>
                </c:pt>
                <c:pt idx="59">
                  <c:v>1.9921259842519688E-5</c:v>
                </c:pt>
                <c:pt idx="60">
                  <c:v>2.110236220472441E-5</c:v>
                </c:pt>
                <c:pt idx="61">
                  <c:v>2.2362204724409453E-5</c:v>
                </c:pt>
                <c:pt idx="62">
                  <c:v>2.3661417322834651E-5</c:v>
                </c:pt>
                <c:pt idx="63">
                  <c:v>2.4960629921259846E-5</c:v>
                </c:pt>
                <c:pt idx="64">
                  <c:v>2.6259842519685044E-5</c:v>
                </c:pt>
                <c:pt idx="65">
                  <c:v>2.7480314960629925E-5</c:v>
                </c:pt>
                <c:pt idx="66">
                  <c:v>2.8543307086614178E-5</c:v>
                </c:pt>
                <c:pt idx="67">
                  <c:v>2.9409448818897641E-5</c:v>
                </c:pt>
                <c:pt idx="68">
                  <c:v>3.0000000000000001E-5</c:v>
                </c:pt>
                <c:pt idx="69">
                  <c:v>3.0314960629921263E-5</c:v>
                </c:pt>
                <c:pt idx="70">
                  <c:v>3.0314960629921263E-5</c:v>
                </c:pt>
                <c:pt idx="71">
                  <c:v>3.0039370078740159E-5</c:v>
                </c:pt>
                <c:pt idx="72">
                  <c:v>2.9566929133858273E-5</c:v>
                </c:pt>
                <c:pt idx="73">
                  <c:v>2.8897637795275589E-5</c:v>
                </c:pt>
                <c:pt idx="74">
                  <c:v>2.8110236220472443E-5</c:v>
                </c:pt>
                <c:pt idx="75">
                  <c:v>2.724409448818898E-5</c:v>
                </c:pt>
                <c:pt idx="76">
                  <c:v>2.6338582677165355E-5</c:v>
                </c:pt>
                <c:pt idx="77">
                  <c:v>2.5472440944881891E-5</c:v>
                </c:pt>
                <c:pt idx="78">
                  <c:v>2.4606299212598428E-5</c:v>
                </c:pt>
                <c:pt idx="79">
                  <c:v>2.3779527559055117E-5</c:v>
                </c:pt>
                <c:pt idx="80">
                  <c:v>2.2992125984251971E-5</c:v>
                </c:pt>
                <c:pt idx="81">
                  <c:v>2.2283464566929136E-5</c:v>
                </c:pt>
                <c:pt idx="82">
                  <c:v>2.15748031496063E-5</c:v>
                </c:pt>
                <c:pt idx="83">
                  <c:v>2.0944881889763782E-5</c:v>
                </c:pt>
                <c:pt idx="84">
                  <c:v>2.0354330708661419E-5</c:v>
                </c:pt>
                <c:pt idx="85">
                  <c:v>1.9803149606299212E-5</c:v>
                </c:pt>
                <c:pt idx="86">
                  <c:v>1.9291338582677166E-5</c:v>
                </c:pt>
                <c:pt idx="87">
                  <c:v>1.8818897637795276E-5</c:v>
                </c:pt>
                <c:pt idx="88">
                  <c:v>1.8385826771653544E-5</c:v>
                </c:pt>
                <c:pt idx="89">
                  <c:v>1.7952755905511813E-5</c:v>
                </c:pt>
                <c:pt idx="90">
                  <c:v>1.7559055118110236E-5</c:v>
                </c:pt>
                <c:pt idx="91">
                  <c:v>1.7204724409448819E-5</c:v>
                </c:pt>
                <c:pt idx="92">
                  <c:v>1.6850393700787401E-5</c:v>
                </c:pt>
                <c:pt idx="93">
                  <c:v>1.6535433070866142E-5</c:v>
                </c:pt>
                <c:pt idx="94">
                  <c:v>1.6259842519685042E-5</c:v>
                </c:pt>
                <c:pt idx="95">
                  <c:v>1.5944881889763779E-5</c:v>
                </c:pt>
                <c:pt idx="96">
                  <c:v>1.5708661417322834E-5</c:v>
                </c:pt>
                <c:pt idx="97">
                  <c:v>1.5433070866141734E-5</c:v>
                </c:pt>
                <c:pt idx="98">
                  <c:v>1.5196850393700789E-5</c:v>
                </c:pt>
                <c:pt idx="99">
                  <c:v>1.5E-5</c:v>
                </c:pt>
                <c:pt idx="100">
                  <c:v>1.4803149606299212E-5</c:v>
                </c:pt>
                <c:pt idx="101">
                  <c:v>1.4606299212598424E-5</c:v>
                </c:pt>
                <c:pt idx="102">
                  <c:v>1.4409448818897639E-5</c:v>
                </c:pt>
                <c:pt idx="103">
                  <c:v>1.4212598425196851E-5</c:v>
                </c:pt>
                <c:pt idx="104">
                  <c:v>1.4055118110236222E-5</c:v>
                </c:pt>
                <c:pt idx="105">
                  <c:v>1.3897637795275592E-5</c:v>
                </c:pt>
                <c:pt idx="106">
                  <c:v>1.3740157480314963E-5</c:v>
                </c:pt>
                <c:pt idx="107">
                  <c:v>1.3582677165354331E-5</c:v>
                </c:pt>
                <c:pt idx="108">
                  <c:v>1.346456692913386E-5</c:v>
                </c:pt>
                <c:pt idx="109">
                  <c:v>1.3307086614173228E-5</c:v>
                </c:pt>
                <c:pt idx="110">
                  <c:v>1.3188976377952757E-5</c:v>
                </c:pt>
                <c:pt idx="111">
                  <c:v>1.3070866141732284E-5</c:v>
                </c:pt>
                <c:pt idx="112">
                  <c:v>1.2952755905511812E-5</c:v>
                </c:pt>
                <c:pt idx="113">
                  <c:v>1.2874015748031496E-5</c:v>
                </c:pt>
                <c:pt idx="114">
                  <c:v>1.2755905511811025E-5</c:v>
                </c:pt>
                <c:pt idx="115">
                  <c:v>1.2677165354330709E-5</c:v>
                </c:pt>
                <c:pt idx="116">
                  <c:v>1.2598425196850396E-5</c:v>
                </c:pt>
                <c:pt idx="117">
                  <c:v>1.2480314960629923E-5</c:v>
                </c:pt>
                <c:pt idx="118">
                  <c:v>1.2401574803149607E-5</c:v>
                </c:pt>
                <c:pt idx="119">
                  <c:v>1.2322834645669293E-5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35-4B10-8798-188ED00FA98F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P4_LB!$A$7:$A$126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P4_LB!$H$7:$H$126</c:f>
              <c:numCache>
                <c:formatCode>0.00E+00</c:formatCode>
                <c:ptCount val="120"/>
                <c:pt idx="0">
                  <c:v>2.8661417322834645E-8</c:v>
                </c:pt>
                <c:pt idx="1">
                  <c:v>1.1456692913385827E-7</c:v>
                </c:pt>
                <c:pt idx="2">
                  <c:v>2.578740157480315E-7</c:v>
                </c:pt>
                <c:pt idx="3">
                  <c:v>4.5669291338582676E-7</c:v>
                </c:pt>
                <c:pt idx="4">
                  <c:v>7.1653543307086631E-7</c:v>
                </c:pt>
                <c:pt idx="5">
                  <c:v>1.0354330708661418E-6</c:v>
                </c:pt>
                <c:pt idx="6">
                  <c:v>1.4212598425196851E-6</c:v>
                </c:pt>
                <c:pt idx="7">
                  <c:v>1.8779527559055118E-6</c:v>
                </c:pt>
                <c:pt idx="8">
                  <c:v>2.4133858267716535E-6</c:v>
                </c:pt>
                <c:pt idx="9">
                  <c:v>3.0236220472440943E-6</c:v>
                </c:pt>
                <c:pt idx="10">
                  <c:v>3.7244094488188977E-6</c:v>
                </c:pt>
                <c:pt idx="11">
                  <c:v>4.527559055118111E-6</c:v>
                </c:pt>
                <c:pt idx="12">
                  <c:v>5.3937007874015751E-6</c:v>
                </c:pt>
                <c:pt idx="13">
                  <c:v>6.4173228346456686E-6</c:v>
                </c:pt>
                <c:pt idx="14">
                  <c:v>7.5590551181102365E-6</c:v>
                </c:pt>
                <c:pt idx="15">
                  <c:v>8.8582677165354338E-6</c:v>
                </c:pt>
                <c:pt idx="16">
                  <c:v>1.031496062992126E-5</c:v>
                </c:pt>
                <c:pt idx="17">
                  <c:v>1.1968503937007876E-5</c:v>
                </c:pt>
                <c:pt idx="18">
                  <c:v>1.3818897637795276E-5</c:v>
                </c:pt>
                <c:pt idx="19">
                  <c:v>1.5984251968503938E-5</c:v>
                </c:pt>
                <c:pt idx="20">
                  <c:v>1.8464566929133858E-5</c:v>
                </c:pt>
                <c:pt idx="21">
                  <c:v>2.1417322834645669E-5</c:v>
                </c:pt>
                <c:pt idx="22">
                  <c:v>2.4881889763779532E-5</c:v>
                </c:pt>
                <c:pt idx="23">
                  <c:v>2.905511811023622E-5</c:v>
                </c:pt>
                <c:pt idx="24">
                  <c:v>3.4173228346456692E-5</c:v>
                </c:pt>
                <c:pt idx="25">
                  <c:v>4.0551181102362211E-5</c:v>
                </c:pt>
                <c:pt idx="26">
                  <c:v>4.8031496062992124E-5</c:v>
                </c:pt>
                <c:pt idx="27">
                  <c:v>5.669291338582677E-5</c:v>
                </c:pt>
                <c:pt idx="28">
                  <c:v>6.6535433070866141E-5</c:v>
                </c:pt>
                <c:pt idx="29">
                  <c:v>7.5196850393700787E-5</c:v>
                </c:pt>
                <c:pt idx="30">
                  <c:v>8.1889763779527554E-5</c:v>
                </c:pt>
                <c:pt idx="31">
                  <c:v>8.5433070866141738E-5</c:v>
                </c:pt>
                <c:pt idx="32">
                  <c:v>8.5826771653543311E-5</c:v>
                </c:pt>
                <c:pt idx="33">
                  <c:v>8.3858267716535432E-5</c:v>
                </c:pt>
                <c:pt idx="34">
                  <c:v>8.1102362204724422E-5</c:v>
                </c:pt>
                <c:pt idx="35">
                  <c:v>7.7559055118110252E-5</c:v>
                </c:pt>
                <c:pt idx="36">
                  <c:v>7.4015748031496068E-5</c:v>
                </c:pt>
                <c:pt idx="37">
                  <c:v>7.0866141732283471E-5</c:v>
                </c:pt>
                <c:pt idx="38">
                  <c:v>6.8110236220472446E-5</c:v>
                </c:pt>
                <c:pt idx="39">
                  <c:v>6.5354330708661422E-5</c:v>
                </c:pt>
                <c:pt idx="40">
                  <c:v>6.3385826771653557E-5</c:v>
                </c:pt>
                <c:pt idx="41">
                  <c:v>6.1417322834645679E-5</c:v>
                </c:pt>
                <c:pt idx="42">
                  <c:v>6.0236220472440947E-5</c:v>
                </c:pt>
                <c:pt idx="43">
                  <c:v>5.9055118110236228E-5</c:v>
                </c:pt>
                <c:pt idx="44">
                  <c:v>5.8267716535433075E-5</c:v>
                </c:pt>
                <c:pt idx="45">
                  <c:v>5.7874015748031495E-5</c:v>
                </c:pt>
                <c:pt idx="46">
                  <c:v>5.7480314960629922E-5</c:v>
                </c:pt>
                <c:pt idx="47">
                  <c:v>5.7086614173228356E-5</c:v>
                </c:pt>
                <c:pt idx="48">
                  <c:v>5.7086614173228356E-5</c:v>
                </c:pt>
                <c:pt idx="49">
                  <c:v>5.7086614173228356E-5</c:v>
                </c:pt>
                <c:pt idx="50">
                  <c:v>5.7086614173228356E-5</c:v>
                </c:pt>
                <c:pt idx="51">
                  <c:v>5.7086614173228356E-5</c:v>
                </c:pt>
                <c:pt idx="52">
                  <c:v>5.7480314960629922E-5</c:v>
                </c:pt>
                <c:pt idx="53">
                  <c:v>5.7874015748031495E-5</c:v>
                </c:pt>
                <c:pt idx="54">
                  <c:v>5.8267716535433075E-5</c:v>
                </c:pt>
                <c:pt idx="55">
                  <c:v>5.8661417322834648E-5</c:v>
                </c:pt>
                <c:pt idx="56">
                  <c:v>5.9448818897637794E-5</c:v>
                </c:pt>
                <c:pt idx="57">
                  <c:v>6.0629921259842526E-5</c:v>
                </c:pt>
                <c:pt idx="58">
                  <c:v>6.1811023622047252E-5</c:v>
                </c:pt>
                <c:pt idx="59">
                  <c:v>6.2992125984251971E-5</c:v>
                </c:pt>
                <c:pt idx="60">
                  <c:v>6.4173228346456703E-5</c:v>
                </c:pt>
                <c:pt idx="61">
                  <c:v>6.5354330708661422E-5</c:v>
                </c:pt>
                <c:pt idx="62">
                  <c:v>6.6535433070866141E-5</c:v>
                </c:pt>
                <c:pt idx="63">
                  <c:v>6.7716535433070873E-5</c:v>
                </c:pt>
                <c:pt idx="64">
                  <c:v>6.8503937007874019E-5</c:v>
                </c:pt>
                <c:pt idx="65">
                  <c:v>6.9685039370078752E-5</c:v>
                </c:pt>
                <c:pt idx="66">
                  <c:v>7.0472440944881884E-5</c:v>
                </c:pt>
                <c:pt idx="67">
                  <c:v>7.1259842519685044E-5</c:v>
                </c:pt>
                <c:pt idx="68">
                  <c:v>7.1653543307086617E-5</c:v>
                </c:pt>
                <c:pt idx="69">
                  <c:v>7.1653543307086617E-5</c:v>
                </c:pt>
                <c:pt idx="70">
                  <c:v>7.2047244094488189E-5</c:v>
                </c:pt>
                <c:pt idx="71">
                  <c:v>7.2047244094488189E-5</c:v>
                </c:pt>
                <c:pt idx="72">
                  <c:v>7.1653543307086617E-5</c:v>
                </c:pt>
                <c:pt idx="73">
                  <c:v>7.1653543307086617E-5</c:v>
                </c:pt>
                <c:pt idx="74">
                  <c:v>7.1259842519685044E-5</c:v>
                </c:pt>
                <c:pt idx="75">
                  <c:v>7.0866141732283471E-5</c:v>
                </c:pt>
                <c:pt idx="76">
                  <c:v>7.0866141732283471E-5</c:v>
                </c:pt>
                <c:pt idx="77">
                  <c:v>7.0472440944881884E-5</c:v>
                </c:pt>
                <c:pt idx="78">
                  <c:v>7.0078740157480311E-5</c:v>
                </c:pt>
                <c:pt idx="79">
                  <c:v>6.9685039370078752E-5</c:v>
                </c:pt>
                <c:pt idx="80">
                  <c:v>6.9685039370078752E-5</c:v>
                </c:pt>
                <c:pt idx="81">
                  <c:v>6.9291338582677165E-5</c:v>
                </c:pt>
                <c:pt idx="82">
                  <c:v>6.8897637795275592E-5</c:v>
                </c:pt>
                <c:pt idx="83">
                  <c:v>6.8503937007874019E-5</c:v>
                </c:pt>
                <c:pt idx="84">
                  <c:v>6.8110236220472446E-5</c:v>
                </c:pt>
                <c:pt idx="85">
                  <c:v>6.8110236220472446E-5</c:v>
                </c:pt>
                <c:pt idx="86">
                  <c:v>6.7716535433070873E-5</c:v>
                </c:pt>
                <c:pt idx="87">
                  <c:v>6.7322834645669287E-5</c:v>
                </c:pt>
                <c:pt idx="88">
                  <c:v>6.7322834645669287E-5</c:v>
                </c:pt>
                <c:pt idx="89">
                  <c:v>6.6929133858267728E-5</c:v>
                </c:pt>
                <c:pt idx="90">
                  <c:v>6.6535433070866141E-5</c:v>
                </c:pt>
                <c:pt idx="91">
                  <c:v>6.6535433070866141E-5</c:v>
                </c:pt>
                <c:pt idx="92">
                  <c:v>6.6141732283464568E-5</c:v>
                </c:pt>
                <c:pt idx="93">
                  <c:v>6.6141732283464568E-5</c:v>
                </c:pt>
                <c:pt idx="94">
                  <c:v>6.5748031496062995E-5</c:v>
                </c:pt>
                <c:pt idx="95">
                  <c:v>6.5748031496062995E-5</c:v>
                </c:pt>
                <c:pt idx="96">
                  <c:v>6.5748031496062995E-5</c:v>
                </c:pt>
                <c:pt idx="97">
                  <c:v>6.5354330708661422E-5</c:v>
                </c:pt>
                <c:pt idx="98">
                  <c:v>6.5354330708661422E-5</c:v>
                </c:pt>
                <c:pt idx="99">
                  <c:v>6.4960629921259849E-5</c:v>
                </c:pt>
                <c:pt idx="100">
                  <c:v>6.4960629921259849E-5</c:v>
                </c:pt>
                <c:pt idx="101">
                  <c:v>6.4960629921259849E-5</c:v>
                </c:pt>
                <c:pt idx="102">
                  <c:v>6.4566929133858276E-5</c:v>
                </c:pt>
                <c:pt idx="103">
                  <c:v>6.4566929133858276E-5</c:v>
                </c:pt>
                <c:pt idx="104">
                  <c:v>6.4566929133858276E-5</c:v>
                </c:pt>
                <c:pt idx="105">
                  <c:v>6.4173228346456703E-5</c:v>
                </c:pt>
                <c:pt idx="106">
                  <c:v>6.4173228346456703E-5</c:v>
                </c:pt>
                <c:pt idx="107">
                  <c:v>6.4173228346456703E-5</c:v>
                </c:pt>
                <c:pt idx="108">
                  <c:v>6.3779527559055117E-5</c:v>
                </c:pt>
                <c:pt idx="109">
                  <c:v>6.3779527559055117E-5</c:v>
                </c:pt>
                <c:pt idx="110">
                  <c:v>6.3779527559055117E-5</c:v>
                </c:pt>
                <c:pt idx="111">
                  <c:v>6.3385826771653557E-5</c:v>
                </c:pt>
                <c:pt idx="112">
                  <c:v>6.3385826771653557E-5</c:v>
                </c:pt>
                <c:pt idx="113">
                  <c:v>6.3385826771653557E-5</c:v>
                </c:pt>
                <c:pt idx="114">
                  <c:v>6.3385826771653557E-5</c:v>
                </c:pt>
                <c:pt idx="115">
                  <c:v>6.2992125984251971E-5</c:v>
                </c:pt>
                <c:pt idx="116">
                  <c:v>6.2992125984251971E-5</c:v>
                </c:pt>
                <c:pt idx="117">
                  <c:v>6.2992125984251971E-5</c:v>
                </c:pt>
                <c:pt idx="118">
                  <c:v>6.2992125984251971E-5</c:v>
                </c:pt>
                <c:pt idx="119">
                  <c:v>6.2598425196850398E-5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35-4B10-8798-188ED00FA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4 - NW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FFC-4692-9D39-E33A12CDA94C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FC-4692-9D39-E33A12CDA94C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FC-4692-9D39-E33A12CDA94C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FC-4692-9D39-E33A12CDA94C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FC-4692-9D39-E33A12CDA94C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FFC-4692-9D39-E33A12CDA94C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FFC-4692-9D39-E33A12CDA94C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FFC-4692-9D39-E33A12CDA94C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FFC-4692-9D39-E33A12CDA94C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P4_LB!$A$7:$A$126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P4_LB!$F$7:$F$126</c:f>
              <c:numCache>
                <c:formatCode>0.00E+00</c:formatCode>
                <c:ptCount val="120"/>
                <c:pt idx="0">
                  <c:v>3.0314960629921261E-8</c:v>
                </c:pt>
                <c:pt idx="1">
                  <c:v>1.2165354330708663E-7</c:v>
                </c:pt>
                <c:pt idx="2">
                  <c:v>2.7598425196850396E-7</c:v>
                </c:pt>
                <c:pt idx="3">
                  <c:v>4.960629921259843E-7</c:v>
                </c:pt>
                <c:pt idx="4">
                  <c:v>7.8740157480314972E-7</c:v>
                </c:pt>
                <c:pt idx="5">
                  <c:v>1.1496062992125985E-6</c:v>
                </c:pt>
                <c:pt idx="6">
                  <c:v>1.5944881889763781E-6</c:v>
                </c:pt>
                <c:pt idx="7">
                  <c:v>2.1299212598425198E-6</c:v>
                </c:pt>
                <c:pt idx="8">
                  <c:v>2.7598425196850392E-6</c:v>
                </c:pt>
                <c:pt idx="9">
                  <c:v>3.5039370078740162E-6</c:v>
                </c:pt>
                <c:pt idx="10">
                  <c:v>4.3700787401574806E-6</c:v>
                </c:pt>
                <c:pt idx="11">
                  <c:v>5.3543307086614173E-6</c:v>
                </c:pt>
                <c:pt idx="12">
                  <c:v>6.535433070866142E-6</c:v>
                </c:pt>
                <c:pt idx="13">
                  <c:v>7.8740157480314964E-6</c:v>
                </c:pt>
                <c:pt idx="14">
                  <c:v>9.448818897637795E-6</c:v>
                </c:pt>
                <c:pt idx="15">
                  <c:v>1.1299212598425199E-5</c:v>
                </c:pt>
                <c:pt idx="16">
                  <c:v>1.346456692913386E-5</c:v>
                </c:pt>
                <c:pt idx="17">
                  <c:v>1.5944881889763779E-5</c:v>
                </c:pt>
                <c:pt idx="18">
                  <c:v>1.8858267716535435E-5</c:v>
                </c:pt>
                <c:pt idx="19">
                  <c:v>2.2322834645669294E-5</c:v>
                </c:pt>
                <c:pt idx="20">
                  <c:v>2.6456692913385827E-5</c:v>
                </c:pt>
                <c:pt idx="21">
                  <c:v>3.1377952755905509E-5</c:v>
                </c:pt>
                <c:pt idx="22">
                  <c:v>3.732283464566929E-5</c:v>
                </c:pt>
                <c:pt idx="23">
                  <c:v>4.4488188976377954E-5</c:v>
                </c:pt>
                <c:pt idx="24">
                  <c:v>5.3149606299212606E-5</c:v>
                </c:pt>
                <c:pt idx="25">
                  <c:v>6.3779527559055117E-5</c:v>
                </c:pt>
                <c:pt idx="26">
                  <c:v>7.559055118110236E-5</c:v>
                </c:pt>
                <c:pt idx="27">
                  <c:v>8.8582677165354348E-5</c:v>
                </c:pt>
                <c:pt idx="28">
                  <c:v>1.015748031496063E-4</c:v>
                </c:pt>
                <c:pt idx="29">
                  <c:v>1.1141732283464567E-4</c:v>
                </c:pt>
                <c:pt idx="30">
                  <c:v>1.1692913385826772E-4</c:v>
                </c:pt>
                <c:pt idx="31">
                  <c:v>1.173228346456693E-4</c:v>
                </c:pt>
                <c:pt idx="32">
                  <c:v>1.1377952755905511E-4</c:v>
                </c:pt>
                <c:pt idx="33">
                  <c:v>1.0866141732283465E-4</c:v>
                </c:pt>
                <c:pt idx="34">
                  <c:v>1.0275590551181103E-4</c:v>
                </c:pt>
                <c:pt idx="35">
                  <c:v>9.7244094488188981E-5</c:v>
                </c:pt>
                <c:pt idx="36">
                  <c:v>9.2519685039370092E-5</c:v>
                </c:pt>
                <c:pt idx="37">
                  <c:v>8.8188976377952775E-5</c:v>
                </c:pt>
                <c:pt idx="38">
                  <c:v>8.5039370078740165E-5</c:v>
                </c:pt>
                <c:pt idx="39">
                  <c:v>8.1889763779527554E-5</c:v>
                </c:pt>
                <c:pt idx="40">
                  <c:v>7.9527559055118116E-5</c:v>
                </c:pt>
                <c:pt idx="41">
                  <c:v>7.7559055118110252E-5</c:v>
                </c:pt>
                <c:pt idx="42">
                  <c:v>7.6377952755905519E-5</c:v>
                </c:pt>
                <c:pt idx="43">
                  <c:v>7.4803149606299214E-5</c:v>
                </c:pt>
                <c:pt idx="44">
                  <c:v>7.4015748031496068E-5</c:v>
                </c:pt>
                <c:pt idx="45">
                  <c:v>7.3622047244094495E-5</c:v>
                </c:pt>
                <c:pt idx="46">
                  <c:v>7.2834645669291349E-5</c:v>
                </c:pt>
                <c:pt idx="47">
                  <c:v>7.2834645669291349E-5</c:v>
                </c:pt>
                <c:pt idx="48">
                  <c:v>7.2834645669291349E-5</c:v>
                </c:pt>
                <c:pt idx="49">
                  <c:v>7.2834645669291349E-5</c:v>
                </c:pt>
                <c:pt idx="50">
                  <c:v>7.2834645669291349E-5</c:v>
                </c:pt>
                <c:pt idx="51">
                  <c:v>7.3228346456692908E-5</c:v>
                </c:pt>
                <c:pt idx="52">
                  <c:v>7.3622047244094495E-5</c:v>
                </c:pt>
                <c:pt idx="53">
                  <c:v>7.4409448818897641E-5</c:v>
                </c:pt>
                <c:pt idx="54">
                  <c:v>7.4803149606299214E-5</c:v>
                </c:pt>
                <c:pt idx="55">
                  <c:v>7.559055118110236E-5</c:v>
                </c:pt>
                <c:pt idx="56">
                  <c:v>7.6377952755905519E-5</c:v>
                </c:pt>
                <c:pt idx="57">
                  <c:v>7.7559055118110252E-5</c:v>
                </c:pt>
                <c:pt idx="58">
                  <c:v>7.8346456692913397E-5</c:v>
                </c:pt>
                <c:pt idx="59">
                  <c:v>7.913385826771653E-5</c:v>
                </c:pt>
                <c:pt idx="60">
                  <c:v>8.0314960629921276E-5</c:v>
                </c:pt>
                <c:pt idx="61">
                  <c:v>8.1102362204724422E-5</c:v>
                </c:pt>
                <c:pt idx="62">
                  <c:v>8.1889763779527554E-5</c:v>
                </c:pt>
                <c:pt idx="63">
                  <c:v>8.2283464566929127E-5</c:v>
                </c:pt>
                <c:pt idx="64">
                  <c:v>8.2677165354330713E-5</c:v>
                </c:pt>
                <c:pt idx="65">
                  <c:v>8.2283464566929127E-5</c:v>
                </c:pt>
                <c:pt idx="66">
                  <c:v>8.1496062992125995E-5</c:v>
                </c:pt>
                <c:pt idx="67">
                  <c:v>7.9921259842519689E-5</c:v>
                </c:pt>
                <c:pt idx="68">
                  <c:v>7.7952755905511811E-5</c:v>
                </c:pt>
                <c:pt idx="69">
                  <c:v>7.5196850393700787E-5</c:v>
                </c:pt>
                <c:pt idx="70">
                  <c:v>7.1653543307086617E-5</c:v>
                </c:pt>
                <c:pt idx="71">
                  <c:v>6.7716535433070873E-5</c:v>
                </c:pt>
                <c:pt idx="72">
                  <c:v>6.3385826771653557E-5</c:v>
                </c:pt>
                <c:pt idx="73">
                  <c:v>5.9055118110236228E-5</c:v>
                </c:pt>
                <c:pt idx="74">
                  <c:v>5.5118110236220478E-5</c:v>
                </c:pt>
                <c:pt idx="75">
                  <c:v>5.0787401574803148E-5</c:v>
                </c:pt>
                <c:pt idx="76">
                  <c:v>4.7244094488188978E-5</c:v>
                </c:pt>
                <c:pt idx="77">
                  <c:v>4.3700787401574801E-5</c:v>
                </c:pt>
                <c:pt idx="78">
                  <c:v>4.0157480314960638E-5</c:v>
                </c:pt>
                <c:pt idx="79">
                  <c:v>3.720472440944882E-5</c:v>
                </c:pt>
                <c:pt idx="80">
                  <c:v>3.4488188976377955E-5</c:v>
                </c:pt>
                <c:pt idx="81">
                  <c:v>3.1968503937007876E-5</c:v>
                </c:pt>
                <c:pt idx="82">
                  <c:v>2.9724409448818897E-5</c:v>
                </c:pt>
                <c:pt idx="83">
                  <c:v>2.7637795275590553E-5</c:v>
                </c:pt>
                <c:pt idx="84">
                  <c:v>2.578740157480315E-5</c:v>
                </c:pt>
                <c:pt idx="85">
                  <c:v>2.4094488188976379E-5</c:v>
                </c:pt>
                <c:pt idx="86">
                  <c:v>2.2559055118110236E-5</c:v>
                </c:pt>
                <c:pt idx="87">
                  <c:v>2.1181102362204724E-5</c:v>
                </c:pt>
                <c:pt idx="88">
                  <c:v>1.9921259842519688E-5</c:v>
                </c:pt>
                <c:pt idx="89">
                  <c:v>1.8818897637795276E-5</c:v>
                </c:pt>
                <c:pt idx="90">
                  <c:v>1.7795275590551185E-5</c:v>
                </c:pt>
                <c:pt idx="91">
                  <c:v>1.688976377952756E-5</c:v>
                </c:pt>
                <c:pt idx="92">
                  <c:v>1.6023622047244093E-5</c:v>
                </c:pt>
                <c:pt idx="93">
                  <c:v>1.5275590551181102E-5</c:v>
                </c:pt>
                <c:pt idx="94">
                  <c:v>1.4606299212598424E-5</c:v>
                </c:pt>
                <c:pt idx="95">
                  <c:v>1.3976377952755906E-5</c:v>
                </c:pt>
                <c:pt idx="96">
                  <c:v>1.3425196850393702E-5</c:v>
                </c:pt>
                <c:pt idx="97">
                  <c:v>1.2952755905511812E-5</c:v>
                </c:pt>
                <c:pt idx="98">
                  <c:v>1.251968503937008E-5</c:v>
                </c:pt>
                <c:pt idx="99">
                  <c:v>1.2125984251968505E-5</c:v>
                </c:pt>
                <c:pt idx="100">
                  <c:v>1.1771653543307088E-5</c:v>
                </c:pt>
                <c:pt idx="101">
                  <c:v>1.1456692913385827E-5</c:v>
                </c:pt>
                <c:pt idx="102">
                  <c:v>1.1181102362204726E-5</c:v>
                </c:pt>
                <c:pt idx="103">
                  <c:v>1.094488188976378E-5</c:v>
                </c:pt>
                <c:pt idx="104">
                  <c:v>1.0708661417322835E-5</c:v>
                </c:pt>
                <c:pt idx="105">
                  <c:v>1.0511811023622048E-5</c:v>
                </c:pt>
                <c:pt idx="106">
                  <c:v>1.0354330708661419E-5</c:v>
                </c:pt>
                <c:pt idx="107">
                  <c:v>1.0236220472440944E-5</c:v>
                </c:pt>
                <c:pt idx="108">
                  <c:v>1.0118110236220472E-5</c:v>
                </c:pt>
                <c:pt idx="109">
                  <c:v>1.0000000000000003E-5</c:v>
                </c:pt>
                <c:pt idx="110">
                  <c:v>9.9212598425196852E-6</c:v>
                </c:pt>
                <c:pt idx="111">
                  <c:v>9.8425196850393713E-6</c:v>
                </c:pt>
                <c:pt idx="112">
                  <c:v>9.8031496062992143E-6</c:v>
                </c:pt>
                <c:pt idx="113">
                  <c:v>9.724409448818897E-6</c:v>
                </c:pt>
                <c:pt idx="114">
                  <c:v>9.6850393700787418E-6</c:v>
                </c:pt>
                <c:pt idx="115">
                  <c:v>9.6456692913385831E-6</c:v>
                </c:pt>
                <c:pt idx="116">
                  <c:v>9.6456692913385831E-6</c:v>
                </c:pt>
                <c:pt idx="117">
                  <c:v>9.6062992125984262E-6</c:v>
                </c:pt>
                <c:pt idx="118">
                  <c:v>9.6062992125984262E-6</c:v>
                </c:pt>
                <c:pt idx="119">
                  <c:v>9.5669291338582675E-6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FFC-4692-9D39-E33A12CDA94C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P4_LB!$A$7:$A$126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P4_LB!$G$7:$G$126</c:f>
              <c:numCache>
                <c:formatCode>0.00E+00</c:formatCode>
                <c:ptCount val="120"/>
                <c:pt idx="0">
                  <c:v>2.6653543307086611E-9</c:v>
                </c:pt>
                <c:pt idx="1">
                  <c:v>1.0708661417322836E-8</c:v>
                </c:pt>
                <c:pt idx="2">
                  <c:v>2.4251968503937008E-8</c:v>
                </c:pt>
                <c:pt idx="3">
                  <c:v>4.370078740157481E-8</c:v>
                </c:pt>
                <c:pt idx="4">
                  <c:v>6.8897637795275587E-8</c:v>
                </c:pt>
                <c:pt idx="5">
                  <c:v>1.0078740157480316E-7</c:v>
                </c:pt>
                <c:pt idx="6">
                  <c:v>1.3976377952755906E-7</c:v>
                </c:pt>
                <c:pt idx="7">
                  <c:v>1.8622047244094487E-7</c:v>
                </c:pt>
                <c:pt idx="8">
                  <c:v>2.4094488188976381E-7</c:v>
                </c:pt>
                <c:pt idx="9">
                  <c:v>3.0472440944881893E-7</c:v>
                </c:pt>
                <c:pt idx="10">
                  <c:v>3.7913385826771652E-7</c:v>
                </c:pt>
                <c:pt idx="11">
                  <c:v>4.6456692913385832E-7</c:v>
                </c:pt>
                <c:pt idx="12">
                  <c:v>5.6299212598425204E-7</c:v>
                </c:pt>
                <c:pt idx="13">
                  <c:v>6.7716535433070861E-7</c:v>
                </c:pt>
                <c:pt idx="14">
                  <c:v>8.0708661417322841E-7</c:v>
                </c:pt>
                <c:pt idx="15">
                  <c:v>9.5275590551181112E-7</c:v>
                </c:pt>
                <c:pt idx="16">
                  <c:v>1.1220472440944883E-6</c:v>
                </c:pt>
                <c:pt idx="17">
                  <c:v>1.3149606299212598E-6</c:v>
                </c:pt>
                <c:pt idx="18">
                  <c:v>1.5393700787401576E-6</c:v>
                </c:pt>
                <c:pt idx="19">
                  <c:v>1.795275590551181E-6</c:v>
                </c:pt>
                <c:pt idx="20">
                  <c:v>2.090551181102362E-6</c:v>
                </c:pt>
                <c:pt idx="21">
                  <c:v>2.4330708661417324E-6</c:v>
                </c:pt>
                <c:pt idx="22">
                  <c:v>2.834645669291339E-6</c:v>
                </c:pt>
                <c:pt idx="23">
                  <c:v>3.2992125984251968E-6</c:v>
                </c:pt>
                <c:pt idx="24">
                  <c:v>3.8385826771653549E-6</c:v>
                </c:pt>
                <c:pt idx="25">
                  <c:v>4.4488188976377962E-6</c:v>
                </c:pt>
                <c:pt idx="26">
                  <c:v>5.1574803149606299E-6</c:v>
                </c:pt>
                <c:pt idx="27">
                  <c:v>5.9448818897637792E-6</c:v>
                </c:pt>
                <c:pt idx="28">
                  <c:v>6.811023622047245E-6</c:v>
                </c:pt>
                <c:pt idx="29">
                  <c:v>7.6377952755905512E-6</c:v>
                </c:pt>
                <c:pt idx="30">
                  <c:v>8.3858267716535436E-6</c:v>
                </c:pt>
                <c:pt idx="31">
                  <c:v>8.9763779527559064E-6</c:v>
                </c:pt>
                <c:pt idx="32">
                  <c:v>9.370078740157481E-6</c:v>
                </c:pt>
                <c:pt idx="33">
                  <c:v>9.5275590551181123E-6</c:v>
                </c:pt>
                <c:pt idx="34">
                  <c:v>9.4881889763779536E-6</c:v>
                </c:pt>
                <c:pt idx="35">
                  <c:v>9.370078740157481E-6</c:v>
                </c:pt>
                <c:pt idx="36">
                  <c:v>9.2519685039370085E-6</c:v>
                </c:pt>
                <c:pt idx="37">
                  <c:v>9.0944881889763773E-6</c:v>
                </c:pt>
                <c:pt idx="38">
                  <c:v>9.0157480314960633E-6</c:v>
                </c:pt>
                <c:pt idx="39">
                  <c:v>8.9763779527559064E-6</c:v>
                </c:pt>
                <c:pt idx="40">
                  <c:v>9.0157480314960633E-6</c:v>
                </c:pt>
                <c:pt idx="41">
                  <c:v>9.1338582677165359E-6</c:v>
                </c:pt>
                <c:pt idx="42">
                  <c:v>9.2913385826771654E-6</c:v>
                </c:pt>
                <c:pt idx="43">
                  <c:v>9.5275590551181123E-6</c:v>
                </c:pt>
                <c:pt idx="44">
                  <c:v>9.8425196850393713E-6</c:v>
                </c:pt>
                <c:pt idx="45">
                  <c:v>1.0196850393700786E-5</c:v>
                </c:pt>
                <c:pt idx="46">
                  <c:v>1.0629921259842521E-5</c:v>
                </c:pt>
                <c:pt idx="47">
                  <c:v>1.1062992125984252E-5</c:v>
                </c:pt>
                <c:pt idx="48">
                  <c:v>1.1574803149606299E-5</c:v>
                </c:pt>
                <c:pt idx="49">
                  <c:v>1.2086614173228347E-5</c:v>
                </c:pt>
                <c:pt idx="50">
                  <c:v>1.2677165354330709E-5</c:v>
                </c:pt>
                <c:pt idx="51">
                  <c:v>1.3267716535433072E-5</c:v>
                </c:pt>
                <c:pt idx="52">
                  <c:v>1.3897637795275592E-5</c:v>
                </c:pt>
                <c:pt idx="53">
                  <c:v>1.4566929133858269E-5</c:v>
                </c:pt>
                <c:pt idx="54">
                  <c:v>1.5314960629921261E-5</c:v>
                </c:pt>
                <c:pt idx="55">
                  <c:v>1.610236220472441E-5</c:v>
                </c:pt>
                <c:pt idx="56">
                  <c:v>1.6929133858267718E-5</c:v>
                </c:pt>
                <c:pt idx="57">
                  <c:v>1.783464566929134E-5</c:v>
                </c:pt>
                <c:pt idx="58">
                  <c:v>1.8858267716535435E-5</c:v>
                </c:pt>
                <c:pt idx="59">
                  <c:v>1.9921259842519688E-5</c:v>
                </c:pt>
                <c:pt idx="60">
                  <c:v>2.110236220472441E-5</c:v>
                </c:pt>
                <c:pt idx="61">
                  <c:v>2.2362204724409453E-5</c:v>
                </c:pt>
                <c:pt idx="62">
                  <c:v>2.3661417322834651E-5</c:v>
                </c:pt>
                <c:pt idx="63">
                  <c:v>2.4960629921259846E-5</c:v>
                </c:pt>
                <c:pt idx="64">
                  <c:v>2.6259842519685044E-5</c:v>
                </c:pt>
                <c:pt idx="65">
                  <c:v>2.7480314960629925E-5</c:v>
                </c:pt>
                <c:pt idx="66">
                  <c:v>2.8543307086614178E-5</c:v>
                </c:pt>
                <c:pt idx="67">
                  <c:v>2.9409448818897641E-5</c:v>
                </c:pt>
                <c:pt idx="68">
                  <c:v>3.0000000000000001E-5</c:v>
                </c:pt>
                <c:pt idx="69">
                  <c:v>3.0314960629921263E-5</c:v>
                </c:pt>
                <c:pt idx="70">
                  <c:v>3.0314960629921263E-5</c:v>
                </c:pt>
                <c:pt idx="71">
                  <c:v>3.0039370078740159E-5</c:v>
                </c:pt>
                <c:pt idx="72">
                  <c:v>2.9566929133858273E-5</c:v>
                </c:pt>
                <c:pt idx="73">
                  <c:v>2.8897637795275589E-5</c:v>
                </c:pt>
                <c:pt idx="74">
                  <c:v>2.8110236220472443E-5</c:v>
                </c:pt>
                <c:pt idx="75">
                  <c:v>2.724409448818898E-5</c:v>
                </c:pt>
                <c:pt idx="76">
                  <c:v>2.6338582677165355E-5</c:v>
                </c:pt>
                <c:pt idx="77">
                  <c:v>2.5472440944881891E-5</c:v>
                </c:pt>
                <c:pt idx="78">
                  <c:v>2.4606299212598428E-5</c:v>
                </c:pt>
                <c:pt idx="79">
                  <c:v>2.3779527559055117E-5</c:v>
                </c:pt>
                <c:pt idx="80">
                  <c:v>2.2992125984251971E-5</c:v>
                </c:pt>
                <c:pt idx="81">
                  <c:v>2.2283464566929136E-5</c:v>
                </c:pt>
                <c:pt idx="82">
                  <c:v>2.15748031496063E-5</c:v>
                </c:pt>
                <c:pt idx="83">
                  <c:v>2.0944881889763782E-5</c:v>
                </c:pt>
                <c:pt idx="84">
                  <c:v>2.0354330708661419E-5</c:v>
                </c:pt>
                <c:pt idx="85">
                  <c:v>1.9803149606299212E-5</c:v>
                </c:pt>
                <c:pt idx="86">
                  <c:v>1.9291338582677166E-5</c:v>
                </c:pt>
                <c:pt idx="87">
                  <c:v>1.8818897637795276E-5</c:v>
                </c:pt>
                <c:pt idx="88">
                  <c:v>1.8385826771653544E-5</c:v>
                </c:pt>
                <c:pt idx="89">
                  <c:v>1.7952755905511813E-5</c:v>
                </c:pt>
                <c:pt idx="90">
                  <c:v>1.7559055118110236E-5</c:v>
                </c:pt>
                <c:pt idx="91">
                  <c:v>1.7204724409448819E-5</c:v>
                </c:pt>
                <c:pt idx="92">
                  <c:v>1.6850393700787401E-5</c:v>
                </c:pt>
                <c:pt idx="93">
                  <c:v>1.6535433070866142E-5</c:v>
                </c:pt>
                <c:pt idx="94">
                  <c:v>1.6259842519685042E-5</c:v>
                </c:pt>
                <c:pt idx="95">
                  <c:v>1.5944881889763779E-5</c:v>
                </c:pt>
                <c:pt idx="96">
                  <c:v>1.5708661417322834E-5</c:v>
                </c:pt>
                <c:pt idx="97">
                  <c:v>1.5433070866141734E-5</c:v>
                </c:pt>
                <c:pt idx="98">
                  <c:v>1.5196850393700789E-5</c:v>
                </c:pt>
                <c:pt idx="99">
                  <c:v>1.5E-5</c:v>
                </c:pt>
                <c:pt idx="100">
                  <c:v>1.4803149606299212E-5</c:v>
                </c:pt>
                <c:pt idx="101">
                  <c:v>1.4606299212598424E-5</c:v>
                </c:pt>
                <c:pt idx="102">
                  <c:v>1.4409448818897639E-5</c:v>
                </c:pt>
                <c:pt idx="103">
                  <c:v>1.4212598425196851E-5</c:v>
                </c:pt>
                <c:pt idx="104">
                  <c:v>1.4055118110236222E-5</c:v>
                </c:pt>
                <c:pt idx="105">
                  <c:v>1.3897637795275592E-5</c:v>
                </c:pt>
                <c:pt idx="106">
                  <c:v>1.3740157480314963E-5</c:v>
                </c:pt>
                <c:pt idx="107">
                  <c:v>1.3582677165354331E-5</c:v>
                </c:pt>
                <c:pt idx="108">
                  <c:v>1.346456692913386E-5</c:v>
                </c:pt>
                <c:pt idx="109">
                  <c:v>1.3307086614173228E-5</c:v>
                </c:pt>
                <c:pt idx="110">
                  <c:v>1.3188976377952757E-5</c:v>
                </c:pt>
                <c:pt idx="111">
                  <c:v>1.3070866141732284E-5</c:v>
                </c:pt>
                <c:pt idx="112">
                  <c:v>1.2952755905511812E-5</c:v>
                </c:pt>
                <c:pt idx="113">
                  <c:v>1.2874015748031496E-5</c:v>
                </c:pt>
                <c:pt idx="114">
                  <c:v>1.2755905511811025E-5</c:v>
                </c:pt>
                <c:pt idx="115">
                  <c:v>1.2677165354330709E-5</c:v>
                </c:pt>
                <c:pt idx="116">
                  <c:v>1.2598425196850396E-5</c:v>
                </c:pt>
                <c:pt idx="117">
                  <c:v>1.2480314960629923E-5</c:v>
                </c:pt>
                <c:pt idx="118">
                  <c:v>1.2401574803149607E-5</c:v>
                </c:pt>
                <c:pt idx="119">
                  <c:v>1.2322834645669293E-5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FFC-4692-9D39-E33A12CDA94C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P4_LB!$A$7:$A$126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P4_LB!$H$7:$H$126</c:f>
              <c:numCache>
                <c:formatCode>0.00E+00</c:formatCode>
                <c:ptCount val="120"/>
                <c:pt idx="0">
                  <c:v>2.8661417322834645E-8</c:v>
                </c:pt>
                <c:pt idx="1">
                  <c:v>1.1456692913385827E-7</c:v>
                </c:pt>
                <c:pt idx="2">
                  <c:v>2.578740157480315E-7</c:v>
                </c:pt>
                <c:pt idx="3">
                  <c:v>4.5669291338582676E-7</c:v>
                </c:pt>
                <c:pt idx="4">
                  <c:v>7.1653543307086631E-7</c:v>
                </c:pt>
                <c:pt idx="5">
                  <c:v>1.0354330708661418E-6</c:v>
                </c:pt>
                <c:pt idx="6">
                  <c:v>1.4212598425196851E-6</c:v>
                </c:pt>
                <c:pt idx="7">
                  <c:v>1.8779527559055118E-6</c:v>
                </c:pt>
                <c:pt idx="8">
                  <c:v>2.4133858267716535E-6</c:v>
                </c:pt>
                <c:pt idx="9">
                  <c:v>3.0236220472440943E-6</c:v>
                </c:pt>
                <c:pt idx="10">
                  <c:v>3.7244094488188977E-6</c:v>
                </c:pt>
                <c:pt idx="11">
                  <c:v>4.527559055118111E-6</c:v>
                </c:pt>
                <c:pt idx="12">
                  <c:v>5.3937007874015751E-6</c:v>
                </c:pt>
                <c:pt idx="13">
                  <c:v>6.4173228346456686E-6</c:v>
                </c:pt>
                <c:pt idx="14">
                  <c:v>7.5590551181102365E-6</c:v>
                </c:pt>
                <c:pt idx="15">
                  <c:v>8.8582677165354338E-6</c:v>
                </c:pt>
                <c:pt idx="16">
                  <c:v>1.031496062992126E-5</c:v>
                </c:pt>
                <c:pt idx="17">
                  <c:v>1.1968503937007876E-5</c:v>
                </c:pt>
                <c:pt idx="18">
                  <c:v>1.3818897637795276E-5</c:v>
                </c:pt>
                <c:pt idx="19">
                  <c:v>1.5984251968503938E-5</c:v>
                </c:pt>
                <c:pt idx="20">
                  <c:v>1.8464566929133858E-5</c:v>
                </c:pt>
                <c:pt idx="21">
                  <c:v>2.1417322834645669E-5</c:v>
                </c:pt>
                <c:pt idx="22">
                  <c:v>2.4881889763779532E-5</c:v>
                </c:pt>
                <c:pt idx="23">
                  <c:v>2.905511811023622E-5</c:v>
                </c:pt>
                <c:pt idx="24">
                  <c:v>3.4173228346456692E-5</c:v>
                </c:pt>
                <c:pt idx="25">
                  <c:v>4.0551181102362211E-5</c:v>
                </c:pt>
                <c:pt idx="26">
                  <c:v>4.8031496062992124E-5</c:v>
                </c:pt>
                <c:pt idx="27">
                  <c:v>5.669291338582677E-5</c:v>
                </c:pt>
                <c:pt idx="28">
                  <c:v>6.6535433070866141E-5</c:v>
                </c:pt>
                <c:pt idx="29">
                  <c:v>7.5196850393700787E-5</c:v>
                </c:pt>
                <c:pt idx="30">
                  <c:v>8.1889763779527554E-5</c:v>
                </c:pt>
                <c:pt idx="31">
                  <c:v>8.5433070866141738E-5</c:v>
                </c:pt>
                <c:pt idx="32">
                  <c:v>8.5826771653543311E-5</c:v>
                </c:pt>
                <c:pt idx="33">
                  <c:v>8.3858267716535432E-5</c:v>
                </c:pt>
                <c:pt idx="34">
                  <c:v>8.1102362204724422E-5</c:v>
                </c:pt>
                <c:pt idx="35">
                  <c:v>7.7559055118110252E-5</c:v>
                </c:pt>
                <c:pt idx="36">
                  <c:v>7.4015748031496068E-5</c:v>
                </c:pt>
                <c:pt idx="37">
                  <c:v>7.0866141732283471E-5</c:v>
                </c:pt>
                <c:pt idx="38">
                  <c:v>6.8110236220472446E-5</c:v>
                </c:pt>
                <c:pt idx="39">
                  <c:v>6.5354330708661422E-5</c:v>
                </c:pt>
                <c:pt idx="40">
                  <c:v>6.3385826771653557E-5</c:v>
                </c:pt>
                <c:pt idx="41">
                  <c:v>6.1417322834645679E-5</c:v>
                </c:pt>
                <c:pt idx="42">
                  <c:v>6.0236220472440947E-5</c:v>
                </c:pt>
                <c:pt idx="43">
                  <c:v>5.9055118110236228E-5</c:v>
                </c:pt>
                <c:pt idx="44">
                  <c:v>5.8267716535433075E-5</c:v>
                </c:pt>
                <c:pt idx="45">
                  <c:v>5.7874015748031495E-5</c:v>
                </c:pt>
                <c:pt idx="46">
                  <c:v>5.7480314960629922E-5</c:v>
                </c:pt>
                <c:pt idx="47">
                  <c:v>5.7086614173228356E-5</c:v>
                </c:pt>
                <c:pt idx="48">
                  <c:v>5.7086614173228356E-5</c:v>
                </c:pt>
                <c:pt idx="49">
                  <c:v>5.7086614173228356E-5</c:v>
                </c:pt>
                <c:pt idx="50">
                  <c:v>5.7086614173228356E-5</c:v>
                </c:pt>
                <c:pt idx="51">
                  <c:v>5.7086614173228356E-5</c:v>
                </c:pt>
                <c:pt idx="52">
                  <c:v>5.7480314960629922E-5</c:v>
                </c:pt>
                <c:pt idx="53">
                  <c:v>5.7874015748031495E-5</c:v>
                </c:pt>
                <c:pt idx="54">
                  <c:v>5.8267716535433075E-5</c:v>
                </c:pt>
                <c:pt idx="55">
                  <c:v>5.8661417322834648E-5</c:v>
                </c:pt>
                <c:pt idx="56">
                  <c:v>5.9448818897637794E-5</c:v>
                </c:pt>
                <c:pt idx="57">
                  <c:v>6.0629921259842526E-5</c:v>
                </c:pt>
                <c:pt idx="58">
                  <c:v>6.1811023622047252E-5</c:v>
                </c:pt>
                <c:pt idx="59">
                  <c:v>6.2992125984251971E-5</c:v>
                </c:pt>
                <c:pt idx="60">
                  <c:v>6.4173228346456703E-5</c:v>
                </c:pt>
                <c:pt idx="61">
                  <c:v>6.5354330708661422E-5</c:v>
                </c:pt>
                <c:pt idx="62">
                  <c:v>6.6535433070866141E-5</c:v>
                </c:pt>
                <c:pt idx="63">
                  <c:v>6.7716535433070873E-5</c:v>
                </c:pt>
                <c:pt idx="64">
                  <c:v>6.8503937007874019E-5</c:v>
                </c:pt>
                <c:pt idx="65">
                  <c:v>6.9685039370078752E-5</c:v>
                </c:pt>
                <c:pt idx="66">
                  <c:v>7.0472440944881884E-5</c:v>
                </c:pt>
                <c:pt idx="67">
                  <c:v>7.1259842519685044E-5</c:v>
                </c:pt>
                <c:pt idx="68">
                  <c:v>7.1653543307086617E-5</c:v>
                </c:pt>
                <c:pt idx="69">
                  <c:v>7.1653543307086617E-5</c:v>
                </c:pt>
                <c:pt idx="70">
                  <c:v>7.2047244094488189E-5</c:v>
                </c:pt>
                <c:pt idx="71">
                  <c:v>7.2047244094488189E-5</c:v>
                </c:pt>
                <c:pt idx="72">
                  <c:v>7.1653543307086617E-5</c:v>
                </c:pt>
                <c:pt idx="73">
                  <c:v>7.1653543307086617E-5</c:v>
                </c:pt>
                <c:pt idx="74">
                  <c:v>7.1259842519685044E-5</c:v>
                </c:pt>
                <c:pt idx="75">
                  <c:v>7.0866141732283471E-5</c:v>
                </c:pt>
                <c:pt idx="76">
                  <c:v>7.0866141732283471E-5</c:v>
                </c:pt>
                <c:pt idx="77">
                  <c:v>7.0472440944881884E-5</c:v>
                </c:pt>
                <c:pt idx="78">
                  <c:v>7.0078740157480311E-5</c:v>
                </c:pt>
                <c:pt idx="79">
                  <c:v>6.9685039370078752E-5</c:v>
                </c:pt>
                <c:pt idx="80">
                  <c:v>6.9685039370078752E-5</c:v>
                </c:pt>
                <c:pt idx="81">
                  <c:v>6.9291338582677165E-5</c:v>
                </c:pt>
                <c:pt idx="82">
                  <c:v>6.8897637795275592E-5</c:v>
                </c:pt>
                <c:pt idx="83">
                  <c:v>6.8503937007874019E-5</c:v>
                </c:pt>
                <c:pt idx="84">
                  <c:v>6.8110236220472446E-5</c:v>
                </c:pt>
                <c:pt idx="85">
                  <c:v>6.8110236220472446E-5</c:v>
                </c:pt>
                <c:pt idx="86">
                  <c:v>6.7716535433070873E-5</c:v>
                </c:pt>
                <c:pt idx="87">
                  <c:v>6.7322834645669287E-5</c:v>
                </c:pt>
                <c:pt idx="88">
                  <c:v>6.7322834645669287E-5</c:v>
                </c:pt>
                <c:pt idx="89">
                  <c:v>6.6929133858267728E-5</c:v>
                </c:pt>
                <c:pt idx="90">
                  <c:v>6.6535433070866141E-5</c:v>
                </c:pt>
                <c:pt idx="91">
                  <c:v>6.6535433070866141E-5</c:v>
                </c:pt>
                <c:pt idx="92">
                  <c:v>6.6141732283464568E-5</c:v>
                </c:pt>
                <c:pt idx="93">
                  <c:v>6.6141732283464568E-5</c:v>
                </c:pt>
                <c:pt idx="94">
                  <c:v>6.5748031496062995E-5</c:v>
                </c:pt>
                <c:pt idx="95">
                  <c:v>6.5748031496062995E-5</c:v>
                </c:pt>
                <c:pt idx="96">
                  <c:v>6.5748031496062995E-5</c:v>
                </c:pt>
                <c:pt idx="97">
                  <c:v>6.5354330708661422E-5</c:v>
                </c:pt>
                <c:pt idx="98">
                  <c:v>6.5354330708661422E-5</c:v>
                </c:pt>
                <c:pt idx="99">
                  <c:v>6.4960629921259849E-5</c:v>
                </c:pt>
                <c:pt idx="100">
                  <c:v>6.4960629921259849E-5</c:v>
                </c:pt>
                <c:pt idx="101">
                  <c:v>6.4960629921259849E-5</c:v>
                </c:pt>
                <c:pt idx="102">
                  <c:v>6.4566929133858276E-5</c:v>
                </c:pt>
                <c:pt idx="103">
                  <c:v>6.4566929133858276E-5</c:v>
                </c:pt>
                <c:pt idx="104">
                  <c:v>6.4566929133858276E-5</c:v>
                </c:pt>
                <c:pt idx="105">
                  <c:v>6.4173228346456703E-5</c:v>
                </c:pt>
                <c:pt idx="106">
                  <c:v>6.4173228346456703E-5</c:v>
                </c:pt>
                <c:pt idx="107">
                  <c:v>6.4173228346456703E-5</c:v>
                </c:pt>
                <c:pt idx="108">
                  <c:v>6.3779527559055117E-5</c:v>
                </c:pt>
                <c:pt idx="109">
                  <c:v>6.3779527559055117E-5</c:v>
                </c:pt>
                <c:pt idx="110">
                  <c:v>6.3779527559055117E-5</c:v>
                </c:pt>
                <c:pt idx="111">
                  <c:v>6.3385826771653557E-5</c:v>
                </c:pt>
                <c:pt idx="112">
                  <c:v>6.3385826771653557E-5</c:v>
                </c:pt>
                <c:pt idx="113">
                  <c:v>6.3385826771653557E-5</c:v>
                </c:pt>
                <c:pt idx="114">
                  <c:v>6.3385826771653557E-5</c:v>
                </c:pt>
                <c:pt idx="115">
                  <c:v>6.2992125984251971E-5</c:v>
                </c:pt>
                <c:pt idx="116">
                  <c:v>6.2992125984251971E-5</c:v>
                </c:pt>
                <c:pt idx="117">
                  <c:v>6.2992125984251971E-5</c:v>
                </c:pt>
                <c:pt idx="118">
                  <c:v>6.2992125984251971E-5</c:v>
                </c:pt>
                <c:pt idx="119">
                  <c:v>6.2598425196850398E-5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FFC-4692-9D39-E33A12CDA94C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3FFC-4692-9D39-E33A12CDA94C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5.5551181102362203E-4</c:v>
                </c:pt>
                <c:pt idx="1">
                  <c:v>5.5551181102362203E-4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FFC-4692-9D39-E33A12CDA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C9-4369-8226-1D3BA31DC50F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C9-4369-8226-1D3BA31DC50F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C9-4369-8226-1D3BA31DC50F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C9-4369-8226-1D3BA31DC50F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C9-4369-8226-1D3BA31DC50F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CC9-4369-8226-1D3BA31DC50F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CC9-4369-8226-1D3BA31DC50F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CC9-4369-8226-1D3BA31DC50F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CC9-4369-8226-1D3BA31DC50F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CC9-4369-8226-1D3BA31DC50F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CC9-4369-8226-1D3BA31DC50F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CC9-4369-8226-1D3BA31DC50F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CC9-4369-8226-1D3BA31DC50F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CC9-4369-8226-1D3BA31DC50F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CC9-4369-8226-1D3BA31DC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3C-4569-A2D1-F251D3996247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3C-4569-A2D1-F251D3996247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3C-4569-A2D1-F251D3996247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3C-4569-A2D1-F251D3996247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3C-4569-A2D1-F251D3996247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63C-4569-A2D1-F251D3996247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63C-4569-A2D1-F251D3996247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63C-4569-A2D1-F251D3996247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63C-4569-A2D1-F251D3996247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63C-4569-A2D1-F251D3996247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63C-4569-A2D1-F251D3996247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P5_LB!$A$7:$A$126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P5_LB!$F$7:$F$126</c:f>
              <c:numCache>
                <c:formatCode>0.00E+00</c:formatCode>
                <c:ptCount val="120"/>
                <c:pt idx="0">
                  <c:v>3.0314960629921261E-8</c:v>
                </c:pt>
                <c:pt idx="1">
                  <c:v>1.2165354330708663E-7</c:v>
                </c:pt>
                <c:pt idx="2">
                  <c:v>2.7598425196850396E-7</c:v>
                </c:pt>
                <c:pt idx="3">
                  <c:v>4.960629921259843E-7</c:v>
                </c:pt>
                <c:pt idx="4">
                  <c:v>7.8740157480314972E-7</c:v>
                </c:pt>
                <c:pt idx="5">
                  <c:v>1.1496062992125985E-6</c:v>
                </c:pt>
                <c:pt idx="6">
                  <c:v>1.5944881889763781E-6</c:v>
                </c:pt>
                <c:pt idx="7">
                  <c:v>2.1299212598425198E-6</c:v>
                </c:pt>
                <c:pt idx="8">
                  <c:v>2.7598425196850392E-6</c:v>
                </c:pt>
                <c:pt idx="9">
                  <c:v>3.5039370078740162E-6</c:v>
                </c:pt>
                <c:pt idx="10">
                  <c:v>4.3700787401574806E-6</c:v>
                </c:pt>
                <c:pt idx="11">
                  <c:v>5.3543307086614173E-6</c:v>
                </c:pt>
                <c:pt idx="12">
                  <c:v>6.535433070866142E-6</c:v>
                </c:pt>
                <c:pt idx="13">
                  <c:v>7.8740157480314964E-6</c:v>
                </c:pt>
                <c:pt idx="14">
                  <c:v>9.448818897637795E-6</c:v>
                </c:pt>
                <c:pt idx="15">
                  <c:v>1.1299212598425199E-5</c:v>
                </c:pt>
                <c:pt idx="16">
                  <c:v>1.346456692913386E-5</c:v>
                </c:pt>
                <c:pt idx="17">
                  <c:v>1.5944881889763779E-5</c:v>
                </c:pt>
                <c:pt idx="18">
                  <c:v>1.8858267716535435E-5</c:v>
                </c:pt>
                <c:pt idx="19">
                  <c:v>2.2322834645669294E-5</c:v>
                </c:pt>
                <c:pt idx="20">
                  <c:v>2.6456692913385827E-5</c:v>
                </c:pt>
                <c:pt idx="21">
                  <c:v>3.1377952755905509E-5</c:v>
                </c:pt>
                <c:pt idx="22">
                  <c:v>3.732283464566929E-5</c:v>
                </c:pt>
                <c:pt idx="23">
                  <c:v>4.4488188976377954E-5</c:v>
                </c:pt>
                <c:pt idx="24">
                  <c:v>5.3149606299212606E-5</c:v>
                </c:pt>
                <c:pt idx="25">
                  <c:v>6.3779527559055117E-5</c:v>
                </c:pt>
                <c:pt idx="26">
                  <c:v>7.559055118110236E-5</c:v>
                </c:pt>
                <c:pt idx="27">
                  <c:v>8.8582677165354348E-5</c:v>
                </c:pt>
                <c:pt idx="28">
                  <c:v>1.015748031496063E-4</c:v>
                </c:pt>
                <c:pt idx="29">
                  <c:v>1.1141732283464567E-4</c:v>
                </c:pt>
                <c:pt idx="30">
                  <c:v>1.1692913385826772E-4</c:v>
                </c:pt>
                <c:pt idx="31">
                  <c:v>1.173228346456693E-4</c:v>
                </c:pt>
                <c:pt idx="32">
                  <c:v>1.1377952755905511E-4</c:v>
                </c:pt>
                <c:pt idx="33">
                  <c:v>1.0866141732283465E-4</c:v>
                </c:pt>
                <c:pt idx="34">
                  <c:v>1.0275590551181103E-4</c:v>
                </c:pt>
                <c:pt idx="35">
                  <c:v>9.7244094488188981E-5</c:v>
                </c:pt>
                <c:pt idx="36">
                  <c:v>9.2519685039370092E-5</c:v>
                </c:pt>
                <c:pt idx="37">
                  <c:v>8.8188976377952775E-5</c:v>
                </c:pt>
                <c:pt idx="38">
                  <c:v>8.5039370078740165E-5</c:v>
                </c:pt>
                <c:pt idx="39">
                  <c:v>8.1889763779527554E-5</c:v>
                </c:pt>
                <c:pt idx="40">
                  <c:v>7.9527559055118116E-5</c:v>
                </c:pt>
                <c:pt idx="41">
                  <c:v>7.7559055118110252E-5</c:v>
                </c:pt>
                <c:pt idx="42">
                  <c:v>7.6377952755905519E-5</c:v>
                </c:pt>
                <c:pt idx="43">
                  <c:v>7.4803149606299214E-5</c:v>
                </c:pt>
                <c:pt idx="44">
                  <c:v>7.4015748031496068E-5</c:v>
                </c:pt>
                <c:pt idx="45">
                  <c:v>7.3622047244094495E-5</c:v>
                </c:pt>
                <c:pt idx="46">
                  <c:v>7.2834645669291349E-5</c:v>
                </c:pt>
                <c:pt idx="47">
                  <c:v>7.2834645669291349E-5</c:v>
                </c:pt>
                <c:pt idx="48">
                  <c:v>7.2834645669291349E-5</c:v>
                </c:pt>
                <c:pt idx="49">
                  <c:v>7.2834645669291349E-5</c:v>
                </c:pt>
                <c:pt idx="50">
                  <c:v>7.2834645669291349E-5</c:v>
                </c:pt>
                <c:pt idx="51">
                  <c:v>7.3228346456692908E-5</c:v>
                </c:pt>
                <c:pt idx="52">
                  <c:v>7.3622047244094495E-5</c:v>
                </c:pt>
                <c:pt idx="53">
                  <c:v>7.4409448818897641E-5</c:v>
                </c:pt>
                <c:pt idx="54">
                  <c:v>7.4803149606299214E-5</c:v>
                </c:pt>
                <c:pt idx="55">
                  <c:v>7.559055118110236E-5</c:v>
                </c:pt>
                <c:pt idx="56">
                  <c:v>7.6377952755905519E-5</c:v>
                </c:pt>
                <c:pt idx="57">
                  <c:v>7.7559055118110252E-5</c:v>
                </c:pt>
                <c:pt idx="58">
                  <c:v>7.8346456692913397E-5</c:v>
                </c:pt>
                <c:pt idx="59">
                  <c:v>7.913385826771653E-5</c:v>
                </c:pt>
                <c:pt idx="60">
                  <c:v>8.0314960629921276E-5</c:v>
                </c:pt>
                <c:pt idx="61">
                  <c:v>8.1102362204724422E-5</c:v>
                </c:pt>
                <c:pt idx="62">
                  <c:v>8.1889763779527554E-5</c:v>
                </c:pt>
                <c:pt idx="63">
                  <c:v>8.2283464566929127E-5</c:v>
                </c:pt>
                <c:pt idx="64">
                  <c:v>8.2677165354330713E-5</c:v>
                </c:pt>
                <c:pt idx="65">
                  <c:v>8.2283464566929127E-5</c:v>
                </c:pt>
                <c:pt idx="66">
                  <c:v>8.1496062992125995E-5</c:v>
                </c:pt>
                <c:pt idx="67">
                  <c:v>7.9921259842519689E-5</c:v>
                </c:pt>
                <c:pt idx="68">
                  <c:v>7.7952755905511811E-5</c:v>
                </c:pt>
                <c:pt idx="69">
                  <c:v>7.5196850393700787E-5</c:v>
                </c:pt>
                <c:pt idx="70">
                  <c:v>7.1653543307086617E-5</c:v>
                </c:pt>
                <c:pt idx="71">
                  <c:v>6.7716535433070873E-5</c:v>
                </c:pt>
                <c:pt idx="72">
                  <c:v>6.3385826771653557E-5</c:v>
                </c:pt>
                <c:pt idx="73">
                  <c:v>5.9055118110236228E-5</c:v>
                </c:pt>
                <c:pt idx="74">
                  <c:v>5.5118110236220478E-5</c:v>
                </c:pt>
                <c:pt idx="75">
                  <c:v>5.0787401574803148E-5</c:v>
                </c:pt>
                <c:pt idx="76">
                  <c:v>4.7244094488188978E-5</c:v>
                </c:pt>
                <c:pt idx="77">
                  <c:v>4.3700787401574801E-5</c:v>
                </c:pt>
                <c:pt idx="78">
                  <c:v>4.0157480314960638E-5</c:v>
                </c:pt>
                <c:pt idx="79">
                  <c:v>3.720472440944882E-5</c:v>
                </c:pt>
                <c:pt idx="80">
                  <c:v>3.4488188976377955E-5</c:v>
                </c:pt>
                <c:pt idx="81">
                  <c:v>3.1968503937007876E-5</c:v>
                </c:pt>
                <c:pt idx="82">
                  <c:v>2.9724409448818897E-5</c:v>
                </c:pt>
                <c:pt idx="83">
                  <c:v>2.7637795275590553E-5</c:v>
                </c:pt>
                <c:pt idx="84">
                  <c:v>2.578740157480315E-5</c:v>
                </c:pt>
                <c:pt idx="85">
                  <c:v>2.4094488188976379E-5</c:v>
                </c:pt>
                <c:pt idx="86">
                  <c:v>2.2559055118110236E-5</c:v>
                </c:pt>
                <c:pt idx="87">
                  <c:v>2.1181102362204724E-5</c:v>
                </c:pt>
                <c:pt idx="88">
                  <c:v>1.9921259842519688E-5</c:v>
                </c:pt>
                <c:pt idx="89">
                  <c:v>1.8818897637795276E-5</c:v>
                </c:pt>
                <c:pt idx="90">
                  <c:v>1.7795275590551185E-5</c:v>
                </c:pt>
                <c:pt idx="91">
                  <c:v>1.688976377952756E-5</c:v>
                </c:pt>
                <c:pt idx="92">
                  <c:v>1.6023622047244093E-5</c:v>
                </c:pt>
                <c:pt idx="93">
                  <c:v>1.5275590551181102E-5</c:v>
                </c:pt>
                <c:pt idx="94">
                  <c:v>1.4606299212598424E-5</c:v>
                </c:pt>
                <c:pt idx="95">
                  <c:v>1.3976377952755906E-5</c:v>
                </c:pt>
                <c:pt idx="96">
                  <c:v>1.3425196850393702E-5</c:v>
                </c:pt>
                <c:pt idx="97">
                  <c:v>1.2952755905511812E-5</c:v>
                </c:pt>
                <c:pt idx="98">
                  <c:v>1.251968503937008E-5</c:v>
                </c:pt>
                <c:pt idx="99">
                  <c:v>1.2125984251968505E-5</c:v>
                </c:pt>
                <c:pt idx="100">
                  <c:v>1.1771653543307088E-5</c:v>
                </c:pt>
                <c:pt idx="101">
                  <c:v>1.1456692913385827E-5</c:v>
                </c:pt>
                <c:pt idx="102">
                  <c:v>1.1181102362204726E-5</c:v>
                </c:pt>
                <c:pt idx="103">
                  <c:v>1.094488188976378E-5</c:v>
                </c:pt>
                <c:pt idx="104">
                  <c:v>1.0708661417322835E-5</c:v>
                </c:pt>
                <c:pt idx="105">
                  <c:v>1.0511811023622048E-5</c:v>
                </c:pt>
                <c:pt idx="106">
                  <c:v>1.0354330708661419E-5</c:v>
                </c:pt>
                <c:pt idx="107">
                  <c:v>1.0236220472440944E-5</c:v>
                </c:pt>
                <c:pt idx="108">
                  <c:v>1.0118110236220472E-5</c:v>
                </c:pt>
                <c:pt idx="109">
                  <c:v>1.0000000000000003E-5</c:v>
                </c:pt>
                <c:pt idx="110">
                  <c:v>9.9212598425196852E-6</c:v>
                </c:pt>
                <c:pt idx="111">
                  <c:v>9.8425196850393713E-6</c:v>
                </c:pt>
                <c:pt idx="112">
                  <c:v>9.8031496062992143E-6</c:v>
                </c:pt>
                <c:pt idx="113">
                  <c:v>9.724409448818897E-6</c:v>
                </c:pt>
                <c:pt idx="114">
                  <c:v>9.6850393700787418E-6</c:v>
                </c:pt>
                <c:pt idx="115">
                  <c:v>9.6456692913385831E-6</c:v>
                </c:pt>
                <c:pt idx="116">
                  <c:v>9.6456692913385831E-6</c:v>
                </c:pt>
                <c:pt idx="117">
                  <c:v>9.6062992125984262E-6</c:v>
                </c:pt>
                <c:pt idx="118">
                  <c:v>9.6062992125984262E-6</c:v>
                </c:pt>
                <c:pt idx="119">
                  <c:v>9.5669291338582675E-6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63C-4569-A2D1-F251D3996247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P5_LB!$A$7:$A$126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P5_LB!$G$7:$G$126</c:f>
              <c:numCache>
                <c:formatCode>0.00E+00</c:formatCode>
                <c:ptCount val="120"/>
                <c:pt idx="0">
                  <c:v>2.681102362204725E-9</c:v>
                </c:pt>
                <c:pt idx="1">
                  <c:v>1.078740157480315E-8</c:v>
                </c:pt>
                <c:pt idx="2">
                  <c:v>2.44488188976378E-8</c:v>
                </c:pt>
                <c:pt idx="3">
                  <c:v>4.409448818897638E-8</c:v>
                </c:pt>
                <c:pt idx="4">
                  <c:v>6.9685039370078741E-8</c:v>
                </c:pt>
                <c:pt idx="5">
                  <c:v>1.0236220472440946E-7</c:v>
                </c:pt>
                <c:pt idx="6">
                  <c:v>1.425196850393701E-7</c:v>
                </c:pt>
                <c:pt idx="7">
                  <c:v>1.9055118110236223E-7</c:v>
                </c:pt>
                <c:pt idx="8">
                  <c:v>2.4763779527559059E-7</c:v>
                </c:pt>
                <c:pt idx="9">
                  <c:v>3.1535433070866139E-7</c:v>
                </c:pt>
                <c:pt idx="10">
                  <c:v>3.9370078740157486E-7</c:v>
                </c:pt>
                <c:pt idx="11">
                  <c:v>4.8818897637795274E-7</c:v>
                </c:pt>
                <c:pt idx="12">
                  <c:v>5.9842519685039375E-7</c:v>
                </c:pt>
                <c:pt idx="13">
                  <c:v>7.2440944881889766E-7</c:v>
                </c:pt>
                <c:pt idx="14">
                  <c:v>8.7401574803149615E-7</c:v>
                </c:pt>
                <c:pt idx="15">
                  <c:v>1.0472440944881891E-6</c:v>
                </c:pt>
                <c:pt idx="16">
                  <c:v>1.2480314960629922E-6</c:v>
                </c:pt>
                <c:pt idx="17">
                  <c:v>1.4842519685039371E-6</c:v>
                </c:pt>
                <c:pt idx="18">
                  <c:v>1.7598425196850396E-6</c:v>
                </c:pt>
                <c:pt idx="19">
                  <c:v>2.0866141732283467E-6</c:v>
                </c:pt>
                <c:pt idx="20">
                  <c:v>2.4724409448818902E-6</c:v>
                </c:pt>
                <c:pt idx="21">
                  <c:v>2.9330708661417322E-6</c:v>
                </c:pt>
                <c:pt idx="22">
                  <c:v>3.480314960629921E-6</c:v>
                </c:pt>
                <c:pt idx="23">
                  <c:v>4.1338582677165355E-6</c:v>
                </c:pt>
                <c:pt idx="24">
                  <c:v>4.9212598425196856E-6</c:v>
                </c:pt>
                <c:pt idx="25">
                  <c:v>5.8267716535433075E-6</c:v>
                </c:pt>
                <c:pt idx="26">
                  <c:v>6.8897637795275597E-6</c:v>
                </c:pt>
                <c:pt idx="27">
                  <c:v>8.1496062992125984E-6</c:v>
                </c:pt>
                <c:pt idx="28">
                  <c:v>9.4881889763779536E-6</c:v>
                </c:pt>
                <c:pt idx="29">
                  <c:v>1.0905511811023623E-5</c:v>
                </c:pt>
                <c:pt idx="30">
                  <c:v>1.2244094488188978E-5</c:v>
                </c:pt>
                <c:pt idx="31">
                  <c:v>1.3385826771653543E-5</c:v>
                </c:pt>
                <c:pt idx="32">
                  <c:v>1.4173228346456692E-5</c:v>
                </c:pt>
                <c:pt idx="33">
                  <c:v>1.4606299212598424E-5</c:v>
                </c:pt>
                <c:pt idx="34">
                  <c:v>1.4803149606299212E-5</c:v>
                </c:pt>
                <c:pt idx="35">
                  <c:v>1.4763779527559057E-5</c:v>
                </c:pt>
                <c:pt idx="36">
                  <c:v>1.4606299212598424E-5</c:v>
                </c:pt>
                <c:pt idx="37">
                  <c:v>1.4448818897637795E-5</c:v>
                </c:pt>
                <c:pt idx="38">
                  <c:v>1.4251968503937008E-5</c:v>
                </c:pt>
                <c:pt idx="39">
                  <c:v>1.409448818897638E-5</c:v>
                </c:pt>
                <c:pt idx="40">
                  <c:v>1.3937007874015751E-5</c:v>
                </c:pt>
                <c:pt idx="41">
                  <c:v>1.3818897637795276E-5</c:v>
                </c:pt>
                <c:pt idx="42">
                  <c:v>1.3700787401574804E-5</c:v>
                </c:pt>
                <c:pt idx="43">
                  <c:v>1.362204724409449E-5</c:v>
                </c:pt>
                <c:pt idx="44">
                  <c:v>1.3503937007874016E-5</c:v>
                </c:pt>
                <c:pt idx="45">
                  <c:v>1.3425196850393702E-5</c:v>
                </c:pt>
                <c:pt idx="46">
                  <c:v>1.3307086614173228E-5</c:v>
                </c:pt>
                <c:pt idx="47">
                  <c:v>1.3149606299212598E-5</c:v>
                </c:pt>
                <c:pt idx="48">
                  <c:v>1.3031496062992125E-5</c:v>
                </c:pt>
                <c:pt idx="49">
                  <c:v>1.2913385826771655E-5</c:v>
                </c:pt>
                <c:pt idx="50">
                  <c:v>1.2834645669291337E-5</c:v>
                </c:pt>
                <c:pt idx="51">
                  <c:v>1.2795275590551182E-5</c:v>
                </c:pt>
                <c:pt idx="52">
                  <c:v>1.2913385826771655E-5</c:v>
                </c:pt>
                <c:pt idx="53">
                  <c:v>1.3110236220472441E-5</c:v>
                </c:pt>
                <c:pt idx="54">
                  <c:v>1.3543307086614174E-5</c:v>
                </c:pt>
                <c:pt idx="55">
                  <c:v>1.4133858267716535E-5</c:v>
                </c:pt>
                <c:pt idx="56">
                  <c:v>1.4921259842519686E-5</c:v>
                </c:pt>
                <c:pt idx="57">
                  <c:v>1.5905511811023624E-5</c:v>
                </c:pt>
                <c:pt idx="58">
                  <c:v>1.7047244094488191E-5</c:v>
                </c:pt>
                <c:pt idx="59">
                  <c:v>1.8385826771653544E-5</c:v>
                </c:pt>
                <c:pt idx="60">
                  <c:v>1.9881889763779529E-5</c:v>
                </c:pt>
                <c:pt idx="61">
                  <c:v>2.1496062992125986E-5</c:v>
                </c:pt>
                <c:pt idx="62">
                  <c:v>2.3228346456692913E-5</c:v>
                </c:pt>
                <c:pt idx="63">
                  <c:v>2.4999999999999998E-5</c:v>
                </c:pt>
                <c:pt idx="64">
                  <c:v>2.6811023622047248E-5</c:v>
                </c:pt>
                <c:pt idx="65">
                  <c:v>2.8543307086614178E-5</c:v>
                </c:pt>
                <c:pt idx="66">
                  <c:v>3.0157480314960632E-5</c:v>
                </c:pt>
                <c:pt idx="67">
                  <c:v>3.1496062992125985E-5</c:v>
                </c:pt>
                <c:pt idx="68">
                  <c:v>3.2559055118110235E-5</c:v>
                </c:pt>
                <c:pt idx="69">
                  <c:v>3.3267716535433071E-5</c:v>
                </c:pt>
                <c:pt idx="70">
                  <c:v>3.3622047244094492E-5</c:v>
                </c:pt>
                <c:pt idx="71">
                  <c:v>3.3582677165354333E-5</c:v>
                </c:pt>
                <c:pt idx="72">
                  <c:v>3.3307086614173236E-5</c:v>
                </c:pt>
                <c:pt idx="73">
                  <c:v>3.2755905511811028E-5</c:v>
                </c:pt>
                <c:pt idx="74">
                  <c:v>3.2047244094488186E-5</c:v>
                </c:pt>
                <c:pt idx="75">
                  <c:v>3.1181102362204723E-5</c:v>
                </c:pt>
                <c:pt idx="76">
                  <c:v>3.0314960629921263E-5</c:v>
                </c:pt>
                <c:pt idx="77">
                  <c:v>2.9370078740157483E-5</c:v>
                </c:pt>
                <c:pt idx="78">
                  <c:v>2.8464566929133861E-5</c:v>
                </c:pt>
                <c:pt idx="79">
                  <c:v>2.7559055118110239E-5</c:v>
                </c:pt>
                <c:pt idx="80">
                  <c:v>2.6692913385826772E-5</c:v>
                </c:pt>
                <c:pt idx="81">
                  <c:v>2.5905511811023623E-5</c:v>
                </c:pt>
                <c:pt idx="82">
                  <c:v>2.5118110236220474E-5</c:v>
                </c:pt>
                <c:pt idx="83">
                  <c:v>2.437007874015748E-5</c:v>
                </c:pt>
                <c:pt idx="84">
                  <c:v>2.3700787401574803E-5</c:v>
                </c:pt>
                <c:pt idx="85">
                  <c:v>2.3070866141732282E-5</c:v>
                </c:pt>
                <c:pt idx="86">
                  <c:v>2.2480314960629922E-5</c:v>
                </c:pt>
                <c:pt idx="87">
                  <c:v>2.1889763779527559E-5</c:v>
                </c:pt>
                <c:pt idx="88">
                  <c:v>2.1377952755905517E-5</c:v>
                </c:pt>
                <c:pt idx="89">
                  <c:v>2.0905511811023623E-5</c:v>
                </c:pt>
                <c:pt idx="90">
                  <c:v>2.0433070866141737E-5</c:v>
                </c:pt>
                <c:pt idx="91">
                  <c:v>2.0000000000000005E-5</c:v>
                </c:pt>
                <c:pt idx="92">
                  <c:v>1.9606299212598429E-5</c:v>
                </c:pt>
                <c:pt idx="93">
                  <c:v>1.9212598425196852E-5</c:v>
                </c:pt>
                <c:pt idx="94">
                  <c:v>1.8858267716535435E-5</c:v>
                </c:pt>
                <c:pt idx="95">
                  <c:v>1.8543307086614176E-5</c:v>
                </c:pt>
                <c:pt idx="96">
                  <c:v>1.8228346456692913E-5</c:v>
                </c:pt>
                <c:pt idx="97">
                  <c:v>1.7913385826771654E-5</c:v>
                </c:pt>
                <c:pt idx="98">
                  <c:v>1.763779527559055E-5</c:v>
                </c:pt>
                <c:pt idx="99">
                  <c:v>1.7401574803149609E-5</c:v>
                </c:pt>
                <c:pt idx="100">
                  <c:v>1.7125984251968505E-5</c:v>
                </c:pt>
                <c:pt idx="101">
                  <c:v>1.688976377952756E-5</c:v>
                </c:pt>
                <c:pt idx="102">
                  <c:v>1.6692913385826773E-5</c:v>
                </c:pt>
                <c:pt idx="103">
                  <c:v>1.6456692913385828E-5</c:v>
                </c:pt>
                <c:pt idx="104">
                  <c:v>1.6259842519685042E-5</c:v>
                </c:pt>
                <c:pt idx="105">
                  <c:v>1.6062992125984252E-5</c:v>
                </c:pt>
                <c:pt idx="106">
                  <c:v>1.5866141732283465E-5</c:v>
                </c:pt>
                <c:pt idx="107">
                  <c:v>1.5708661417322834E-5</c:v>
                </c:pt>
                <c:pt idx="108">
                  <c:v>1.5551181102362203E-5</c:v>
                </c:pt>
                <c:pt idx="109">
                  <c:v>1.535433070866142E-5</c:v>
                </c:pt>
                <c:pt idx="110">
                  <c:v>1.5196850393700789E-5</c:v>
                </c:pt>
                <c:pt idx="111">
                  <c:v>1.5078740157480316E-5</c:v>
                </c:pt>
                <c:pt idx="112">
                  <c:v>1.4921259842519686E-5</c:v>
                </c:pt>
                <c:pt idx="113">
                  <c:v>1.4763779527559057E-5</c:v>
                </c:pt>
                <c:pt idx="114">
                  <c:v>1.4645669291338583E-5</c:v>
                </c:pt>
                <c:pt idx="115">
                  <c:v>1.452755905511811E-5</c:v>
                </c:pt>
                <c:pt idx="116">
                  <c:v>1.4409448818897639E-5</c:v>
                </c:pt>
                <c:pt idx="117">
                  <c:v>1.4291338582677165E-5</c:v>
                </c:pt>
                <c:pt idx="118">
                  <c:v>1.4173228346456692E-5</c:v>
                </c:pt>
                <c:pt idx="119">
                  <c:v>1.4055118110236222E-5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63C-4569-A2D1-F251D3996247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P5_LB!$A$7:$A$126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P5_LB!$H$7:$H$126</c:f>
              <c:numCache>
                <c:formatCode>0.00E+00</c:formatCode>
                <c:ptCount val="120"/>
                <c:pt idx="0">
                  <c:v>2.9409448818897639E-8</c:v>
                </c:pt>
                <c:pt idx="1">
                  <c:v>1.1850393700787403E-7</c:v>
                </c:pt>
                <c:pt idx="2">
                  <c:v>2.6929133858267723E-7</c:v>
                </c:pt>
                <c:pt idx="3">
                  <c:v>4.8425196850393696E-7</c:v>
                </c:pt>
                <c:pt idx="4">
                  <c:v>7.6377952755905504E-7</c:v>
                </c:pt>
                <c:pt idx="5">
                  <c:v>1.1181102362204725E-6</c:v>
                </c:pt>
                <c:pt idx="6">
                  <c:v>1.551181102362205E-6</c:v>
                </c:pt>
                <c:pt idx="7">
                  <c:v>2.0708661417322835E-6</c:v>
                </c:pt>
                <c:pt idx="8">
                  <c:v>2.6850393700787406E-6</c:v>
                </c:pt>
                <c:pt idx="9">
                  <c:v>3.4015748031496063E-6</c:v>
                </c:pt>
                <c:pt idx="10">
                  <c:v>4.2519685039370081E-6</c:v>
                </c:pt>
                <c:pt idx="11">
                  <c:v>5.1968503937007869E-6</c:v>
                </c:pt>
                <c:pt idx="12">
                  <c:v>6.2992125984251978E-6</c:v>
                </c:pt>
                <c:pt idx="13">
                  <c:v>7.5590551181102365E-6</c:v>
                </c:pt>
                <c:pt idx="14">
                  <c:v>9.0157480314960633E-6</c:v>
                </c:pt>
                <c:pt idx="15">
                  <c:v>1.0708661417322835E-5</c:v>
                </c:pt>
                <c:pt idx="16">
                  <c:v>1.2598425196850396E-5</c:v>
                </c:pt>
                <c:pt idx="17">
                  <c:v>1.4803149606299212E-5</c:v>
                </c:pt>
                <c:pt idx="18">
                  <c:v>1.7283464566929136E-5</c:v>
                </c:pt>
                <c:pt idx="19">
                  <c:v>2.0157480314960633E-5</c:v>
                </c:pt>
                <c:pt idx="20">
                  <c:v>2.3464566929133858E-5</c:v>
                </c:pt>
                <c:pt idx="21">
                  <c:v>2.7283464566929132E-5</c:v>
                </c:pt>
                <c:pt idx="22">
                  <c:v>3.1692913385826779E-5</c:v>
                </c:pt>
                <c:pt idx="23">
                  <c:v>3.673228346456693E-5</c:v>
                </c:pt>
                <c:pt idx="24">
                  <c:v>4.2519685039370082E-5</c:v>
                </c:pt>
                <c:pt idx="25">
                  <c:v>4.8818897637795277E-5</c:v>
                </c:pt>
                <c:pt idx="26">
                  <c:v>5.5511811023622051E-5</c:v>
                </c:pt>
                <c:pt idx="27">
                  <c:v>6.1811023622047252E-5</c:v>
                </c:pt>
                <c:pt idx="28">
                  <c:v>6.6929133858267728E-5</c:v>
                </c:pt>
                <c:pt idx="29">
                  <c:v>6.9685039370078752E-5</c:v>
                </c:pt>
                <c:pt idx="30">
                  <c:v>6.9291338582677165E-5</c:v>
                </c:pt>
                <c:pt idx="31">
                  <c:v>6.7322834645669287E-5</c:v>
                </c:pt>
                <c:pt idx="32">
                  <c:v>6.4173228346456703E-5</c:v>
                </c:pt>
                <c:pt idx="33">
                  <c:v>6.1417322834645679E-5</c:v>
                </c:pt>
                <c:pt idx="34">
                  <c:v>5.9448818897637794E-5</c:v>
                </c:pt>
                <c:pt idx="35">
                  <c:v>5.7874015748031495E-5</c:v>
                </c:pt>
                <c:pt idx="36">
                  <c:v>5.669291338582677E-5</c:v>
                </c:pt>
                <c:pt idx="37">
                  <c:v>5.6299212598425204E-5</c:v>
                </c:pt>
                <c:pt idx="38">
                  <c:v>5.5905511811023624E-5</c:v>
                </c:pt>
                <c:pt idx="39">
                  <c:v>5.5511811023622051E-5</c:v>
                </c:pt>
                <c:pt idx="40">
                  <c:v>5.5511811023622051E-5</c:v>
                </c:pt>
                <c:pt idx="41">
                  <c:v>5.5905511811023624E-5</c:v>
                </c:pt>
                <c:pt idx="42">
                  <c:v>5.669291338582677E-5</c:v>
                </c:pt>
                <c:pt idx="43">
                  <c:v>5.7480314960629922E-5</c:v>
                </c:pt>
                <c:pt idx="44">
                  <c:v>5.8661417322834648E-5</c:v>
                </c:pt>
                <c:pt idx="45">
                  <c:v>5.9842519685039374E-5</c:v>
                </c:pt>
                <c:pt idx="46">
                  <c:v>6.1417322834645679E-5</c:v>
                </c:pt>
                <c:pt idx="47">
                  <c:v>6.3385826771653557E-5</c:v>
                </c:pt>
                <c:pt idx="48">
                  <c:v>6.5354330708661422E-5</c:v>
                </c:pt>
                <c:pt idx="49">
                  <c:v>6.7716535433070873E-5</c:v>
                </c:pt>
                <c:pt idx="50">
                  <c:v>7.0472440944881884E-5</c:v>
                </c:pt>
                <c:pt idx="51">
                  <c:v>7.2834645669291349E-5</c:v>
                </c:pt>
                <c:pt idx="52">
                  <c:v>7.559055118110236E-5</c:v>
                </c:pt>
                <c:pt idx="53">
                  <c:v>7.7952755905511811E-5</c:v>
                </c:pt>
                <c:pt idx="54">
                  <c:v>7.9921259842519689E-5</c:v>
                </c:pt>
                <c:pt idx="55">
                  <c:v>8.1889763779527554E-5</c:v>
                </c:pt>
                <c:pt idx="56">
                  <c:v>8.3464566929133859E-5</c:v>
                </c:pt>
                <c:pt idx="57">
                  <c:v>8.5039370078740165E-5</c:v>
                </c:pt>
                <c:pt idx="58">
                  <c:v>8.5826771653543311E-5</c:v>
                </c:pt>
                <c:pt idx="59">
                  <c:v>8.661417322834647E-5</c:v>
                </c:pt>
                <c:pt idx="60">
                  <c:v>8.7401574803149602E-5</c:v>
                </c:pt>
                <c:pt idx="61">
                  <c:v>8.7401574803149602E-5</c:v>
                </c:pt>
                <c:pt idx="62">
                  <c:v>8.7401574803149602E-5</c:v>
                </c:pt>
                <c:pt idx="63">
                  <c:v>8.7401574803149602E-5</c:v>
                </c:pt>
                <c:pt idx="64">
                  <c:v>8.7007874015748043E-5</c:v>
                </c:pt>
                <c:pt idx="65">
                  <c:v>8.6220472440944897E-5</c:v>
                </c:pt>
                <c:pt idx="66">
                  <c:v>8.5433070866141738E-5</c:v>
                </c:pt>
                <c:pt idx="67">
                  <c:v>8.4645669291338592E-5</c:v>
                </c:pt>
                <c:pt idx="68">
                  <c:v>8.3464566929133859E-5</c:v>
                </c:pt>
                <c:pt idx="69">
                  <c:v>8.2283464566929127E-5</c:v>
                </c:pt>
                <c:pt idx="70">
                  <c:v>8.1102362204724422E-5</c:v>
                </c:pt>
                <c:pt idx="71">
                  <c:v>8.0314960629921276E-5</c:v>
                </c:pt>
                <c:pt idx="72">
                  <c:v>7.913385826771653E-5</c:v>
                </c:pt>
                <c:pt idx="73">
                  <c:v>7.7952755905511811E-5</c:v>
                </c:pt>
                <c:pt idx="74">
                  <c:v>7.6771653543307092E-5</c:v>
                </c:pt>
                <c:pt idx="75">
                  <c:v>7.5984251968503946E-5</c:v>
                </c:pt>
                <c:pt idx="76">
                  <c:v>7.4803149606299214E-5</c:v>
                </c:pt>
                <c:pt idx="77">
                  <c:v>7.4015748031496068E-5</c:v>
                </c:pt>
                <c:pt idx="78">
                  <c:v>7.3228346456692908E-5</c:v>
                </c:pt>
                <c:pt idx="79">
                  <c:v>7.2440944881889776E-5</c:v>
                </c:pt>
                <c:pt idx="80">
                  <c:v>7.1653543307086617E-5</c:v>
                </c:pt>
                <c:pt idx="81">
                  <c:v>7.0866141732283471E-5</c:v>
                </c:pt>
                <c:pt idx="82">
                  <c:v>7.0078740157480311E-5</c:v>
                </c:pt>
                <c:pt idx="83">
                  <c:v>6.9291338582677165E-5</c:v>
                </c:pt>
                <c:pt idx="84">
                  <c:v>6.8503937007874019E-5</c:v>
                </c:pt>
                <c:pt idx="85">
                  <c:v>6.8110236220472446E-5</c:v>
                </c:pt>
                <c:pt idx="86">
                  <c:v>6.7322834645669287E-5</c:v>
                </c:pt>
                <c:pt idx="87">
                  <c:v>6.6929133858267728E-5</c:v>
                </c:pt>
                <c:pt idx="88">
                  <c:v>6.6535433070866141E-5</c:v>
                </c:pt>
                <c:pt idx="89">
                  <c:v>6.5748031496062995E-5</c:v>
                </c:pt>
                <c:pt idx="90">
                  <c:v>6.5354330708661422E-5</c:v>
                </c:pt>
                <c:pt idx="91">
                  <c:v>6.4960629921259849E-5</c:v>
                </c:pt>
                <c:pt idx="92">
                  <c:v>6.4566929133858276E-5</c:v>
                </c:pt>
                <c:pt idx="93">
                  <c:v>6.4173228346456703E-5</c:v>
                </c:pt>
                <c:pt idx="94">
                  <c:v>6.4173228346456703E-5</c:v>
                </c:pt>
                <c:pt idx="95">
                  <c:v>6.3779527559055117E-5</c:v>
                </c:pt>
                <c:pt idx="96">
                  <c:v>6.3385826771653557E-5</c:v>
                </c:pt>
                <c:pt idx="97">
                  <c:v>6.2992125984251971E-5</c:v>
                </c:pt>
                <c:pt idx="98">
                  <c:v>6.2992125984251971E-5</c:v>
                </c:pt>
                <c:pt idx="99">
                  <c:v>6.2598425196850398E-5</c:v>
                </c:pt>
                <c:pt idx="100">
                  <c:v>6.2598425196850398E-5</c:v>
                </c:pt>
                <c:pt idx="101">
                  <c:v>6.2204724409448811E-5</c:v>
                </c:pt>
                <c:pt idx="102">
                  <c:v>6.1811023622047252E-5</c:v>
                </c:pt>
                <c:pt idx="103">
                  <c:v>6.1811023622047252E-5</c:v>
                </c:pt>
                <c:pt idx="104">
                  <c:v>6.1811023622047252E-5</c:v>
                </c:pt>
                <c:pt idx="105">
                  <c:v>6.1417322834645679E-5</c:v>
                </c:pt>
                <c:pt idx="106">
                  <c:v>6.1417322834645679E-5</c:v>
                </c:pt>
                <c:pt idx="107">
                  <c:v>6.1023622047244093E-5</c:v>
                </c:pt>
                <c:pt idx="108">
                  <c:v>6.1023622047244093E-5</c:v>
                </c:pt>
                <c:pt idx="109">
                  <c:v>6.1023622047244093E-5</c:v>
                </c:pt>
                <c:pt idx="110">
                  <c:v>6.0629921259842526E-5</c:v>
                </c:pt>
                <c:pt idx="111">
                  <c:v>6.0629921259842526E-5</c:v>
                </c:pt>
                <c:pt idx="112">
                  <c:v>6.0629921259842526E-5</c:v>
                </c:pt>
                <c:pt idx="113">
                  <c:v>6.0629921259842526E-5</c:v>
                </c:pt>
                <c:pt idx="114">
                  <c:v>6.0629921259842526E-5</c:v>
                </c:pt>
                <c:pt idx="115">
                  <c:v>6.0629921259842526E-5</c:v>
                </c:pt>
                <c:pt idx="116">
                  <c:v>6.0236220472440947E-5</c:v>
                </c:pt>
                <c:pt idx="117">
                  <c:v>6.0236220472440947E-5</c:v>
                </c:pt>
                <c:pt idx="118">
                  <c:v>6.0236220472440947E-5</c:v>
                </c:pt>
                <c:pt idx="119">
                  <c:v>6.0236220472440947E-5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63C-4569-A2D1-F251D3996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5 - NE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1586508808519"/>
          <c:y val="0.12726016746797605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46-47B0-8004-D7CD23E09A8E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46-47B0-8004-D7CD23E09A8E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46-47B0-8004-D7CD23E09A8E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46-47B0-8004-D7CD23E09A8E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446-47B0-8004-D7CD23E09A8E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446-47B0-8004-D7CD23E09A8E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446-47B0-8004-D7CD23E09A8E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446-47B0-8004-D7CD23E09A8E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446-47B0-8004-D7CD23E09A8E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P5_LB!$A$7:$A$126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P5_LB!$F$7:$F$126</c:f>
              <c:numCache>
                <c:formatCode>0.00E+00</c:formatCode>
                <c:ptCount val="120"/>
                <c:pt idx="0">
                  <c:v>3.0314960629921261E-8</c:v>
                </c:pt>
                <c:pt idx="1">
                  <c:v>1.2165354330708663E-7</c:v>
                </c:pt>
                <c:pt idx="2">
                  <c:v>2.7598425196850396E-7</c:v>
                </c:pt>
                <c:pt idx="3">
                  <c:v>4.960629921259843E-7</c:v>
                </c:pt>
                <c:pt idx="4">
                  <c:v>7.8740157480314972E-7</c:v>
                </c:pt>
                <c:pt idx="5">
                  <c:v>1.1496062992125985E-6</c:v>
                </c:pt>
                <c:pt idx="6">
                  <c:v>1.5944881889763781E-6</c:v>
                </c:pt>
                <c:pt idx="7">
                  <c:v>2.1299212598425198E-6</c:v>
                </c:pt>
                <c:pt idx="8">
                  <c:v>2.7598425196850392E-6</c:v>
                </c:pt>
                <c:pt idx="9">
                  <c:v>3.5039370078740162E-6</c:v>
                </c:pt>
                <c:pt idx="10">
                  <c:v>4.3700787401574806E-6</c:v>
                </c:pt>
                <c:pt idx="11">
                  <c:v>5.3543307086614173E-6</c:v>
                </c:pt>
                <c:pt idx="12">
                  <c:v>6.535433070866142E-6</c:v>
                </c:pt>
                <c:pt idx="13">
                  <c:v>7.8740157480314964E-6</c:v>
                </c:pt>
                <c:pt idx="14">
                  <c:v>9.448818897637795E-6</c:v>
                </c:pt>
                <c:pt idx="15">
                  <c:v>1.1299212598425199E-5</c:v>
                </c:pt>
                <c:pt idx="16">
                  <c:v>1.346456692913386E-5</c:v>
                </c:pt>
                <c:pt idx="17">
                  <c:v>1.5944881889763779E-5</c:v>
                </c:pt>
                <c:pt idx="18">
                  <c:v>1.8858267716535435E-5</c:v>
                </c:pt>
                <c:pt idx="19">
                  <c:v>2.2322834645669294E-5</c:v>
                </c:pt>
                <c:pt idx="20">
                  <c:v>2.6456692913385827E-5</c:v>
                </c:pt>
                <c:pt idx="21">
                  <c:v>3.1377952755905509E-5</c:v>
                </c:pt>
                <c:pt idx="22">
                  <c:v>3.732283464566929E-5</c:v>
                </c:pt>
                <c:pt idx="23">
                  <c:v>4.4488188976377954E-5</c:v>
                </c:pt>
                <c:pt idx="24">
                  <c:v>5.3149606299212606E-5</c:v>
                </c:pt>
                <c:pt idx="25">
                  <c:v>6.3779527559055117E-5</c:v>
                </c:pt>
                <c:pt idx="26">
                  <c:v>7.559055118110236E-5</c:v>
                </c:pt>
                <c:pt idx="27">
                  <c:v>8.8582677165354348E-5</c:v>
                </c:pt>
                <c:pt idx="28">
                  <c:v>1.015748031496063E-4</c:v>
                </c:pt>
                <c:pt idx="29">
                  <c:v>1.1141732283464567E-4</c:v>
                </c:pt>
                <c:pt idx="30">
                  <c:v>1.1692913385826772E-4</c:v>
                </c:pt>
                <c:pt idx="31">
                  <c:v>1.173228346456693E-4</c:v>
                </c:pt>
                <c:pt idx="32">
                  <c:v>1.1377952755905511E-4</c:v>
                </c:pt>
                <c:pt idx="33">
                  <c:v>1.0866141732283465E-4</c:v>
                </c:pt>
                <c:pt idx="34">
                  <c:v>1.0275590551181103E-4</c:v>
                </c:pt>
                <c:pt idx="35">
                  <c:v>9.7244094488188981E-5</c:v>
                </c:pt>
                <c:pt idx="36">
                  <c:v>9.2519685039370092E-5</c:v>
                </c:pt>
                <c:pt idx="37">
                  <c:v>8.8188976377952775E-5</c:v>
                </c:pt>
                <c:pt idx="38">
                  <c:v>8.5039370078740165E-5</c:v>
                </c:pt>
                <c:pt idx="39">
                  <c:v>8.1889763779527554E-5</c:v>
                </c:pt>
                <c:pt idx="40">
                  <c:v>7.9527559055118116E-5</c:v>
                </c:pt>
                <c:pt idx="41">
                  <c:v>7.7559055118110252E-5</c:v>
                </c:pt>
                <c:pt idx="42">
                  <c:v>7.6377952755905519E-5</c:v>
                </c:pt>
                <c:pt idx="43">
                  <c:v>7.4803149606299214E-5</c:v>
                </c:pt>
                <c:pt idx="44">
                  <c:v>7.4015748031496068E-5</c:v>
                </c:pt>
                <c:pt idx="45">
                  <c:v>7.3622047244094495E-5</c:v>
                </c:pt>
                <c:pt idx="46">
                  <c:v>7.2834645669291349E-5</c:v>
                </c:pt>
                <c:pt idx="47">
                  <c:v>7.2834645669291349E-5</c:v>
                </c:pt>
                <c:pt idx="48">
                  <c:v>7.2834645669291349E-5</c:v>
                </c:pt>
                <c:pt idx="49">
                  <c:v>7.2834645669291349E-5</c:v>
                </c:pt>
                <c:pt idx="50">
                  <c:v>7.2834645669291349E-5</c:v>
                </c:pt>
                <c:pt idx="51">
                  <c:v>7.3228346456692908E-5</c:v>
                </c:pt>
                <c:pt idx="52">
                  <c:v>7.3622047244094495E-5</c:v>
                </c:pt>
                <c:pt idx="53">
                  <c:v>7.4409448818897641E-5</c:v>
                </c:pt>
                <c:pt idx="54">
                  <c:v>7.4803149606299214E-5</c:v>
                </c:pt>
                <c:pt idx="55">
                  <c:v>7.559055118110236E-5</c:v>
                </c:pt>
                <c:pt idx="56">
                  <c:v>7.6377952755905519E-5</c:v>
                </c:pt>
                <c:pt idx="57">
                  <c:v>7.7559055118110252E-5</c:v>
                </c:pt>
                <c:pt idx="58">
                  <c:v>7.8346456692913397E-5</c:v>
                </c:pt>
                <c:pt idx="59">
                  <c:v>7.913385826771653E-5</c:v>
                </c:pt>
                <c:pt idx="60">
                  <c:v>8.0314960629921276E-5</c:v>
                </c:pt>
                <c:pt idx="61">
                  <c:v>8.1102362204724422E-5</c:v>
                </c:pt>
                <c:pt idx="62">
                  <c:v>8.1889763779527554E-5</c:v>
                </c:pt>
                <c:pt idx="63">
                  <c:v>8.2283464566929127E-5</c:v>
                </c:pt>
                <c:pt idx="64">
                  <c:v>8.2677165354330713E-5</c:v>
                </c:pt>
                <c:pt idx="65">
                  <c:v>8.2283464566929127E-5</c:v>
                </c:pt>
                <c:pt idx="66">
                  <c:v>8.1496062992125995E-5</c:v>
                </c:pt>
                <c:pt idx="67">
                  <c:v>7.9921259842519689E-5</c:v>
                </c:pt>
                <c:pt idx="68">
                  <c:v>7.7952755905511811E-5</c:v>
                </c:pt>
                <c:pt idx="69">
                  <c:v>7.5196850393700787E-5</c:v>
                </c:pt>
                <c:pt idx="70">
                  <c:v>7.1653543307086617E-5</c:v>
                </c:pt>
                <c:pt idx="71">
                  <c:v>6.7716535433070873E-5</c:v>
                </c:pt>
                <c:pt idx="72">
                  <c:v>6.3385826771653557E-5</c:v>
                </c:pt>
                <c:pt idx="73">
                  <c:v>5.9055118110236228E-5</c:v>
                </c:pt>
                <c:pt idx="74">
                  <c:v>5.5118110236220478E-5</c:v>
                </c:pt>
                <c:pt idx="75">
                  <c:v>5.0787401574803148E-5</c:v>
                </c:pt>
                <c:pt idx="76">
                  <c:v>4.7244094488188978E-5</c:v>
                </c:pt>
                <c:pt idx="77">
                  <c:v>4.3700787401574801E-5</c:v>
                </c:pt>
                <c:pt idx="78">
                  <c:v>4.0157480314960638E-5</c:v>
                </c:pt>
                <c:pt idx="79">
                  <c:v>3.720472440944882E-5</c:v>
                </c:pt>
                <c:pt idx="80">
                  <c:v>3.4488188976377955E-5</c:v>
                </c:pt>
                <c:pt idx="81">
                  <c:v>3.1968503937007876E-5</c:v>
                </c:pt>
                <c:pt idx="82">
                  <c:v>2.9724409448818897E-5</c:v>
                </c:pt>
                <c:pt idx="83">
                  <c:v>2.7637795275590553E-5</c:v>
                </c:pt>
                <c:pt idx="84">
                  <c:v>2.578740157480315E-5</c:v>
                </c:pt>
                <c:pt idx="85">
                  <c:v>2.4094488188976379E-5</c:v>
                </c:pt>
                <c:pt idx="86">
                  <c:v>2.2559055118110236E-5</c:v>
                </c:pt>
                <c:pt idx="87">
                  <c:v>2.1181102362204724E-5</c:v>
                </c:pt>
                <c:pt idx="88">
                  <c:v>1.9921259842519688E-5</c:v>
                </c:pt>
                <c:pt idx="89">
                  <c:v>1.8818897637795276E-5</c:v>
                </c:pt>
                <c:pt idx="90">
                  <c:v>1.7795275590551185E-5</c:v>
                </c:pt>
                <c:pt idx="91">
                  <c:v>1.688976377952756E-5</c:v>
                </c:pt>
                <c:pt idx="92">
                  <c:v>1.6023622047244093E-5</c:v>
                </c:pt>
                <c:pt idx="93">
                  <c:v>1.5275590551181102E-5</c:v>
                </c:pt>
                <c:pt idx="94">
                  <c:v>1.4606299212598424E-5</c:v>
                </c:pt>
                <c:pt idx="95">
                  <c:v>1.3976377952755906E-5</c:v>
                </c:pt>
                <c:pt idx="96">
                  <c:v>1.3425196850393702E-5</c:v>
                </c:pt>
                <c:pt idx="97">
                  <c:v>1.2952755905511812E-5</c:v>
                </c:pt>
                <c:pt idx="98">
                  <c:v>1.251968503937008E-5</c:v>
                </c:pt>
                <c:pt idx="99">
                  <c:v>1.2125984251968505E-5</c:v>
                </c:pt>
                <c:pt idx="100">
                  <c:v>1.1771653543307088E-5</c:v>
                </c:pt>
                <c:pt idx="101">
                  <c:v>1.1456692913385827E-5</c:v>
                </c:pt>
                <c:pt idx="102">
                  <c:v>1.1181102362204726E-5</c:v>
                </c:pt>
                <c:pt idx="103">
                  <c:v>1.094488188976378E-5</c:v>
                </c:pt>
                <c:pt idx="104">
                  <c:v>1.0708661417322835E-5</c:v>
                </c:pt>
                <c:pt idx="105">
                  <c:v>1.0511811023622048E-5</c:v>
                </c:pt>
                <c:pt idx="106">
                  <c:v>1.0354330708661419E-5</c:v>
                </c:pt>
                <c:pt idx="107">
                  <c:v>1.0236220472440944E-5</c:v>
                </c:pt>
                <c:pt idx="108">
                  <c:v>1.0118110236220472E-5</c:v>
                </c:pt>
                <c:pt idx="109">
                  <c:v>1.0000000000000003E-5</c:v>
                </c:pt>
                <c:pt idx="110">
                  <c:v>9.9212598425196852E-6</c:v>
                </c:pt>
                <c:pt idx="111">
                  <c:v>9.8425196850393713E-6</c:v>
                </c:pt>
                <c:pt idx="112">
                  <c:v>9.8031496062992143E-6</c:v>
                </c:pt>
                <c:pt idx="113">
                  <c:v>9.724409448818897E-6</c:v>
                </c:pt>
                <c:pt idx="114">
                  <c:v>9.6850393700787418E-6</c:v>
                </c:pt>
                <c:pt idx="115">
                  <c:v>9.6456692913385831E-6</c:v>
                </c:pt>
                <c:pt idx="116">
                  <c:v>9.6456692913385831E-6</c:v>
                </c:pt>
                <c:pt idx="117">
                  <c:v>9.6062992125984262E-6</c:v>
                </c:pt>
                <c:pt idx="118">
                  <c:v>9.6062992125984262E-6</c:v>
                </c:pt>
                <c:pt idx="119">
                  <c:v>9.5669291338582675E-6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446-47B0-8004-D7CD23E09A8E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P5_LB!$A$7:$A$126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P5_LB!$G$7:$G$126</c:f>
              <c:numCache>
                <c:formatCode>0.00E+00</c:formatCode>
                <c:ptCount val="120"/>
                <c:pt idx="0">
                  <c:v>2.681102362204725E-9</c:v>
                </c:pt>
                <c:pt idx="1">
                  <c:v>1.078740157480315E-8</c:v>
                </c:pt>
                <c:pt idx="2">
                  <c:v>2.44488188976378E-8</c:v>
                </c:pt>
                <c:pt idx="3">
                  <c:v>4.409448818897638E-8</c:v>
                </c:pt>
                <c:pt idx="4">
                  <c:v>6.9685039370078741E-8</c:v>
                </c:pt>
                <c:pt idx="5">
                  <c:v>1.0236220472440946E-7</c:v>
                </c:pt>
                <c:pt idx="6">
                  <c:v>1.425196850393701E-7</c:v>
                </c:pt>
                <c:pt idx="7">
                  <c:v>1.9055118110236223E-7</c:v>
                </c:pt>
                <c:pt idx="8">
                  <c:v>2.4763779527559059E-7</c:v>
                </c:pt>
                <c:pt idx="9">
                  <c:v>3.1535433070866139E-7</c:v>
                </c:pt>
                <c:pt idx="10">
                  <c:v>3.9370078740157486E-7</c:v>
                </c:pt>
                <c:pt idx="11">
                  <c:v>4.8818897637795274E-7</c:v>
                </c:pt>
                <c:pt idx="12">
                  <c:v>5.9842519685039375E-7</c:v>
                </c:pt>
                <c:pt idx="13">
                  <c:v>7.2440944881889766E-7</c:v>
                </c:pt>
                <c:pt idx="14">
                  <c:v>8.7401574803149615E-7</c:v>
                </c:pt>
                <c:pt idx="15">
                  <c:v>1.0472440944881891E-6</c:v>
                </c:pt>
                <c:pt idx="16">
                  <c:v>1.2480314960629922E-6</c:v>
                </c:pt>
                <c:pt idx="17">
                  <c:v>1.4842519685039371E-6</c:v>
                </c:pt>
                <c:pt idx="18">
                  <c:v>1.7598425196850396E-6</c:v>
                </c:pt>
                <c:pt idx="19">
                  <c:v>2.0866141732283467E-6</c:v>
                </c:pt>
                <c:pt idx="20">
                  <c:v>2.4724409448818902E-6</c:v>
                </c:pt>
                <c:pt idx="21">
                  <c:v>2.9330708661417322E-6</c:v>
                </c:pt>
                <c:pt idx="22">
                  <c:v>3.480314960629921E-6</c:v>
                </c:pt>
                <c:pt idx="23">
                  <c:v>4.1338582677165355E-6</c:v>
                </c:pt>
                <c:pt idx="24">
                  <c:v>4.9212598425196856E-6</c:v>
                </c:pt>
                <c:pt idx="25">
                  <c:v>5.8267716535433075E-6</c:v>
                </c:pt>
                <c:pt idx="26">
                  <c:v>6.8897637795275597E-6</c:v>
                </c:pt>
                <c:pt idx="27">
                  <c:v>8.1496062992125984E-6</c:v>
                </c:pt>
                <c:pt idx="28">
                  <c:v>9.4881889763779536E-6</c:v>
                </c:pt>
                <c:pt idx="29">
                  <c:v>1.0905511811023623E-5</c:v>
                </c:pt>
                <c:pt idx="30">
                  <c:v>1.2244094488188978E-5</c:v>
                </c:pt>
                <c:pt idx="31">
                  <c:v>1.3385826771653543E-5</c:v>
                </c:pt>
                <c:pt idx="32">
                  <c:v>1.4173228346456692E-5</c:v>
                </c:pt>
                <c:pt idx="33">
                  <c:v>1.4606299212598424E-5</c:v>
                </c:pt>
                <c:pt idx="34">
                  <c:v>1.4803149606299212E-5</c:v>
                </c:pt>
                <c:pt idx="35">
                  <c:v>1.4763779527559057E-5</c:v>
                </c:pt>
                <c:pt idx="36">
                  <c:v>1.4606299212598424E-5</c:v>
                </c:pt>
                <c:pt idx="37">
                  <c:v>1.4448818897637795E-5</c:v>
                </c:pt>
                <c:pt idx="38">
                  <c:v>1.4251968503937008E-5</c:v>
                </c:pt>
                <c:pt idx="39">
                  <c:v>1.409448818897638E-5</c:v>
                </c:pt>
                <c:pt idx="40">
                  <c:v>1.3937007874015751E-5</c:v>
                </c:pt>
                <c:pt idx="41">
                  <c:v>1.3818897637795276E-5</c:v>
                </c:pt>
                <c:pt idx="42">
                  <c:v>1.3700787401574804E-5</c:v>
                </c:pt>
                <c:pt idx="43">
                  <c:v>1.362204724409449E-5</c:v>
                </c:pt>
                <c:pt idx="44">
                  <c:v>1.3503937007874016E-5</c:v>
                </c:pt>
                <c:pt idx="45">
                  <c:v>1.3425196850393702E-5</c:v>
                </c:pt>
                <c:pt idx="46">
                  <c:v>1.3307086614173228E-5</c:v>
                </c:pt>
                <c:pt idx="47">
                  <c:v>1.3149606299212598E-5</c:v>
                </c:pt>
                <c:pt idx="48">
                  <c:v>1.3031496062992125E-5</c:v>
                </c:pt>
                <c:pt idx="49">
                  <c:v>1.2913385826771655E-5</c:v>
                </c:pt>
                <c:pt idx="50">
                  <c:v>1.2834645669291337E-5</c:v>
                </c:pt>
                <c:pt idx="51">
                  <c:v>1.2795275590551182E-5</c:v>
                </c:pt>
                <c:pt idx="52">
                  <c:v>1.2913385826771655E-5</c:v>
                </c:pt>
                <c:pt idx="53">
                  <c:v>1.3110236220472441E-5</c:v>
                </c:pt>
                <c:pt idx="54">
                  <c:v>1.3543307086614174E-5</c:v>
                </c:pt>
                <c:pt idx="55">
                  <c:v>1.4133858267716535E-5</c:v>
                </c:pt>
                <c:pt idx="56">
                  <c:v>1.4921259842519686E-5</c:v>
                </c:pt>
                <c:pt idx="57">
                  <c:v>1.5905511811023624E-5</c:v>
                </c:pt>
                <c:pt idx="58">
                  <c:v>1.7047244094488191E-5</c:v>
                </c:pt>
                <c:pt idx="59">
                  <c:v>1.8385826771653544E-5</c:v>
                </c:pt>
                <c:pt idx="60">
                  <c:v>1.9881889763779529E-5</c:v>
                </c:pt>
                <c:pt idx="61">
                  <c:v>2.1496062992125986E-5</c:v>
                </c:pt>
                <c:pt idx="62">
                  <c:v>2.3228346456692913E-5</c:v>
                </c:pt>
                <c:pt idx="63">
                  <c:v>2.4999999999999998E-5</c:v>
                </c:pt>
                <c:pt idx="64">
                  <c:v>2.6811023622047248E-5</c:v>
                </c:pt>
                <c:pt idx="65">
                  <c:v>2.8543307086614178E-5</c:v>
                </c:pt>
                <c:pt idx="66">
                  <c:v>3.0157480314960632E-5</c:v>
                </c:pt>
                <c:pt idx="67">
                  <c:v>3.1496062992125985E-5</c:v>
                </c:pt>
                <c:pt idx="68">
                  <c:v>3.2559055118110235E-5</c:v>
                </c:pt>
                <c:pt idx="69">
                  <c:v>3.3267716535433071E-5</c:v>
                </c:pt>
                <c:pt idx="70">
                  <c:v>3.3622047244094492E-5</c:v>
                </c:pt>
                <c:pt idx="71">
                  <c:v>3.3582677165354333E-5</c:v>
                </c:pt>
                <c:pt idx="72">
                  <c:v>3.3307086614173236E-5</c:v>
                </c:pt>
                <c:pt idx="73">
                  <c:v>3.2755905511811028E-5</c:v>
                </c:pt>
                <c:pt idx="74">
                  <c:v>3.2047244094488186E-5</c:v>
                </c:pt>
                <c:pt idx="75">
                  <c:v>3.1181102362204723E-5</c:v>
                </c:pt>
                <c:pt idx="76">
                  <c:v>3.0314960629921263E-5</c:v>
                </c:pt>
                <c:pt idx="77">
                  <c:v>2.9370078740157483E-5</c:v>
                </c:pt>
                <c:pt idx="78">
                  <c:v>2.8464566929133861E-5</c:v>
                </c:pt>
                <c:pt idx="79">
                  <c:v>2.7559055118110239E-5</c:v>
                </c:pt>
                <c:pt idx="80">
                  <c:v>2.6692913385826772E-5</c:v>
                </c:pt>
                <c:pt idx="81">
                  <c:v>2.5905511811023623E-5</c:v>
                </c:pt>
                <c:pt idx="82">
                  <c:v>2.5118110236220474E-5</c:v>
                </c:pt>
                <c:pt idx="83">
                  <c:v>2.437007874015748E-5</c:v>
                </c:pt>
                <c:pt idx="84">
                  <c:v>2.3700787401574803E-5</c:v>
                </c:pt>
                <c:pt idx="85">
                  <c:v>2.3070866141732282E-5</c:v>
                </c:pt>
                <c:pt idx="86">
                  <c:v>2.2480314960629922E-5</c:v>
                </c:pt>
                <c:pt idx="87">
                  <c:v>2.1889763779527559E-5</c:v>
                </c:pt>
                <c:pt idx="88">
                  <c:v>2.1377952755905517E-5</c:v>
                </c:pt>
                <c:pt idx="89">
                  <c:v>2.0905511811023623E-5</c:v>
                </c:pt>
                <c:pt idx="90">
                  <c:v>2.0433070866141737E-5</c:v>
                </c:pt>
                <c:pt idx="91">
                  <c:v>2.0000000000000005E-5</c:v>
                </c:pt>
                <c:pt idx="92">
                  <c:v>1.9606299212598429E-5</c:v>
                </c:pt>
                <c:pt idx="93">
                  <c:v>1.9212598425196852E-5</c:v>
                </c:pt>
                <c:pt idx="94">
                  <c:v>1.8858267716535435E-5</c:v>
                </c:pt>
                <c:pt idx="95">
                  <c:v>1.8543307086614176E-5</c:v>
                </c:pt>
                <c:pt idx="96">
                  <c:v>1.8228346456692913E-5</c:v>
                </c:pt>
                <c:pt idx="97">
                  <c:v>1.7913385826771654E-5</c:v>
                </c:pt>
                <c:pt idx="98">
                  <c:v>1.763779527559055E-5</c:v>
                </c:pt>
                <c:pt idx="99">
                  <c:v>1.7401574803149609E-5</c:v>
                </c:pt>
                <c:pt idx="100">
                  <c:v>1.7125984251968505E-5</c:v>
                </c:pt>
                <c:pt idx="101">
                  <c:v>1.688976377952756E-5</c:v>
                </c:pt>
                <c:pt idx="102">
                  <c:v>1.6692913385826773E-5</c:v>
                </c:pt>
                <c:pt idx="103">
                  <c:v>1.6456692913385828E-5</c:v>
                </c:pt>
                <c:pt idx="104">
                  <c:v>1.6259842519685042E-5</c:v>
                </c:pt>
                <c:pt idx="105">
                  <c:v>1.6062992125984252E-5</c:v>
                </c:pt>
                <c:pt idx="106">
                  <c:v>1.5866141732283465E-5</c:v>
                </c:pt>
                <c:pt idx="107">
                  <c:v>1.5708661417322834E-5</c:v>
                </c:pt>
                <c:pt idx="108">
                  <c:v>1.5551181102362203E-5</c:v>
                </c:pt>
                <c:pt idx="109">
                  <c:v>1.535433070866142E-5</c:v>
                </c:pt>
                <c:pt idx="110">
                  <c:v>1.5196850393700789E-5</c:v>
                </c:pt>
                <c:pt idx="111">
                  <c:v>1.5078740157480316E-5</c:v>
                </c:pt>
                <c:pt idx="112">
                  <c:v>1.4921259842519686E-5</c:v>
                </c:pt>
                <c:pt idx="113">
                  <c:v>1.4763779527559057E-5</c:v>
                </c:pt>
                <c:pt idx="114">
                  <c:v>1.4645669291338583E-5</c:v>
                </c:pt>
                <c:pt idx="115">
                  <c:v>1.452755905511811E-5</c:v>
                </c:pt>
                <c:pt idx="116">
                  <c:v>1.4409448818897639E-5</c:v>
                </c:pt>
                <c:pt idx="117">
                  <c:v>1.4291338582677165E-5</c:v>
                </c:pt>
                <c:pt idx="118">
                  <c:v>1.4173228346456692E-5</c:v>
                </c:pt>
                <c:pt idx="119">
                  <c:v>1.4055118110236222E-5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446-47B0-8004-D7CD23E09A8E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P5_LB!$A$7:$A$126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P5_LB!$H$7:$H$126</c:f>
              <c:numCache>
                <c:formatCode>0.00E+00</c:formatCode>
                <c:ptCount val="120"/>
                <c:pt idx="0">
                  <c:v>2.9409448818897639E-8</c:v>
                </c:pt>
                <c:pt idx="1">
                  <c:v>1.1850393700787403E-7</c:v>
                </c:pt>
                <c:pt idx="2">
                  <c:v>2.6929133858267723E-7</c:v>
                </c:pt>
                <c:pt idx="3">
                  <c:v>4.8425196850393696E-7</c:v>
                </c:pt>
                <c:pt idx="4">
                  <c:v>7.6377952755905504E-7</c:v>
                </c:pt>
                <c:pt idx="5">
                  <c:v>1.1181102362204725E-6</c:v>
                </c:pt>
                <c:pt idx="6">
                  <c:v>1.551181102362205E-6</c:v>
                </c:pt>
                <c:pt idx="7">
                  <c:v>2.0708661417322835E-6</c:v>
                </c:pt>
                <c:pt idx="8">
                  <c:v>2.6850393700787406E-6</c:v>
                </c:pt>
                <c:pt idx="9">
                  <c:v>3.4015748031496063E-6</c:v>
                </c:pt>
                <c:pt idx="10">
                  <c:v>4.2519685039370081E-6</c:v>
                </c:pt>
                <c:pt idx="11">
                  <c:v>5.1968503937007869E-6</c:v>
                </c:pt>
                <c:pt idx="12">
                  <c:v>6.2992125984251978E-6</c:v>
                </c:pt>
                <c:pt idx="13">
                  <c:v>7.5590551181102365E-6</c:v>
                </c:pt>
                <c:pt idx="14">
                  <c:v>9.0157480314960633E-6</c:v>
                </c:pt>
                <c:pt idx="15">
                  <c:v>1.0708661417322835E-5</c:v>
                </c:pt>
                <c:pt idx="16">
                  <c:v>1.2598425196850396E-5</c:v>
                </c:pt>
                <c:pt idx="17">
                  <c:v>1.4803149606299212E-5</c:v>
                </c:pt>
                <c:pt idx="18">
                  <c:v>1.7283464566929136E-5</c:v>
                </c:pt>
                <c:pt idx="19">
                  <c:v>2.0157480314960633E-5</c:v>
                </c:pt>
                <c:pt idx="20">
                  <c:v>2.3464566929133858E-5</c:v>
                </c:pt>
                <c:pt idx="21">
                  <c:v>2.7283464566929132E-5</c:v>
                </c:pt>
                <c:pt idx="22">
                  <c:v>3.1692913385826779E-5</c:v>
                </c:pt>
                <c:pt idx="23">
                  <c:v>3.673228346456693E-5</c:v>
                </c:pt>
                <c:pt idx="24">
                  <c:v>4.2519685039370082E-5</c:v>
                </c:pt>
                <c:pt idx="25">
                  <c:v>4.8818897637795277E-5</c:v>
                </c:pt>
                <c:pt idx="26">
                  <c:v>5.5511811023622051E-5</c:v>
                </c:pt>
                <c:pt idx="27">
                  <c:v>6.1811023622047252E-5</c:v>
                </c:pt>
                <c:pt idx="28">
                  <c:v>6.6929133858267728E-5</c:v>
                </c:pt>
                <c:pt idx="29">
                  <c:v>6.9685039370078752E-5</c:v>
                </c:pt>
                <c:pt idx="30">
                  <c:v>6.9291338582677165E-5</c:v>
                </c:pt>
                <c:pt idx="31">
                  <c:v>6.7322834645669287E-5</c:v>
                </c:pt>
                <c:pt idx="32">
                  <c:v>6.4173228346456703E-5</c:v>
                </c:pt>
                <c:pt idx="33">
                  <c:v>6.1417322834645679E-5</c:v>
                </c:pt>
                <c:pt idx="34">
                  <c:v>5.9448818897637794E-5</c:v>
                </c:pt>
                <c:pt idx="35">
                  <c:v>5.7874015748031495E-5</c:v>
                </c:pt>
                <c:pt idx="36">
                  <c:v>5.669291338582677E-5</c:v>
                </c:pt>
                <c:pt idx="37">
                  <c:v>5.6299212598425204E-5</c:v>
                </c:pt>
                <c:pt idx="38">
                  <c:v>5.5905511811023624E-5</c:v>
                </c:pt>
                <c:pt idx="39">
                  <c:v>5.5511811023622051E-5</c:v>
                </c:pt>
                <c:pt idx="40">
                  <c:v>5.5511811023622051E-5</c:v>
                </c:pt>
                <c:pt idx="41">
                  <c:v>5.5905511811023624E-5</c:v>
                </c:pt>
                <c:pt idx="42">
                  <c:v>5.669291338582677E-5</c:v>
                </c:pt>
                <c:pt idx="43">
                  <c:v>5.7480314960629922E-5</c:v>
                </c:pt>
                <c:pt idx="44">
                  <c:v>5.8661417322834648E-5</c:v>
                </c:pt>
                <c:pt idx="45">
                  <c:v>5.9842519685039374E-5</c:v>
                </c:pt>
                <c:pt idx="46">
                  <c:v>6.1417322834645679E-5</c:v>
                </c:pt>
                <c:pt idx="47">
                  <c:v>6.3385826771653557E-5</c:v>
                </c:pt>
                <c:pt idx="48">
                  <c:v>6.5354330708661422E-5</c:v>
                </c:pt>
                <c:pt idx="49">
                  <c:v>6.7716535433070873E-5</c:v>
                </c:pt>
                <c:pt idx="50">
                  <c:v>7.0472440944881884E-5</c:v>
                </c:pt>
                <c:pt idx="51">
                  <c:v>7.2834645669291349E-5</c:v>
                </c:pt>
                <c:pt idx="52">
                  <c:v>7.559055118110236E-5</c:v>
                </c:pt>
                <c:pt idx="53">
                  <c:v>7.7952755905511811E-5</c:v>
                </c:pt>
                <c:pt idx="54">
                  <c:v>7.9921259842519689E-5</c:v>
                </c:pt>
                <c:pt idx="55">
                  <c:v>8.1889763779527554E-5</c:v>
                </c:pt>
                <c:pt idx="56">
                  <c:v>8.3464566929133859E-5</c:v>
                </c:pt>
                <c:pt idx="57">
                  <c:v>8.5039370078740165E-5</c:v>
                </c:pt>
                <c:pt idx="58">
                  <c:v>8.5826771653543311E-5</c:v>
                </c:pt>
                <c:pt idx="59">
                  <c:v>8.661417322834647E-5</c:v>
                </c:pt>
                <c:pt idx="60">
                  <c:v>8.7401574803149602E-5</c:v>
                </c:pt>
                <c:pt idx="61">
                  <c:v>8.7401574803149602E-5</c:v>
                </c:pt>
                <c:pt idx="62">
                  <c:v>8.7401574803149602E-5</c:v>
                </c:pt>
                <c:pt idx="63">
                  <c:v>8.7401574803149602E-5</c:v>
                </c:pt>
                <c:pt idx="64">
                  <c:v>8.7007874015748043E-5</c:v>
                </c:pt>
                <c:pt idx="65">
                  <c:v>8.6220472440944897E-5</c:v>
                </c:pt>
                <c:pt idx="66">
                  <c:v>8.5433070866141738E-5</c:v>
                </c:pt>
                <c:pt idx="67">
                  <c:v>8.4645669291338592E-5</c:v>
                </c:pt>
                <c:pt idx="68">
                  <c:v>8.3464566929133859E-5</c:v>
                </c:pt>
                <c:pt idx="69">
                  <c:v>8.2283464566929127E-5</c:v>
                </c:pt>
                <c:pt idx="70">
                  <c:v>8.1102362204724422E-5</c:v>
                </c:pt>
                <c:pt idx="71">
                  <c:v>8.0314960629921276E-5</c:v>
                </c:pt>
                <c:pt idx="72">
                  <c:v>7.913385826771653E-5</c:v>
                </c:pt>
                <c:pt idx="73">
                  <c:v>7.7952755905511811E-5</c:v>
                </c:pt>
                <c:pt idx="74">
                  <c:v>7.6771653543307092E-5</c:v>
                </c:pt>
                <c:pt idx="75">
                  <c:v>7.5984251968503946E-5</c:v>
                </c:pt>
                <c:pt idx="76">
                  <c:v>7.4803149606299214E-5</c:v>
                </c:pt>
                <c:pt idx="77">
                  <c:v>7.4015748031496068E-5</c:v>
                </c:pt>
                <c:pt idx="78">
                  <c:v>7.3228346456692908E-5</c:v>
                </c:pt>
                <c:pt idx="79">
                  <c:v>7.2440944881889776E-5</c:v>
                </c:pt>
                <c:pt idx="80">
                  <c:v>7.1653543307086617E-5</c:v>
                </c:pt>
                <c:pt idx="81">
                  <c:v>7.0866141732283471E-5</c:v>
                </c:pt>
                <c:pt idx="82">
                  <c:v>7.0078740157480311E-5</c:v>
                </c:pt>
                <c:pt idx="83">
                  <c:v>6.9291338582677165E-5</c:v>
                </c:pt>
                <c:pt idx="84">
                  <c:v>6.8503937007874019E-5</c:v>
                </c:pt>
                <c:pt idx="85">
                  <c:v>6.8110236220472446E-5</c:v>
                </c:pt>
                <c:pt idx="86">
                  <c:v>6.7322834645669287E-5</c:v>
                </c:pt>
                <c:pt idx="87">
                  <c:v>6.6929133858267728E-5</c:v>
                </c:pt>
                <c:pt idx="88">
                  <c:v>6.6535433070866141E-5</c:v>
                </c:pt>
                <c:pt idx="89">
                  <c:v>6.5748031496062995E-5</c:v>
                </c:pt>
                <c:pt idx="90">
                  <c:v>6.5354330708661422E-5</c:v>
                </c:pt>
                <c:pt idx="91">
                  <c:v>6.4960629921259849E-5</c:v>
                </c:pt>
                <c:pt idx="92">
                  <c:v>6.4566929133858276E-5</c:v>
                </c:pt>
                <c:pt idx="93">
                  <c:v>6.4173228346456703E-5</c:v>
                </c:pt>
                <c:pt idx="94">
                  <c:v>6.4173228346456703E-5</c:v>
                </c:pt>
                <c:pt idx="95">
                  <c:v>6.3779527559055117E-5</c:v>
                </c:pt>
                <c:pt idx="96">
                  <c:v>6.3385826771653557E-5</c:v>
                </c:pt>
                <c:pt idx="97">
                  <c:v>6.2992125984251971E-5</c:v>
                </c:pt>
                <c:pt idx="98">
                  <c:v>6.2992125984251971E-5</c:v>
                </c:pt>
                <c:pt idx="99">
                  <c:v>6.2598425196850398E-5</c:v>
                </c:pt>
                <c:pt idx="100">
                  <c:v>6.2598425196850398E-5</c:v>
                </c:pt>
                <c:pt idx="101">
                  <c:v>6.2204724409448811E-5</c:v>
                </c:pt>
                <c:pt idx="102">
                  <c:v>6.1811023622047252E-5</c:v>
                </c:pt>
                <c:pt idx="103">
                  <c:v>6.1811023622047252E-5</c:v>
                </c:pt>
                <c:pt idx="104">
                  <c:v>6.1811023622047252E-5</c:v>
                </c:pt>
                <c:pt idx="105">
                  <c:v>6.1417322834645679E-5</c:v>
                </c:pt>
                <c:pt idx="106">
                  <c:v>6.1417322834645679E-5</c:v>
                </c:pt>
                <c:pt idx="107">
                  <c:v>6.1023622047244093E-5</c:v>
                </c:pt>
                <c:pt idx="108">
                  <c:v>6.1023622047244093E-5</c:v>
                </c:pt>
                <c:pt idx="109">
                  <c:v>6.1023622047244093E-5</c:v>
                </c:pt>
                <c:pt idx="110">
                  <c:v>6.0629921259842526E-5</c:v>
                </c:pt>
                <c:pt idx="111">
                  <c:v>6.0629921259842526E-5</c:v>
                </c:pt>
                <c:pt idx="112">
                  <c:v>6.0629921259842526E-5</c:v>
                </c:pt>
                <c:pt idx="113">
                  <c:v>6.0629921259842526E-5</c:v>
                </c:pt>
                <c:pt idx="114">
                  <c:v>6.0629921259842526E-5</c:v>
                </c:pt>
                <c:pt idx="115">
                  <c:v>6.0629921259842526E-5</c:v>
                </c:pt>
                <c:pt idx="116">
                  <c:v>6.0236220472440947E-5</c:v>
                </c:pt>
                <c:pt idx="117">
                  <c:v>6.0236220472440947E-5</c:v>
                </c:pt>
                <c:pt idx="118">
                  <c:v>6.0236220472440947E-5</c:v>
                </c:pt>
                <c:pt idx="119">
                  <c:v>6.0236220472440947E-5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446-47B0-8004-D7CD23E09A8E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F446-47B0-8004-D7CD23E09A8E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5.5551181102362203E-4</c:v>
                </c:pt>
                <c:pt idx="1">
                  <c:v>5.5551181102362203E-4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446-47B0-8004-D7CD23E09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15-455F-8295-2D8EC782D7B0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15-455F-8295-2D8EC782D7B0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15-455F-8295-2D8EC782D7B0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15-455F-8295-2D8EC782D7B0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15-455F-8295-2D8EC782D7B0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15-455F-8295-2D8EC782D7B0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115-455F-8295-2D8EC782D7B0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115-455F-8295-2D8EC782D7B0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115-455F-8295-2D8EC782D7B0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115-455F-8295-2D8EC782D7B0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115-455F-8295-2D8EC782D7B0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115-455F-8295-2D8EC782D7B0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115-455F-8295-2D8EC782D7B0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115-455F-8295-2D8EC782D7B0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115-455F-8295-2D8EC782D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44-4CCD-B210-3C21B8DC1A7D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44-4CCD-B210-3C21B8DC1A7D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44-4CCD-B210-3C21B8DC1A7D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44-4CCD-B210-3C21B8DC1A7D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44-4CCD-B210-3C21B8DC1A7D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44-4CCD-B210-3C21B8DC1A7D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144-4CCD-B210-3C21B8DC1A7D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144-4CCD-B210-3C21B8DC1A7D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144-4CCD-B210-3C21B8DC1A7D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144-4CCD-B210-3C21B8DC1A7D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144-4CCD-B210-3C21B8DC1A7D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P6_LB!$A$7:$A$126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P6_LB!$F$7:$F$126</c:f>
              <c:numCache>
                <c:formatCode>0.00E+00</c:formatCode>
                <c:ptCount val="120"/>
                <c:pt idx="0">
                  <c:v>3.6023622047244101E-8</c:v>
                </c:pt>
                <c:pt idx="1">
                  <c:v>1.4448818897637796E-7</c:v>
                </c:pt>
                <c:pt idx="2">
                  <c:v>3.2755905511811024E-7</c:v>
                </c:pt>
                <c:pt idx="3">
                  <c:v>5.8661417322834651E-7</c:v>
                </c:pt>
                <c:pt idx="4">
                  <c:v>9.2913385826771665E-7</c:v>
                </c:pt>
                <c:pt idx="5">
                  <c:v>1.358267716535433E-6</c:v>
                </c:pt>
                <c:pt idx="6">
                  <c:v>1.8818897637795276E-6</c:v>
                </c:pt>
                <c:pt idx="7">
                  <c:v>2.5078740157480313E-6</c:v>
                </c:pt>
                <c:pt idx="8">
                  <c:v>3.2440944881889763E-6</c:v>
                </c:pt>
                <c:pt idx="9">
                  <c:v>4.0944881889763785E-6</c:v>
                </c:pt>
                <c:pt idx="10">
                  <c:v>5.0787401574803152E-6</c:v>
                </c:pt>
                <c:pt idx="11">
                  <c:v>6.25984251968504E-6</c:v>
                </c:pt>
                <c:pt idx="12">
                  <c:v>7.5590551181102365E-6</c:v>
                </c:pt>
                <c:pt idx="13">
                  <c:v>9.0944881889763773E-6</c:v>
                </c:pt>
                <c:pt idx="14">
                  <c:v>1.0866141732283464E-5</c:v>
                </c:pt>
                <c:pt idx="15">
                  <c:v>1.2913385826771655E-5</c:v>
                </c:pt>
                <c:pt idx="16">
                  <c:v>1.5275590551181102E-5</c:v>
                </c:pt>
                <c:pt idx="17">
                  <c:v>1.7992125984251968E-5</c:v>
                </c:pt>
                <c:pt idx="18">
                  <c:v>2.1141732283464569E-5</c:v>
                </c:pt>
                <c:pt idx="19">
                  <c:v>2.484251968503937E-5</c:v>
                </c:pt>
                <c:pt idx="20">
                  <c:v>2.9251968503937014E-5</c:v>
                </c:pt>
                <c:pt idx="21">
                  <c:v>3.4448818897637796E-5</c:v>
                </c:pt>
                <c:pt idx="22">
                  <c:v>4.0551181102362211E-5</c:v>
                </c:pt>
                <c:pt idx="23">
                  <c:v>4.8031496062992124E-5</c:v>
                </c:pt>
                <c:pt idx="24">
                  <c:v>5.7086614173228356E-5</c:v>
                </c:pt>
                <c:pt idx="25">
                  <c:v>6.7322834645669287E-5</c:v>
                </c:pt>
                <c:pt idx="26">
                  <c:v>7.913385826771653E-5</c:v>
                </c:pt>
                <c:pt idx="27">
                  <c:v>9.2125984251968505E-5</c:v>
                </c:pt>
                <c:pt idx="28">
                  <c:v>1.0393700787401575E-4</c:v>
                </c:pt>
                <c:pt idx="29">
                  <c:v>1.1299212598425198E-4</c:v>
                </c:pt>
                <c:pt idx="30">
                  <c:v>1.1653543307086615E-4</c:v>
                </c:pt>
                <c:pt idx="31">
                  <c:v>1.1535433070866142E-4</c:v>
                </c:pt>
                <c:pt idx="32">
                  <c:v>1.1023622047244096E-4</c:v>
                </c:pt>
                <c:pt idx="33">
                  <c:v>1.0354330708661417E-4</c:v>
                </c:pt>
                <c:pt idx="34">
                  <c:v>9.6456692913385835E-5</c:v>
                </c:pt>
                <c:pt idx="35">
                  <c:v>8.9763779527559067E-5</c:v>
                </c:pt>
                <c:pt idx="36">
                  <c:v>8.3464566929133859E-5</c:v>
                </c:pt>
                <c:pt idx="37">
                  <c:v>7.8346456692913397E-5</c:v>
                </c:pt>
                <c:pt idx="38">
                  <c:v>7.3622047244094495E-5</c:v>
                </c:pt>
                <c:pt idx="39">
                  <c:v>6.9685039370078752E-5</c:v>
                </c:pt>
                <c:pt idx="40">
                  <c:v>6.6141732283464568E-5</c:v>
                </c:pt>
                <c:pt idx="41">
                  <c:v>6.2992125984251971E-5</c:v>
                </c:pt>
                <c:pt idx="42">
                  <c:v>5.9842519685039374E-5</c:v>
                </c:pt>
                <c:pt idx="43">
                  <c:v>5.7480314960629922E-5</c:v>
                </c:pt>
                <c:pt idx="44">
                  <c:v>5.5118110236220478E-5</c:v>
                </c:pt>
                <c:pt idx="45">
                  <c:v>5.2755905511811027E-5</c:v>
                </c:pt>
                <c:pt idx="46">
                  <c:v>5.0787401574803148E-5</c:v>
                </c:pt>
                <c:pt idx="47">
                  <c:v>4.8818897637795277E-5</c:v>
                </c:pt>
                <c:pt idx="48">
                  <c:v>4.6850393700787405E-5</c:v>
                </c:pt>
                <c:pt idx="49">
                  <c:v>4.4881889763779534E-5</c:v>
                </c:pt>
                <c:pt idx="50">
                  <c:v>4.3307086614173235E-5</c:v>
                </c:pt>
                <c:pt idx="51">
                  <c:v>4.1338582677165357E-5</c:v>
                </c:pt>
                <c:pt idx="52">
                  <c:v>3.9763779527559058E-5</c:v>
                </c:pt>
                <c:pt idx="53">
                  <c:v>3.8070866141732284E-5</c:v>
                </c:pt>
                <c:pt idx="54">
                  <c:v>3.6456692913385826E-5</c:v>
                </c:pt>
                <c:pt idx="55">
                  <c:v>3.5039370078740156E-5</c:v>
                </c:pt>
                <c:pt idx="56">
                  <c:v>3.3818897637795278E-5</c:v>
                </c:pt>
                <c:pt idx="57">
                  <c:v>3.2992125984251967E-5</c:v>
                </c:pt>
                <c:pt idx="58">
                  <c:v>3.2637795275590552E-5</c:v>
                </c:pt>
                <c:pt idx="59">
                  <c:v>3.2952755905511808E-5</c:v>
                </c:pt>
                <c:pt idx="60">
                  <c:v>3.413385826771654E-5</c:v>
                </c:pt>
                <c:pt idx="61">
                  <c:v>3.6220472440944888E-5</c:v>
                </c:pt>
                <c:pt idx="62">
                  <c:v>3.9251968503937002E-5</c:v>
                </c:pt>
                <c:pt idx="63">
                  <c:v>4.2913385826771655E-5</c:v>
                </c:pt>
                <c:pt idx="64">
                  <c:v>4.7637795275590558E-5</c:v>
                </c:pt>
                <c:pt idx="65">
                  <c:v>5.2755905511811027E-5</c:v>
                </c:pt>
                <c:pt idx="66">
                  <c:v>5.7874015748031495E-5</c:v>
                </c:pt>
                <c:pt idx="67">
                  <c:v>6.2992125984251971E-5</c:v>
                </c:pt>
                <c:pt idx="68">
                  <c:v>6.7716535433070873E-5</c:v>
                </c:pt>
                <c:pt idx="69">
                  <c:v>7.2047244094488189E-5</c:v>
                </c:pt>
                <c:pt idx="70">
                  <c:v>7.559055118110236E-5</c:v>
                </c:pt>
                <c:pt idx="71">
                  <c:v>7.7952755905511811E-5</c:v>
                </c:pt>
                <c:pt idx="72">
                  <c:v>7.9921259842519689E-5</c:v>
                </c:pt>
                <c:pt idx="73">
                  <c:v>8.1102362204724422E-5</c:v>
                </c:pt>
                <c:pt idx="74">
                  <c:v>8.1496062992125995E-5</c:v>
                </c:pt>
                <c:pt idx="75">
                  <c:v>8.1496062992125995E-5</c:v>
                </c:pt>
                <c:pt idx="76">
                  <c:v>8.1102362204724422E-5</c:v>
                </c:pt>
                <c:pt idx="77">
                  <c:v>8.0314960629921276E-5</c:v>
                </c:pt>
                <c:pt idx="78">
                  <c:v>7.9527559055118116E-5</c:v>
                </c:pt>
                <c:pt idx="79">
                  <c:v>7.874015748031497E-5</c:v>
                </c:pt>
                <c:pt idx="80">
                  <c:v>7.7559055118110252E-5</c:v>
                </c:pt>
                <c:pt idx="81">
                  <c:v>7.6771653543307092E-5</c:v>
                </c:pt>
                <c:pt idx="82">
                  <c:v>7.559055118110236E-5</c:v>
                </c:pt>
                <c:pt idx="83">
                  <c:v>7.4803149606299214E-5</c:v>
                </c:pt>
                <c:pt idx="84">
                  <c:v>7.3622047244094495E-5</c:v>
                </c:pt>
                <c:pt idx="85">
                  <c:v>7.2834645669291349E-5</c:v>
                </c:pt>
                <c:pt idx="86">
                  <c:v>7.2047244094488189E-5</c:v>
                </c:pt>
                <c:pt idx="87">
                  <c:v>7.1259842519685044E-5</c:v>
                </c:pt>
                <c:pt idx="88">
                  <c:v>7.0472440944881884E-5</c:v>
                </c:pt>
                <c:pt idx="89">
                  <c:v>6.9685039370078752E-5</c:v>
                </c:pt>
                <c:pt idx="90">
                  <c:v>6.8897637795275592E-5</c:v>
                </c:pt>
                <c:pt idx="91">
                  <c:v>6.8110236220472446E-5</c:v>
                </c:pt>
                <c:pt idx="92">
                  <c:v>6.7322834645669287E-5</c:v>
                </c:pt>
                <c:pt idx="93">
                  <c:v>6.6929133858267728E-5</c:v>
                </c:pt>
                <c:pt idx="94">
                  <c:v>6.6141732283464568E-5</c:v>
                </c:pt>
                <c:pt idx="95">
                  <c:v>6.5748031496062995E-5</c:v>
                </c:pt>
                <c:pt idx="96">
                  <c:v>6.5354330708661422E-5</c:v>
                </c:pt>
                <c:pt idx="97">
                  <c:v>6.4566929133858276E-5</c:v>
                </c:pt>
                <c:pt idx="98">
                  <c:v>6.4173228346456703E-5</c:v>
                </c:pt>
                <c:pt idx="99">
                  <c:v>6.3779527559055117E-5</c:v>
                </c:pt>
                <c:pt idx="100">
                  <c:v>6.3385826771653557E-5</c:v>
                </c:pt>
                <c:pt idx="101">
                  <c:v>6.2992125984251971E-5</c:v>
                </c:pt>
                <c:pt idx="102">
                  <c:v>6.2598425196850398E-5</c:v>
                </c:pt>
                <c:pt idx="103">
                  <c:v>6.2204724409448811E-5</c:v>
                </c:pt>
                <c:pt idx="104">
                  <c:v>6.1811023622047252E-5</c:v>
                </c:pt>
                <c:pt idx="105">
                  <c:v>6.1417322834645679E-5</c:v>
                </c:pt>
                <c:pt idx="106">
                  <c:v>6.1023622047244093E-5</c:v>
                </c:pt>
                <c:pt idx="107">
                  <c:v>6.0629921259842526E-5</c:v>
                </c:pt>
                <c:pt idx="108">
                  <c:v>6.0629921259842526E-5</c:v>
                </c:pt>
                <c:pt idx="109">
                  <c:v>6.0236220472440947E-5</c:v>
                </c:pt>
                <c:pt idx="110">
                  <c:v>5.9842519685039374E-5</c:v>
                </c:pt>
                <c:pt idx="111">
                  <c:v>5.9448818897637794E-5</c:v>
                </c:pt>
                <c:pt idx="112">
                  <c:v>5.9448818897637794E-5</c:v>
                </c:pt>
                <c:pt idx="113">
                  <c:v>5.9055118110236228E-5</c:v>
                </c:pt>
                <c:pt idx="114">
                  <c:v>5.8661417322834648E-5</c:v>
                </c:pt>
                <c:pt idx="115">
                  <c:v>5.8661417322834648E-5</c:v>
                </c:pt>
                <c:pt idx="116">
                  <c:v>5.8267716535433075E-5</c:v>
                </c:pt>
                <c:pt idx="117">
                  <c:v>5.8267716535433075E-5</c:v>
                </c:pt>
                <c:pt idx="118">
                  <c:v>5.7874015748031495E-5</c:v>
                </c:pt>
                <c:pt idx="119">
                  <c:v>5.7874015748031495E-5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144-4CCD-B210-3C21B8DC1A7D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P6_LB!$A$7:$A$126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P6_LB!$G$7:$G$126</c:f>
              <c:numCache>
                <c:formatCode>0.00E+00</c:formatCode>
                <c:ptCount val="120"/>
                <c:pt idx="0">
                  <c:v>2.681102362204725E-9</c:v>
                </c:pt>
                <c:pt idx="1">
                  <c:v>1.078740157480315E-8</c:v>
                </c:pt>
                <c:pt idx="2">
                  <c:v>2.44488188976378E-8</c:v>
                </c:pt>
                <c:pt idx="3">
                  <c:v>4.409448818897638E-8</c:v>
                </c:pt>
                <c:pt idx="4">
                  <c:v>6.9685039370078741E-8</c:v>
                </c:pt>
                <c:pt idx="5">
                  <c:v>1.0236220472440946E-7</c:v>
                </c:pt>
                <c:pt idx="6">
                  <c:v>1.425196850393701E-7</c:v>
                </c:pt>
                <c:pt idx="7">
                  <c:v>1.9055118110236223E-7</c:v>
                </c:pt>
                <c:pt idx="8">
                  <c:v>2.4763779527559059E-7</c:v>
                </c:pt>
                <c:pt idx="9">
                  <c:v>3.1535433070866139E-7</c:v>
                </c:pt>
                <c:pt idx="10">
                  <c:v>3.9370078740157486E-7</c:v>
                </c:pt>
                <c:pt idx="11">
                  <c:v>4.8818897637795274E-7</c:v>
                </c:pt>
                <c:pt idx="12">
                  <c:v>5.9842519685039375E-7</c:v>
                </c:pt>
                <c:pt idx="13">
                  <c:v>7.2440944881889766E-7</c:v>
                </c:pt>
                <c:pt idx="14">
                  <c:v>8.7401574803149615E-7</c:v>
                </c:pt>
                <c:pt idx="15">
                  <c:v>1.0472440944881891E-6</c:v>
                </c:pt>
                <c:pt idx="16">
                  <c:v>1.2480314960629922E-6</c:v>
                </c:pt>
                <c:pt idx="17">
                  <c:v>1.4842519685039371E-6</c:v>
                </c:pt>
                <c:pt idx="18">
                  <c:v>1.7598425196850396E-6</c:v>
                </c:pt>
                <c:pt idx="19">
                  <c:v>2.0866141732283467E-6</c:v>
                </c:pt>
                <c:pt idx="20">
                  <c:v>2.4724409448818902E-6</c:v>
                </c:pt>
                <c:pt idx="21">
                  <c:v>2.9330708661417322E-6</c:v>
                </c:pt>
                <c:pt idx="22">
                  <c:v>3.480314960629921E-6</c:v>
                </c:pt>
                <c:pt idx="23">
                  <c:v>4.1338582677165355E-6</c:v>
                </c:pt>
                <c:pt idx="24">
                  <c:v>4.9212598425196856E-6</c:v>
                </c:pt>
                <c:pt idx="25">
                  <c:v>5.8267716535433075E-6</c:v>
                </c:pt>
                <c:pt idx="26">
                  <c:v>6.8897637795275597E-6</c:v>
                </c:pt>
                <c:pt idx="27">
                  <c:v>8.1496062992125984E-6</c:v>
                </c:pt>
                <c:pt idx="28">
                  <c:v>9.4881889763779536E-6</c:v>
                </c:pt>
                <c:pt idx="29">
                  <c:v>1.0905511811023623E-5</c:v>
                </c:pt>
                <c:pt idx="30">
                  <c:v>1.2244094488188978E-5</c:v>
                </c:pt>
                <c:pt idx="31">
                  <c:v>1.3385826771653543E-5</c:v>
                </c:pt>
                <c:pt idx="32">
                  <c:v>1.4173228346456692E-5</c:v>
                </c:pt>
                <c:pt idx="33">
                  <c:v>1.4606299212598424E-5</c:v>
                </c:pt>
                <c:pt idx="34">
                  <c:v>1.4803149606299212E-5</c:v>
                </c:pt>
                <c:pt idx="35">
                  <c:v>1.4763779527559057E-5</c:v>
                </c:pt>
                <c:pt idx="36">
                  <c:v>1.4606299212598424E-5</c:v>
                </c:pt>
                <c:pt idx="37">
                  <c:v>1.4448818897637795E-5</c:v>
                </c:pt>
                <c:pt idx="38">
                  <c:v>1.4251968503937008E-5</c:v>
                </c:pt>
                <c:pt idx="39">
                  <c:v>1.409448818897638E-5</c:v>
                </c:pt>
                <c:pt idx="40">
                  <c:v>1.3937007874015751E-5</c:v>
                </c:pt>
                <c:pt idx="41">
                  <c:v>1.3818897637795276E-5</c:v>
                </c:pt>
                <c:pt idx="42">
                  <c:v>1.3700787401574804E-5</c:v>
                </c:pt>
                <c:pt idx="43">
                  <c:v>1.362204724409449E-5</c:v>
                </c:pt>
                <c:pt idx="44">
                  <c:v>1.3503937007874016E-5</c:v>
                </c:pt>
                <c:pt idx="45">
                  <c:v>1.3425196850393702E-5</c:v>
                </c:pt>
                <c:pt idx="46">
                  <c:v>1.3307086614173228E-5</c:v>
                </c:pt>
                <c:pt idx="47">
                  <c:v>1.3149606299212598E-5</c:v>
                </c:pt>
                <c:pt idx="48">
                  <c:v>1.3031496062992125E-5</c:v>
                </c:pt>
                <c:pt idx="49">
                  <c:v>1.2913385826771655E-5</c:v>
                </c:pt>
                <c:pt idx="50">
                  <c:v>1.2834645669291337E-5</c:v>
                </c:pt>
                <c:pt idx="51">
                  <c:v>1.2795275590551182E-5</c:v>
                </c:pt>
                <c:pt idx="52">
                  <c:v>1.2913385826771655E-5</c:v>
                </c:pt>
                <c:pt idx="53">
                  <c:v>1.3110236220472441E-5</c:v>
                </c:pt>
                <c:pt idx="54">
                  <c:v>1.3543307086614174E-5</c:v>
                </c:pt>
                <c:pt idx="55">
                  <c:v>1.4133858267716535E-5</c:v>
                </c:pt>
                <c:pt idx="56">
                  <c:v>1.4921259842519686E-5</c:v>
                </c:pt>
                <c:pt idx="57">
                  <c:v>1.5905511811023624E-5</c:v>
                </c:pt>
                <c:pt idx="58">
                  <c:v>1.7047244094488191E-5</c:v>
                </c:pt>
                <c:pt idx="59">
                  <c:v>1.8385826771653544E-5</c:v>
                </c:pt>
                <c:pt idx="60">
                  <c:v>1.9881889763779529E-5</c:v>
                </c:pt>
                <c:pt idx="61">
                  <c:v>2.1496062992125986E-5</c:v>
                </c:pt>
                <c:pt idx="62">
                  <c:v>2.3228346456692913E-5</c:v>
                </c:pt>
                <c:pt idx="63">
                  <c:v>2.4999999999999998E-5</c:v>
                </c:pt>
                <c:pt idx="64">
                  <c:v>2.6811023622047248E-5</c:v>
                </c:pt>
                <c:pt idx="65">
                  <c:v>2.8543307086614178E-5</c:v>
                </c:pt>
                <c:pt idx="66">
                  <c:v>3.0157480314960632E-5</c:v>
                </c:pt>
                <c:pt idx="67">
                  <c:v>3.1496062992125985E-5</c:v>
                </c:pt>
                <c:pt idx="68">
                  <c:v>3.2559055118110235E-5</c:v>
                </c:pt>
                <c:pt idx="69">
                  <c:v>3.3267716535433071E-5</c:v>
                </c:pt>
                <c:pt idx="70">
                  <c:v>3.3622047244094492E-5</c:v>
                </c:pt>
                <c:pt idx="71">
                  <c:v>3.3582677165354333E-5</c:v>
                </c:pt>
                <c:pt idx="72">
                  <c:v>3.3307086614173236E-5</c:v>
                </c:pt>
                <c:pt idx="73">
                  <c:v>3.2755905511811028E-5</c:v>
                </c:pt>
                <c:pt idx="74">
                  <c:v>3.2047244094488186E-5</c:v>
                </c:pt>
                <c:pt idx="75">
                  <c:v>3.1181102362204723E-5</c:v>
                </c:pt>
                <c:pt idx="76">
                  <c:v>3.0314960629921263E-5</c:v>
                </c:pt>
                <c:pt idx="77">
                  <c:v>2.9370078740157483E-5</c:v>
                </c:pt>
                <c:pt idx="78">
                  <c:v>2.8464566929133861E-5</c:v>
                </c:pt>
                <c:pt idx="79">
                  <c:v>2.7559055118110239E-5</c:v>
                </c:pt>
                <c:pt idx="80">
                  <c:v>2.6692913385826772E-5</c:v>
                </c:pt>
                <c:pt idx="81">
                  <c:v>2.5905511811023623E-5</c:v>
                </c:pt>
                <c:pt idx="82">
                  <c:v>2.5118110236220474E-5</c:v>
                </c:pt>
                <c:pt idx="83">
                  <c:v>2.437007874015748E-5</c:v>
                </c:pt>
                <c:pt idx="84">
                  <c:v>2.3700787401574803E-5</c:v>
                </c:pt>
                <c:pt idx="85">
                  <c:v>2.3070866141732282E-5</c:v>
                </c:pt>
                <c:pt idx="86">
                  <c:v>2.2480314960629922E-5</c:v>
                </c:pt>
                <c:pt idx="87">
                  <c:v>2.1889763779527559E-5</c:v>
                </c:pt>
                <c:pt idx="88">
                  <c:v>2.1377952755905517E-5</c:v>
                </c:pt>
                <c:pt idx="89">
                  <c:v>2.0905511811023623E-5</c:v>
                </c:pt>
                <c:pt idx="90">
                  <c:v>2.0433070866141737E-5</c:v>
                </c:pt>
                <c:pt idx="91">
                  <c:v>2.0000000000000005E-5</c:v>
                </c:pt>
                <c:pt idx="92">
                  <c:v>1.9606299212598429E-5</c:v>
                </c:pt>
                <c:pt idx="93">
                  <c:v>1.9212598425196852E-5</c:v>
                </c:pt>
                <c:pt idx="94">
                  <c:v>1.8858267716535435E-5</c:v>
                </c:pt>
                <c:pt idx="95">
                  <c:v>1.8543307086614176E-5</c:v>
                </c:pt>
                <c:pt idx="96">
                  <c:v>1.8228346456692913E-5</c:v>
                </c:pt>
                <c:pt idx="97">
                  <c:v>1.7913385826771654E-5</c:v>
                </c:pt>
                <c:pt idx="98">
                  <c:v>1.763779527559055E-5</c:v>
                </c:pt>
                <c:pt idx="99">
                  <c:v>1.7401574803149609E-5</c:v>
                </c:pt>
                <c:pt idx="100">
                  <c:v>1.7125984251968505E-5</c:v>
                </c:pt>
                <c:pt idx="101">
                  <c:v>1.688976377952756E-5</c:v>
                </c:pt>
                <c:pt idx="102">
                  <c:v>1.6692913385826773E-5</c:v>
                </c:pt>
                <c:pt idx="103">
                  <c:v>1.6456692913385828E-5</c:v>
                </c:pt>
                <c:pt idx="104">
                  <c:v>1.6259842519685042E-5</c:v>
                </c:pt>
                <c:pt idx="105">
                  <c:v>1.6062992125984252E-5</c:v>
                </c:pt>
                <c:pt idx="106">
                  <c:v>1.5866141732283465E-5</c:v>
                </c:pt>
                <c:pt idx="107">
                  <c:v>1.5708661417322834E-5</c:v>
                </c:pt>
                <c:pt idx="108">
                  <c:v>1.5551181102362203E-5</c:v>
                </c:pt>
                <c:pt idx="109">
                  <c:v>1.535433070866142E-5</c:v>
                </c:pt>
                <c:pt idx="110">
                  <c:v>1.5196850393700789E-5</c:v>
                </c:pt>
                <c:pt idx="111">
                  <c:v>1.5078740157480316E-5</c:v>
                </c:pt>
                <c:pt idx="112">
                  <c:v>1.4921259842519686E-5</c:v>
                </c:pt>
                <c:pt idx="113">
                  <c:v>1.4763779527559057E-5</c:v>
                </c:pt>
                <c:pt idx="114">
                  <c:v>1.4645669291338583E-5</c:v>
                </c:pt>
                <c:pt idx="115">
                  <c:v>1.452755905511811E-5</c:v>
                </c:pt>
                <c:pt idx="116">
                  <c:v>1.4409448818897639E-5</c:v>
                </c:pt>
                <c:pt idx="117">
                  <c:v>1.4291338582677165E-5</c:v>
                </c:pt>
                <c:pt idx="118">
                  <c:v>1.4173228346456692E-5</c:v>
                </c:pt>
                <c:pt idx="119">
                  <c:v>1.4055118110236222E-5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144-4CCD-B210-3C21B8DC1A7D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P6_LB!$A$7:$A$126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P6_LB!$H$7:$H$126</c:f>
              <c:numCache>
                <c:formatCode>0.00E+00</c:formatCode>
                <c:ptCount val="120"/>
                <c:pt idx="0">
                  <c:v>2.2834645669291337E-8</c:v>
                </c:pt>
                <c:pt idx="1">
                  <c:v>9.2125984251968514E-8</c:v>
                </c:pt>
                <c:pt idx="2">
                  <c:v>2.1023622047244097E-7</c:v>
                </c:pt>
                <c:pt idx="3">
                  <c:v>3.7913385826771652E-7</c:v>
                </c:pt>
                <c:pt idx="4">
                  <c:v>6.0236220472440963E-7</c:v>
                </c:pt>
                <c:pt idx="5">
                  <c:v>8.818897637795276E-7</c:v>
                </c:pt>
                <c:pt idx="6">
                  <c:v>1.2283464566929135E-6</c:v>
                </c:pt>
                <c:pt idx="7">
                  <c:v>1.6496062992125984E-6</c:v>
                </c:pt>
                <c:pt idx="8">
                  <c:v>2.1456692913385825E-6</c:v>
                </c:pt>
                <c:pt idx="9">
                  <c:v>2.7283464566929138E-6</c:v>
                </c:pt>
                <c:pt idx="10">
                  <c:v>3.413385826771654E-6</c:v>
                </c:pt>
                <c:pt idx="11">
                  <c:v>4.2125984251968503E-6</c:v>
                </c:pt>
                <c:pt idx="12">
                  <c:v>5.1181102362204721E-6</c:v>
                </c:pt>
                <c:pt idx="13">
                  <c:v>6.1811023622047244E-6</c:v>
                </c:pt>
                <c:pt idx="14">
                  <c:v>7.4409448818897648E-6</c:v>
                </c:pt>
                <c:pt idx="15">
                  <c:v>8.8582677165354338E-6</c:v>
                </c:pt>
                <c:pt idx="16">
                  <c:v>1.0551181102362205E-5</c:v>
                </c:pt>
                <c:pt idx="17">
                  <c:v>1.2440944881889766E-5</c:v>
                </c:pt>
                <c:pt idx="18">
                  <c:v>1.4685039370078741E-5</c:v>
                </c:pt>
                <c:pt idx="19">
                  <c:v>1.7244094488188977E-5</c:v>
                </c:pt>
                <c:pt idx="20">
                  <c:v>2.0275590551181105E-5</c:v>
                </c:pt>
                <c:pt idx="21">
                  <c:v>2.3818897637795279E-5</c:v>
                </c:pt>
                <c:pt idx="22">
                  <c:v>2.8031496062992129E-5</c:v>
                </c:pt>
                <c:pt idx="23">
                  <c:v>3.2952755905511808E-5</c:v>
                </c:pt>
                <c:pt idx="24">
                  <c:v>3.866141732283465E-5</c:v>
                </c:pt>
                <c:pt idx="25">
                  <c:v>4.5275590551181107E-5</c:v>
                </c:pt>
                <c:pt idx="26">
                  <c:v>5.2362204724409454E-5</c:v>
                </c:pt>
                <c:pt idx="27">
                  <c:v>5.9842519685039374E-5</c:v>
                </c:pt>
                <c:pt idx="28">
                  <c:v>6.6141732283464568E-5</c:v>
                </c:pt>
                <c:pt idx="29">
                  <c:v>7.0866141732283471E-5</c:v>
                </c:pt>
                <c:pt idx="30">
                  <c:v>7.2047244094488189E-5</c:v>
                </c:pt>
                <c:pt idx="31">
                  <c:v>7.0866141732283471E-5</c:v>
                </c:pt>
                <c:pt idx="32">
                  <c:v>6.8110236220472446E-5</c:v>
                </c:pt>
                <c:pt idx="33">
                  <c:v>6.4960629921259849E-5</c:v>
                </c:pt>
                <c:pt idx="34">
                  <c:v>6.2204724409448811E-5</c:v>
                </c:pt>
                <c:pt idx="35">
                  <c:v>6.0629921259842526E-5</c:v>
                </c:pt>
                <c:pt idx="36">
                  <c:v>5.9448818897637794E-5</c:v>
                </c:pt>
                <c:pt idx="37">
                  <c:v>5.8661417322834648E-5</c:v>
                </c:pt>
                <c:pt idx="38">
                  <c:v>5.8267716535433075E-5</c:v>
                </c:pt>
                <c:pt idx="39">
                  <c:v>5.8267716535433075E-5</c:v>
                </c:pt>
                <c:pt idx="40">
                  <c:v>5.8661417322834648E-5</c:v>
                </c:pt>
                <c:pt idx="41">
                  <c:v>5.9055118110236228E-5</c:v>
                </c:pt>
                <c:pt idx="42">
                  <c:v>5.9448818897637794E-5</c:v>
                </c:pt>
                <c:pt idx="43">
                  <c:v>5.9842519685039374E-5</c:v>
                </c:pt>
                <c:pt idx="44">
                  <c:v>6.0236220472440947E-5</c:v>
                </c:pt>
                <c:pt idx="45">
                  <c:v>6.0629921259842526E-5</c:v>
                </c:pt>
                <c:pt idx="46">
                  <c:v>6.1023622047244093E-5</c:v>
                </c:pt>
                <c:pt idx="47">
                  <c:v>6.1023622047244093E-5</c:v>
                </c:pt>
                <c:pt idx="48">
                  <c:v>6.1417322834645679E-5</c:v>
                </c:pt>
                <c:pt idx="49">
                  <c:v>6.1811023622047252E-5</c:v>
                </c:pt>
                <c:pt idx="50">
                  <c:v>6.2204724409448811E-5</c:v>
                </c:pt>
                <c:pt idx="51">
                  <c:v>6.2204724409448811E-5</c:v>
                </c:pt>
                <c:pt idx="52">
                  <c:v>6.2598425196850398E-5</c:v>
                </c:pt>
                <c:pt idx="53">
                  <c:v>6.2992125984251971E-5</c:v>
                </c:pt>
                <c:pt idx="54">
                  <c:v>6.3779527559055117E-5</c:v>
                </c:pt>
                <c:pt idx="55">
                  <c:v>6.4173228346456703E-5</c:v>
                </c:pt>
                <c:pt idx="56">
                  <c:v>6.4960629921259849E-5</c:v>
                </c:pt>
                <c:pt idx="57">
                  <c:v>6.5748031496062995E-5</c:v>
                </c:pt>
                <c:pt idx="58">
                  <c:v>6.6141732283464568E-5</c:v>
                </c:pt>
                <c:pt idx="59">
                  <c:v>6.6929133858267728E-5</c:v>
                </c:pt>
                <c:pt idx="60">
                  <c:v>6.7716535433070873E-5</c:v>
                </c:pt>
                <c:pt idx="61">
                  <c:v>6.8110236220472446E-5</c:v>
                </c:pt>
                <c:pt idx="62">
                  <c:v>6.8503937007874019E-5</c:v>
                </c:pt>
                <c:pt idx="63">
                  <c:v>6.8503937007874019E-5</c:v>
                </c:pt>
                <c:pt idx="64">
                  <c:v>6.8503937007874019E-5</c:v>
                </c:pt>
                <c:pt idx="65">
                  <c:v>6.8503937007874019E-5</c:v>
                </c:pt>
                <c:pt idx="66">
                  <c:v>6.8110236220472446E-5</c:v>
                </c:pt>
                <c:pt idx="67">
                  <c:v>6.7716535433070873E-5</c:v>
                </c:pt>
                <c:pt idx="68">
                  <c:v>6.7322834645669287E-5</c:v>
                </c:pt>
                <c:pt idx="69">
                  <c:v>6.6535433070866141E-5</c:v>
                </c:pt>
                <c:pt idx="70">
                  <c:v>6.5748031496062995E-5</c:v>
                </c:pt>
                <c:pt idx="71">
                  <c:v>6.4960629921259849E-5</c:v>
                </c:pt>
                <c:pt idx="72">
                  <c:v>6.4173228346456703E-5</c:v>
                </c:pt>
                <c:pt idx="73">
                  <c:v>6.3385826771653557E-5</c:v>
                </c:pt>
                <c:pt idx="74">
                  <c:v>6.2598425196850398E-5</c:v>
                </c:pt>
                <c:pt idx="75">
                  <c:v>6.1811023622047252E-5</c:v>
                </c:pt>
                <c:pt idx="76">
                  <c:v>6.1023622047244093E-5</c:v>
                </c:pt>
                <c:pt idx="77">
                  <c:v>6.0236220472440947E-5</c:v>
                </c:pt>
                <c:pt idx="78">
                  <c:v>5.9448818897637794E-5</c:v>
                </c:pt>
                <c:pt idx="79">
                  <c:v>5.8661417322834648E-5</c:v>
                </c:pt>
                <c:pt idx="80">
                  <c:v>5.7874015748031495E-5</c:v>
                </c:pt>
                <c:pt idx="81">
                  <c:v>5.7480314960629922E-5</c:v>
                </c:pt>
                <c:pt idx="82">
                  <c:v>5.669291338582677E-5</c:v>
                </c:pt>
                <c:pt idx="83">
                  <c:v>5.6299212598425204E-5</c:v>
                </c:pt>
                <c:pt idx="84">
                  <c:v>5.5511811023622051E-5</c:v>
                </c:pt>
                <c:pt idx="85">
                  <c:v>5.5118110236220478E-5</c:v>
                </c:pt>
                <c:pt idx="86">
                  <c:v>5.4330708661417325E-5</c:v>
                </c:pt>
                <c:pt idx="87">
                  <c:v>5.3937007874015745E-5</c:v>
                </c:pt>
                <c:pt idx="88">
                  <c:v>5.3543307086614173E-5</c:v>
                </c:pt>
                <c:pt idx="89">
                  <c:v>5.3149606299212606E-5</c:v>
                </c:pt>
                <c:pt idx="90">
                  <c:v>5.2755905511811027E-5</c:v>
                </c:pt>
                <c:pt idx="91">
                  <c:v>5.2362204724409454E-5</c:v>
                </c:pt>
                <c:pt idx="92">
                  <c:v>5.1968503937007874E-5</c:v>
                </c:pt>
                <c:pt idx="93">
                  <c:v>5.1574803149606301E-5</c:v>
                </c:pt>
                <c:pt idx="94">
                  <c:v>5.1181102362204728E-5</c:v>
                </c:pt>
                <c:pt idx="95">
                  <c:v>5.0787401574803148E-5</c:v>
                </c:pt>
                <c:pt idx="96">
                  <c:v>5.0393700787401582E-5</c:v>
                </c:pt>
                <c:pt idx="97">
                  <c:v>4.9999999999999996E-5</c:v>
                </c:pt>
                <c:pt idx="98">
                  <c:v>4.9606299212598429E-5</c:v>
                </c:pt>
                <c:pt idx="99">
                  <c:v>4.9606299212598429E-5</c:v>
                </c:pt>
                <c:pt idx="100">
                  <c:v>4.9212598425196856E-5</c:v>
                </c:pt>
                <c:pt idx="101">
                  <c:v>4.8818897637795277E-5</c:v>
                </c:pt>
                <c:pt idx="102">
                  <c:v>4.8818897637795277E-5</c:v>
                </c:pt>
                <c:pt idx="103">
                  <c:v>4.8425196850393711E-5</c:v>
                </c:pt>
                <c:pt idx="104">
                  <c:v>4.8031496062992124E-5</c:v>
                </c:pt>
                <c:pt idx="105">
                  <c:v>4.8031496062992124E-5</c:v>
                </c:pt>
                <c:pt idx="106">
                  <c:v>4.7637795275590558E-5</c:v>
                </c:pt>
                <c:pt idx="107">
                  <c:v>4.7637795275590558E-5</c:v>
                </c:pt>
                <c:pt idx="108">
                  <c:v>4.7244094488188978E-5</c:v>
                </c:pt>
                <c:pt idx="109">
                  <c:v>4.7244094488188978E-5</c:v>
                </c:pt>
                <c:pt idx="110">
                  <c:v>4.6850393700787405E-5</c:v>
                </c:pt>
                <c:pt idx="111">
                  <c:v>4.6850393700787405E-5</c:v>
                </c:pt>
                <c:pt idx="112">
                  <c:v>4.6850393700787405E-5</c:v>
                </c:pt>
                <c:pt idx="113">
                  <c:v>4.6456692913385825E-5</c:v>
                </c:pt>
                <c:pt idx="114">
                  <c:v>4.6456692913385825E-5</c:v>
                </c:pt>
                <c:pt idx="115">
                  <c:v>4.6456692913385825E-5</c:v>
                </c:pt>
                <c:pt idx="116">
                  <c:v>4.6062992125984253E-5</c:v>
                </c:pt>
                <c:pt idx="117">
                  <c:v>4.6062992125984253E-5</c:v>
                </c:pt>
                <c:pt idx="118">
                  <c:v>4.6062992125984253E-5</c:v>
                </c:pt>
                <c:pt idx="119">
                  <c:v>4.566929133858268E-5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144-4CCD-B210-3C21B8DC1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6 - SE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E4C-47CA-8EE7-0C472B11C205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4C-47CA-8EE7-0C472B11C205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4C-47CA-8EE7-0C472B11C205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E4C-47CA-8EE7-0C472B11C205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E4C-47CA-8EE7-0C472B11C205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E4C-47CA-8EE7-0C472B11C205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E4C-47CA-8EE7-0C472B11C205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E4C-47CA-8EE7-0C472B11C205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E4C-47CA-8EE7-0C472B11C205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P6_LB!$A$7:$A$126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P6_LB!$F$7:$F$126</c:f>
              <c:numCache>
                <c:formatCode>0.00E+00</c:formatCode>
                <c:ptCount val="120"/>
                <c:pt idx="0">
                  <c:v>3.6023622047244101E-8</c:v>
                </c:pt>
                <c:pt idx="1">
                  <c:v>1.4448818897637796E-7</c:v>
                </c:pt>
                <c:pt idx="2">
                  <c:v>3.2755905511811024E-7</c:v>
                </c:pt>
                <c:pt idx="3">
                  <c:v>5.8661417322834651E-7</c:v>
                </c:pt>
                <c:pt idx="4">
                  <c:v>9.2913385826771665E-7</c:v>
                </c:pt>
                <c:pt idx="5">
                  <c:v>1.358267716535433E-6</c:v>
                </c:pt>
                <c:pt idx="6">
                  <c:v>1.8818897637795276E-6</c:v>
                </c:pt>
                <c:pt idx="7">
                  <c:v>2.5078740157480313E-6</c:v>
                </c:pt>
                <c:pt idx="8">
                  <c:v>3.2440944881889763E-6</c:v>
                </c:pt>
                <c:pt idx="9">
                  <c:v>4.0944881889763785E-6</c:v>
                </c:pt>
                <c:pt idx="10">
                  <c:v>5.0787401574803152E-6</c:v>
                </c:pt>
                <c:pt idx="11">
                  <c:v>6.25984251968504E-6</c:v>
                </c:pt>
                <c:pt idx="12">
                  <c:v>7.5590551181102365E-6</c:v>
                </c:pt>
                <c:pt idx="13">
                  <c:v>9.0944881889763773E-6</c:v>
                </c:pt>
                <c:pt idx="14">
                  <c:v>1.0866141732283464E-5</c:v>
                </c:pt>
                <c:pt idx="15">
                  <c:v>1.2913385826771655E-5</c:v>
                </c:pt>
                <c:pt idx="16">
                  <c:v>1.5275590551181102E-5</c:v>
                </c:pt>
                <c:pt idx="17">
                  <c:v>1.7992125984251968E-5</c:v>
                </c:pt>
                <c:pt idx="18">
                  <c:v>2.1141732283464569E-5</c:v>
                </c:pt>
                <c:pt idx="19">
                  <c:v>2.484251968503937E-5</c:v>
                </c:pt>
                <c:pt idx="20">
                  <c:v>2.9251968503937014E-5</c:v>
                </c:pt>
                <c:pt idx="21">
                  <c:v>3.4448818897637796E-5</c:v>
                </c:pt>
                <c:pt idx="22">
                  <c:v>4.0551181102362211E-5</c:v>
                </c:pt>
                <c:pt idx="23">
                  <c:v>4.8031496062992124E-5</c:v>
                </c:pt>
                <c:pt idx="24">
                  <c:v>5.7086614173228356E-5</c:v>
                </c:pt>
                <c:pt idx="25">
                  <c:v>6.7322834645669287E-5</c:v>
                </c:pt>
                <c:pt idx="26">
                  <c:v>7.913385826771653E-5</c:v>
                </c:pt>
                <c:pt idx="27">
                  <c:v>9.2125984251968505E-5</c:v>
                </c:pt>
                <c:pt idx="28">
                  <c:v>1.0393700787401575E-4</c:v>
                </c:pt>
                <c:pt idx="29">
                  <c:v>1.1299212598425198E-4</c:v>
                </c:pt>
                <c:pt idx="30">
                  <c:v>1.1653543307086615E-4</c:v>
                </c:pt>
                <c:pt idx="31">
                  <c:v>1.1535433070866142E-4</c:v>
                </c:pt>
                <c:pt idx="32">
                  <c:v>1.1023622047244096E-4</c:v>
                </c:pt>
                <c:pt idx="33">
                  <c:v>1.0354330708661417E-4</c:v>
                </c:pt>
                <c:pt idx="34">
                  <c:v>9.6456692913385835E-5</c:v>
                </c:pt>
                <c:pt idx="35">
                  <c:v>8.9763779527559067E-5</c:v>
                </c:pt>
                <c:pt idx="36">
                  <c:v>8.3464566929133859E-5</c:v>
                </c:pt>
                <c:pt idx="37">
                  <c:v>7.8346456692913397E-5</c:v>
                </c:pt>
                <c:pt idx="38">
                  <c:v>7.3622047244094495E-5</c:v>
                </c:pt>
                <c:pt idx="39">
                  <c:v>6.9685039370078752E-5</c:v>
                </c:pt>
                <c:pt idx="40">
                  <c:v>6.6141732283464568E-5</c:v>
                </c:pt>
                <c:pt idx="41">
                  <c:v>6.2992125984251971E-5</c:v>
                </c:pt>
                <c:pt idx="42">
                  <c:v>5.9842519685039374E-5</c:v>
                </c:pt>
                <c:pt idx="43">
                  <c:v>5.7480314960629922E-5</c:v>
                </c:pt>
                <c:pt idx="44">
                  <c:v>5.5118110236220478E-5</c:v>
                </c:pt>
                <c:pt idx="45">
                  <c:v>5.2755905511811027E-5</c:v>
                </c:pt>
                <c:pt idx="46">
                  <c:v>5.0787401574803148E-5</c:v>
                </c:pt>
                <c:pt idx="47">
                  <c:v>4.8818897637795277E-5</c:v>
                </c:pt>
                <c:pt idx="48">
                  <c:v>4.6850393700787405E-5</c:v>
                </c:pt>
                <c:pt idx="49">
                  <c:v>4.4881889763779534E-5</c:v>
                </c:pt>
                <c:pt idx="50">
                  <c:v>4.3307086614173235E-5</c:v>
                </c:pt>
                <c:pt idx="51">
                  <c:v>4.1338582677165357E-5</c:v>
                </c:pt>
                <c:pt idx="52">
                  <c:v>3.9763779527559058E-5</c:v>
                </c:pt>
                <c:pt idx="53">
                  <c:v>3.8070866141732284E-5</c:v>
                </c:pt>
                <c:pt idx="54">
                  <c:v>3.6456692913385826E-5</c:v>
                </c:pt>
                <c:pt idx="55">
                  <c:v>3.5039370078740156E-5</c:v>
                </c:pt>
                <c:pt idx="56">
                  <c:v>3.3818897637795278E-5</c:v>
                </c:pt>
                <c:pt idx="57">
                  <c:v>3.2992125984251967E-5</c:v>
                </c:pt>
                <c:pt idx="58">
                  <c:v>3.2637795275590552E-5</c:v>
                </c:pt>
                <c:pt idx="59">
                  <c:v>3.2952755905511808E-5</c:v>
                </c:pt>
                <c:pt idx="60">
                  <c:v>3.413385826771654E-5</c:v>
                </c:pt>
                <c:pt idx="61">
                  <c:v>3.6220472440944888E-5</c:v>
                </c:pt>
                <c:pt idx="62">
                  <c:v>3.9251968503937002E-5</c:v>
                </c:pt>
                <c:pt idx="63">
                  <c:v>4.2913385826771655E-5</c:v>
                </c:pt>
                <c:pt idx="64">
                  <c:v>4.7637795275590558E-5</c:v>
                </c:pt>
                <c:pt idx="65">
                  <c:v>5.2755905511811027E-5</c:v>
                </c:pt>
                <c:pt idx="66">
                  <c:v>5.7874015748031495E-5</c:v>
                </c:pt>
                <c:pt idx="67">
                  <c:v>6.2992125984251971E-5</c:v>
                </c:pt>
                <c:pt idx="68">
                  <c:v>6.7716535433070873E-5</c:v>
                </c:pt>
                <c:pt idx="69">
                  <c:v>7.2047244094488189E-5</c:v>
                </c:pt>
                <c:pt idx="70">
                  <c:v>7.559055118110236E-5</c:v>
                </c:pt>
                <c:pt idx="71">
                  <c:v>7.7952755905511811E-5</c:v>
                </c:pt>
                <c:pt idx="72">
                  <c:v>7.9921259842519689E-5</c:v>
                </c:pt>
                <c:pt idx="73">
                  <c:v>8.1102362204724422E-5</c:v>
                </c:pt>
                <c:pt idx="74">
                  <c:v>8.1496062992125995E-5</c:v>
                </c:pt>
                <c:pt idx="75">
                  <c:v>8.1496062992125995E-5</c:v>
                </c:pt>
                <c:pt idx="76">
                  <c:v>8.1102362204724422E-5</c:v>
                </c:pt>
                <c:pt idx="77">
                  <c:v>8.0314960629921276E-5</c:v>
                </c:pt>
                <c:pt idx="78">
                  <c:v>7.9527559055118116E-5</c:v>
                </c:pt>
                <c:pt idx="79">
                  <c:v>7.874015748031497E-5</c:v>
                </c:pt>
                <c:pt idx="80">
                  <c:v>7.7559055118110252E-5</c:v>
                </c:pt>
                <c:pt idx="81">
                  <c:v>7.6771653543307092E-5</c:v>
                </c:pt>
                <c:pt idx="82">
                  <c:v>7.559055118110236E-5</c:v>
                </c:pt>
                <c:pt idx="83">
                  <c:v>7.4803149606299214E-5</c:v>
                </c:pt>
                <c:pt idx="84">
                  <c:v>7.3622047244094495E-5</c:v>
                </c:pt>
                <c:pt idx="85">
                  <c:v>7.2834645669291349E-5</c:v>
                </c:pt>
                <c:pt idx="86">
                  <c:v>7.2047244094488189E-5</c:v>
                </c:pt>
                <c:pt idx="87">
                  <c:v>7.1259842519685044E-5</c:v>
                </c:pt>
                <c:pt idx="88">
                  <c:v>7.0472440944881884E-5</c:v>
                </c:pt>
                <c:pt idx="89">
                  <c:v>6.9685039370078752E-5</c:v>
                </c:pt>
                <c:pt idx="90">
                  <c:v>6.8897637795275592E-5</c:v>
                </c:pt>
                <c:pt idx="91">
                  <c:v>6.8110236220472446E-5</c:v>
                </c:pt>
                <c:pt idx="92">
                  <c:v>6.7322834645669287E-5</c:v>
                </c:pt>
                <c:pt idx="93">
                  <c:v>6.6929133858267728E-5</c:v>
                </c:pt>
                <c:pt idx="94">
                  <c:v>6.6141732283464568E-5</c:v>
                </c:pt>
                <c:pt idx="95">
                  <c:v>6.5748031496062995E-5</c:v>
                </c:pt>
                <c:pt idx="96">
                  <c:v>6.5354330708661422E-5</c:v>
                </c:pt>
                <c:pt idx="97">
                  <c:v>6.4566929133858276E-5</c:v>
                </c:pt>
                <c:pt idx="98">
                  <c:v>6.4173228346456703E-5</c:v>
                </c:pt>
                <c:pt idx="99">
                  <c:v>6.3779527559055117E-5</c:v>
                </c:pt>
                <c:pt idx="100">
                  <c:v>6.3385826771653557E-5</c:v>
                </c:pt>
                <c:pt idx="101">
                  <c:v>6.2992125984251971E-5</c:v>
                </c:pt>
                <c:pt idx="102">
                  <c:v>6.2598425196850398E-5</c:v>
                </c:pt>
                <c:pt idx="103">
                  <c:v>6.2204724409448811E-5</c:v>
                </c:pt>
                <c:pt idx="104">
                  <c:v>6.1811023622047252E-5</c:v>
                </c:pt>
                <c:pt idx="105">
                  <c:v>6.1417322834645679E-5</c:v>
                </c:pt>
                <c:pt idx="106">
                  <c:v>6.1023622047244093E-5</c:v>
                </c:pt>
                <c:pt idx="107">
                  <c:v>6.0629921259842526E-5</c:v>
                </c:pt>
                <c:pt idx="108">
                  <c:v>6.0629921259842526E-5</c:v>
                </c:pt>
                <c:pt idx="109">
                  <c:v>6.0236220472440947E-5</c:v>
                </c:pt>
                <c:pt idx="110">
                  <c:v>5.9842519685039374E-5</c:v>
                </c:pt>
                <c:pt idx="111">
                  <c:v>5.9448818897637794E-5</c:v>
                </c:pt>
                <c:pt idx="112">
                  <c:v>5.9448818897637794E-5</c:v>
                </c:pt>
                <c:pt idx="113">
                  <c:v>5.9055118110236228E-5</c:v>
                </c:pt>
                <c:pt idx="114">
                  <c:v>5.8661417322834648E-5</c:v>
                </c:pt>
                <c:pt idx="115">
                  <c:v>5.8661417322834648E-5</c:v>
                </c:pt>
                <c:pt idx="116">
                  <c:v>5.8267716535433075E-5</c:v>
                </c:pt>
                <c:pt idx="117">
                  <c:v>5.8267716535433075E-5</c:v>
                </c:pt>
                <c:pt idx="118">
                  <c:v>5.7874015748031495E-5</c:v>
                </c:pt>
                <c:pt idx="119">
                  <c:v>5.7874015748031495E-5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E4C-47CA-8EE7-0C472B11C205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P6_LB!$A$7:$A$126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P6_LB!$G$7:$G$126</c:f>
              <c:numCache>
                <c:formatCode>0.00E+00</c:formatCode>
                <c:ptCount val="120"/>
                <c:pt idx="0">
                  <c:v>2.681102362204725E-9</c:v>
                </c:pt>
                <c:pt idx="1">
                  <c:v>1.078740157480315E-8</c:v>
                </c:pt>
                <c:pt idx="2">
                  <c:v>2.44488188976378E-8</c:v>
                </c:pt>
                <c:pt idx="3">
                  <c:v>4.409448818897638E-8</c:v>
                </c:pt>
                <c:pt idx="4">
                  <c:v>6.9685039370078741E-8</c:v>
                </c:pt>
                <c:pt idx="5">
                  <c:v>1.0236220472440946E-7</c:v>
                </c:pt>
                <c:pt idx="6">
                  <c:v>1.425196850393701E-7</c:v>
                </c:pt>
                <c:pt idx="7">
                  <c:v>1.9055118110236223E-7</c:v>
                </c:pt>
                <c:pt idx="8">
                  <c:v>2.4763779527559059E-7</c:v>
                </c:pt>
                <c:pt idx="9">
                  <c:v>3.1535433070866139E-7</c:v>
                </c:pt>
                <c:pt idx="10">
                  <c:v>3.9370078740157486E-7</c:v>
                </c:pt>
                <c:pt idx="11">
                  <c:v>4.8818897637795274E-7</c:v>
                </c:pt>
                <c:pt idx="12">
                  <c:v>5.9842519685039375E-7</c:v>
                </c:pt>
                <c:pt idx="13">
                  <c:v>7.2440944881889766E-7</c:v>
                </c:pt>
                <c:pt idx="14">
                  <c:v>8.7401574803149615E-7</c:v>
                </c:pt>
                <c:pt idx="15">
                  <c:v>1.0472440944881891E-6</c:v>
                </c:pt>
                <c:pt idx="16">
                  <c:v>1.2480314960629922E-6</c:v>
                </c:pt>
                <c:pt idx="17">
                  <c:v>1.4842519685039371E-6</c:v>
                </c:pt>
                <c:pt idx="18">
                  <c:v>1.7598425196850396E-6</c:v>
                </c:pt>
                <c:pt idx="19">
                  <c:v>2.0866141732283467E-6</c:v>
                </c:pt>
                <c:pt idx="20">
                  <c:v>2.4724409448818902E-6</c:v>
                </c:pt>
                <c:pt idx="21">
                  <c:v>2.9330708661417322E-6</c:v>
                </c:pt>
                <c:pt idx="22">
                  <c:v>3.480314960629921E-6</c:v>
                </c:pt>
                <c:pt idx="23">
                  <c:v>4.1338582677165355E-6</c:v>
                </c:pt>
                <c:pt idx="24">
                  <c:v>4.9212598425196856E-6</c:v>
                </c:pt>
                <c:pt idx="25">
                  <c:v>5.8267716535433075E-6</c:v>
                </c:pt>
                <c:pt idx="26">
                  <c:v>6.8897637795275597E-6</c:v>
                </c:pt>
                <c:pt idx="27">
                  <c:v>8.1496062992125984E-6</c:v>
                </c:pt>
                <c:pt idx="28">
                  <c:v>9.4881889763779536E-6</c:v>
                </c:pt>
                <c:pt idx="29">
                  <c:v>1.0905511811023623E-5</c:v>
                </c:pt>
                <c:pt idx="30">
                  <c:v>1.2244094488188978E-5</c:v>
                </c:pt>
                <c:pt idx="31">
                  <c:v>1.3385826771653543E-5</c:v>
                </c:pt>
                <c:pt idx="32">
                  <c:v>1.4173228346456692E-5</c:v>
                </c:pt>
                <c:pt idx="33">
                  <c:v>1.4606299212598424E-5</c:v>
                </c:pt>
                <c:pt idx="34">
                  <c:v>1.4803149606299212E-5</c:v>
                </c:pt>
                <c:pt idx="35">
                  <c:v>1.4763779527559057E-5</c:v>
                </c:pt>
                <c:pt idx="36">
                  <c:v>1.4606299212598424E-5</c:v>
                </c:pt>
                <c:pt idx="37">
                  <c:v>1.4448818897637795E-5</c:v>
                </c:pt>
                <c:pt idx="38">
                  <c:v>1.4251968503937008E-5</c:v>
                </c:pt>
                <c:pt idx="39">
                  <c:v>1.409448818897638E-5</c:v>
                </c:pt>
                <c:pt idx="40">
                  <c:v>1.3937007874015751E-5</c:v>
                </c:pt>
                <c:pt idx="41">
                  <c:v>1.3818897637795276E-5</c:v>
                </c:pt>
                <c:pt idx="42">
                  <c:v>1.3700787401574804E-5</c:v>
                </c:pt>
                <c:pt idx="43">
                  <c:v>1.362204724409449E-5</c:v>
                </c:pt>
                <c:pt idx="44">
                  <c:v>1.3503937007874016E-5</c:v>
                </c:pt>
                <c:pt idx="45">
                  <c:v>1.3425196850393702E-5</c:v>
                </c:pt>
                <c:pt idx="46">
                  <c:v>1.3307086614173228E-5</c:v>
                </c:pt>
                <c:pt idx="47">
                  <c:v>1.3149606299212598E-5</c:v>
                </c:pt>
                <c:pt idx="48">
                  <c:v>1.3031496062992125E-5</c:v>
                </c:pt>
                <c:pt idx="49">
                  <c:v>1.2913385826771655E-5</c:v>
                </c:pt>
                <c:pt idx="50">
                  <c:v>1.2834645669291337E-5</c:v>
                </c:pt>
                <c:pt idx="51">
                  <c:v>1.2795275590551182E-5</c:v>
                </c:pt>
                <c:pt idx="52">
                  <c:v>1.2913385826771655E-5</c:v>
                </c:pt>
                <c:pt idx="53">
                  <c:v>1.3110236220472441E-5</c:v>
                </c:pt>
                <c:pt idx="54">
                  <c:v>1.3543307086614174E-5</c:v>
                </c:pt>
                <c:pt idx="55">
                  <c:v>1.4133858267716535E-5</c:v>
                </c:pt>
                <c:pt idx="56">
                  <c:v>1.4921259842519686E-5</c:v>
                </c:pt>
                <c:pt idx="57">
                  <c:v>1.5905511811023624E-5</c:v>
                </c:pt>
                <c:pt idx="58">
                  <c:v>1.7047244094488191E-5</c:v>
                </c:pt>
                <c:pt idx="59">
                  <c:v>1.8385826771653544E-5</c:v>
                </c:pt>
                <c:pt idx="60">
                  <c:v>1.9881889763779529E-5</c:v>
                </c:pt>
                <c:pt idx="61">
                  <c:v>2.1496062992125986E-5</c:v>
                </c:pt>
                <c:pt idx="62">
                  <c:v>2.3228346456692913E-5</c:v>
                </c:pt>
                <c:pt idx="63">
                  <c:v>2.4999999999999998E-5</c:v>
                </c:pt>
                <c:pt idx="64">
                  <c:v>2.6811023622047248E-5</c:v>
                </c:pt>
                <c:pt idx="65">
                  <c:v>2.8543307086614178E-5</c:v>
                </c:pt>
                <c:pt idx="66">
                  <c:v>3.0157480314960632E-5</c:v>
                </c:pt>
                <c:pt idx="67">
                  <c:v>3.1496062992125985E-5</c:v>
                </c:pt>
                <c:pt idx="68">
                  <c:v>3.2559055118110235E-5</c:v>
                </c:pt>
                <c:pt idx="69">
                  <c:v>3.3267716535433071E-5</c:v>
                </c:pt>
                <c:pt idx="70">
                  <c:v>3.3622047244094492E-5</c:v>
                </c:pt>
                <c:pt idx="71">
                  <c:v>3.3582677165354333E-5</c:v>
                </c:pt>
                <c:pt idx="72">
                  <c:v>3.3307086614173236E-5</c:v>
                </c:pt>
                <c:pt idx="73">
                  <c:v>3.2755905511811028E-5</c:v>
                </c:pt>
                <c:pt idx="74">
                  <c:v>3.2047244094488186E-5</c:v>
                </c:pt>
                <c:pt idx="75">
                  <c:v>3.1181102362204723E-5</c:v>
                </c:pt>
                <c:pt idx="76">
                  <c:v>3.0314960629921263E-5</c:v>
                </c:pt>
                <c:pt idx="77">
                  <c:v>2.9370078740157483E-5</c:v>
                </c:pt>
                <c:pt idx="78">
                  <c:v>2.8464566929133861E-5</c:v>
                </c:pt>
                <c:pt idx="79">
                  <c:v>2.7559055118110239E-5</c:v>
                </c:pt>
                <c:pt idx="80">
                  <c:v>2.6692913385826772E-5</c:v>
                </c:pt>
                <c:pt idx="81">
                  <c:v>2.5905511811023623E-5</c:v>
                </c:pt>
                <c:pt idx="82">
                  <c:v>2.5118110236220474E-5</c:v>
                </c:pt>
                <c:pt idx="83">
                  <c:v>2.437007874015748E-5</c:v>
                </c:pt>
                <c:pt idx="84">
                  <c:v>2.3700787401574803E-5</c:v>
                </c:pt>
                <c:pt idx="85">
                  <c:v>2.3070866141732282E-5</c:v>
                </c:pt>
                <c:pt idx="86">
                  <c:v>2.2480314960629922E-5</c:v>
                </c:pt>
                <c:pt idx="87">
                  <c:v>2.1889763779527559E-5</c:v>
                </c:pt>
                <c:pt idx="88">
                  <c:v>2.1377952755905517E-5</c:v>
                </c:pt>
                <c:pt idx="89">
                  <c:v>2.0905511811023623E-5</c:v>
                </c:pt>
                <c:pt idx="90">
                  <c:v>2.0433070866141737E-5</c:v>
                </c:pt>
                <c:pt idx="91">
                  <c:v>2.0000000000000005E-5</c:v>
                </c:pt>
                <c:pt idx="92">
                  <c:v>1.9606299212598429E-5</c:v>
                </c:pt>
                <c:pt idx="93">
                  <c:v>1.9212598425196852E-5</c:v>
                </c:pt>
                <c:pt idx="94">
                  <c:v>1.8858267716535435E-5</c:v>
                </c:pt>
                <c:pt idx="95">
                  <c:v>1.8543307086614176E-5</c:v>
                </c:pt>
                <c:pt idx="96">
                  <c:v>1.8228346456692913E-5</c:v>
                </c:pt>
                <c:pt idx="97">
                  <c:v>1.7913385826771654E-5</c:v>
                </c:pt>
                <c:pt idx="98">
                  <c:v>1.763779527559055E-5</c:v>
                </c:pt>
                <c:pt idx="99">
                  <c:v>1.7401574803149609E-5</c:v>
                </c:pt>
                <c:pt idx="100">
                  <c:v>1.7125984251968505E-5</c:v>
                </c:pt>
                <c:pt idx="101">
                  <c:v>1.688976377952756E-5</c:v>
                </c:pt>
                <c:pt idx="102">
                  <c:v>1.6692913385826773E-5</c:v>
                </c:pt>
                <c:pt idx="103">
                  <c:v>1.6456692913385828E-5</c:v>
                </c:pt>
                <c:pt idx="104">
                  <c:v>1.6259842519685042E-5</c:v>
                </c:pt>
                <c:pt idx="105">
                  <c:v>1.6062992125984252E-5</c:v>
                </c:pt>
                <c:pt idx="106">
                  <c:v>1.5866141732283465E-5</c:v>
                </c:pt>
                <c:pt idx="107">
                  <c:v>1.5708661417322834E-5</c:v>
                </c:pt>
                <c:pt idx="108">
                  <c:v>1.5551181102362203E-5</c:v>
                </c:pt>
                <c:pt idx="109">
                  <c:v>1.535433070866142E-5</c:v>
                </c:pt>
                <c:pt idx="110">
                  <c:v>1.5196850393700789E-5</c:v>
                </c:pt>
                <c:pt idx="111">
                  <c:v>1.5078740157480316E-5</c:v>
                </c:pt>
                <c:pt idx="112">
                  <c:v>1.4921259842519686E-5</c:v>
                </c:pt>
                <c:pt idx="113">
                  <c:v>1.4763779527559057E-5</c:v>
                </c:pt>
                <c:pt idx="114">
                  <c:v>1.4645669291338583E-5</c:v>
                </c:pt>
                <c:pt idx="115">
                  <c:v>1.452755905511811E-5</c:v>
                </c:pt>
                <c:pt idx="116">
                  <c:v>1.4409448818897639E-5</c:v>
                </c:pt>
                <c:pt idx="117">
                  <c:v>1.4291338582677165E-5</c:v>
                </c:pt>
                <c:pt idx="118">
                  <c:v>1.4173228346456692E-5</c:v>
                </c:pt>
                <c:pt idx="119">
                  <c:v>1.4055118110236222E-5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E4C-47CA-8EE7-0C472B11C205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P6_LB!$A$7:$A$126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P6_LB!$H$7:$H$126</c:f>
              <c:numCache>
                <c:formatCode>0.00E+00</c:formatCode>
                <c:ptCount val="120"/>
                <c:pt idx="0">
                  <c:v>2.2834645669291337E-8</c:v>
                </c:pt>
                <c:pt idx="1">
                  <c:v>9.2125984251968514E-8</c:v>
                </c:pt>
                <c:pt idx="2">
                  <c:v>2.1023622047244097E-7</c:v>
                </c:pt>
                <c:pt idx="3">
                  <c:v>3.7913385826771652E-7</c:v>
                </c:pt>
                <c:pt idx="4">
                  <c:v>6.0236220472440963E-7</c:v>
                </c:pt>
                <c:pt idx="5">
                  <c:v>8.818897637795276E-7</c:v>
                </c:pt>
                <c:pt idx="6">
                  <c:v>1.2283464566929135E-6</c:v>
                </c:pt>
                <c:pt idx="7">
                  <c:v>1.6496062992125984E-6</c:v>
                </c:pt>
                <c:pt idx="8">
                  <c:v>2.1456692913385825E-6</c:v>
                </c:pt>
                <c:pt idx="9">
                  <c:v>2.7283464566929138E-6</c:v>
                </c:pt>
                <c:pt idx="10">
                  <c:v>3.413385826771654E-6</c:v>
                </c:pt>
                <c:pt idx="11">
                  <c:v>4.2125984251968503E-6</c:v>
                </c:pt>
                <c:pt idx="12">
                  <c:v>5.1181102362204721E-6</c:v>
                </c:pt>
                <c:pt idx="13">
                  <c:v>6.1811023622047244E-6</c:v>
                </c:pt>
                <c:pt idx="14">
                  <c:v>7.4409448818897648E-6</c:v>
                </c:pt>
                <c:pt idx="15">
                  <c:v>8.8582677165354338E-6</c:v>
                </c:pt>
                <c:pt idx="16">
                  <c:v>1.0551181102362205E-5</c:v>
                </c:pt>
                <c:pt idx="17">
                  <c:v>1.2440944881889766E-5</c:v>
                </c:pt>
                <c:pt idx="18">
                  <c:v>1.4685039370078741E-5</c:v>
                </c:pt>
                <c:pt idx="19">
                  <c:v>1.7244094488188977E-5</c:v>
                </c:pt>
                <c:pt idx="20">
                  <c:v>2.0275590551181105E-5</c:v>
                </c:pt>
                <c:pt idx="21">
                  <c:v>2.3818897637795279E-5</c:v>
                </c:pt>
                <c:pt idx="22">
                  <c:v>2.8031496062992129E-5</c:v>
                </c:pt>
                <c:pt idx="23">
                  <c:v>3.2952755905511808E-5</c:v>
                </c:pt>
                <c:pt idx="24">
                  <c:v>3.866141732283465E-5</c:v>
                </c:pt>
                <c:pt idx="25">
                  <c:v>4.5275590551181107E-5</c:v>
                </c:pt>
                <c:pt idx="26">
                  <c:v>5.2362204724409454E-5</c:v>
                </c:pt>
                <c:pt idx="27">
                  <c:v>5.9842519685039374E-5</c:v>
                </c:pt>
                <c:pt idx="28">
                  <c:v>6.6141732283464568E-5</c:v>
                </c:pt>
                <c:pt idx="29">
                  <c:v>7.0866141732283471E-5</c:v>
                </c:pt>
                <c:pt idx="30">
                  <c:v>7.2047244094488189E-5</c:v>
                </c:pt>
                <c:pt idx="31">
                  <c:v>7.0866141732283471E-5</c:v>
                </c:pt>
                <c:pt idx="32">
                  <c:v>6.8110236220472446E-5</c:v>
                </c:pt>
                <c:pt idx="33">
                  <c:v>6.4960629921259849E-5</c:v>
                </c:pt>
                <c:pt idx="34">
                  <c:v>6.2204724409448811E-5</c:v>
                </c:pt>
                <c:pt idx="35">
                  <c:v>6.0629921259842526E-5</c:v>
                </c:pt>
                <c:pt idx="36">
                  <c:v>5.9448818897637794E-5</c:v>
                </c:pt>
                <c:pt idx="37">
                  <c:v>5.8661417322834648E-5</c:v>
                </c:pt>
                <c:pt idx="38">
                  <c:v>5.8267716535433075E-5</c:v>
                </c:pt>
                <c:pt idx="39">
                  <c:v>5.8267716535433075E-5</c:v>
                </c:pt>
                <c:pt idx="40">
                  <c:v>5.8661417322834648E-5</c:v>
                </c:pt>
                <c:pt idx="41">
                  <c:v>5.9055118110236228E-5</c:v>
                </c:pt>
                <c:pt idx="42">
                  <c:v>5.9448818897637794E-5</c:v>
                </c:pt>
                <c:pt idx="43">
                  <c:v>5.9842519685039374E-5</c:v>
                </c:pt>
                <c:pt idx="44">
                  <c:v>6.0236220472440947E-5</c:v>
                </c:pt>
                <c:pt idx="45">
                  <c:v>6.0629921259842526E-5</c:v>
                </c:pt>
                <c:pt idx="46">
                  <c:v>6.1023622047244093E-5</c:v>
                </c:pt>
                <c:pt idx="47">
                  <c:v>6.1023622047244093E-5</c:v>
                </c:pt>
                <c:pt idx="48">
                  <c:v>6.1417322834645679E-5</c:v>
                </c:pt>
                <c:pt idx="49">
                  <c:v>6.1811023622047252E-5</c:v>
                </c:pt>
                <c:pt idx="50">
                  <c:v>6.2204724409448811E-5</c:v>
                </c:pt>
                <c:pt idx="51">
                  <c:v>6.2204724409448811E-5</c:v>
                </c:pt>
                <c:pt idx="52">
                  <c:v>6.2598425196850398E-5</c:v>
                </c:pt>
                <c:pt idx="53">
                  <c:v>6.2992125984251971E-5</c:v>
                </c:pt>
                <c:pt idx="54">
                  <c:v>6.3779527559055117E-5</c:v>
                </c:pt>
                <c:pt idx="55">
                  <c:v>6.4173228346456703E-5</c:v>
                </c:pt>
                <c:pt idx="56">
                  <c:v>6.4960629921259849E-5</c:v>
                </c:pt>
                <c:pt idx="57">
                  <c:v>6.5748031496062995E-5</c:v>
                </c:pt>
                <c:pt idx="58">
                  <c:v>6.6141732283464568E-5</c:v>
                </c:pt>
                <c:pt idx="59">
                  <c:v>6.6929133858267728E-5</c:v>
                </c:pt>
                <c:pt idx="60">
                  <c:v>6.7716535433070873E-5</c:v>
                </c:pt>
                <c:pt idx="61">
                  <c:v>6.8110236220472446E-5</c:v>
                </c:pt>
                <c:pt idx="62">
                  <c:v>6.8503937007874019E-5</c:v>
                </c:pt>
                <c:pt idx="63">
                  <c:v>6.8503937007874019E-5</c:v>
                </c:pt>
                <c:pt idx="64">
                  <c:v>6.8503937007874019E-5</c:v>
                </c:pt>
                <c:pt idx="65">
                  <c:v>6.8503937007874019E-5</c:v>
                </c:pt>
                <c:pt idx="66">
                  <c:v>6.8110236220472446E-5</c:v>
                </c:pt>
                <c:pt idx="67">
                  <c:v>6.7716535433070873E-5</c:v>
                </c:pt>
                <c:pt idx="68">
                  <c:v>6.7322834645669287E-5</c:v>
                </c:pt>
                <c:pt idx="69">
                  <c:v>6.6535433070866141E-5</c:v>
                </c:pt>
                <c:pt idx="70">
                  <c:v>6.5748031496062995E-5</c:v>
                </c:pt>
                <c:pt idx="71">
                  <c:v>6.4960629921259849E-5</c:v>
                </c:pt>
                <c:pt idx="72">
                  <c:v>6.4173228346456703E-5</c:v>
                </c:pt>
                <c:pt idx="73">
                  <c:v>6.3385826771653557E-5</c:v>
                </c:pt>
                <c:pt idx="74">
                  <c:v>6.2598425196850398E-5</c:v>
                </c:pt>
                <c:pt idx="75">
                  <c:v>6.1811023622047252E-5</c:v>
                </c:pt>
                <c:pt idx="76">
                  <c:v>6.1023622047244093E-5</c:v>
                </c:pt>
                <c:pt idx="77">
                  <c:v>6.0236220472440947E-5</c:v>
                </c:pt>
                <c:pt idx="78">
                  <c:v>5.9448818897637794E-5</c:v>
                </c:pt>
                <c:pt idx="79">
                  <c:v>5.8661417322834648E-5</c:v>
                </c:pt>
                <c:pt idx="80">
                  <c:v>5.7874015748031495E-5</c:v>
                </c:pt>
                <c:pt idx="81">
                  <c:v>5.7480314960629922E-5</c:v>
                </c:pt>
                <c:pt idx="82">
                  <c:v>5.669291338582677E-5</c:v>
                </c:pt>
                <c:pt idx="83">
                  <c:v>5.6299212598425204E-5</c:v>
                </c:pt>
                <c:pt idx="84">
                  <c:v>5.5511811023622051E-5</c:v>
                </c:pt>
                <c:pt idx="85">
                  <c:v>5.5118110236220478E-5</c:v>
                </c:pt>
                <c:pt idx="86">
                  <c:v>5.4330708661417325E-5</c:v>
                </c:pt>
                <c:pt idx="87">
                  <c:v>5.3937007874015745E-5</c:v>
                </c:pt>
                <c:pt idx="88">
                  <c:v>5.3543307086614173E-5</c:v>
                </c:pt>
                <c:pt idx="89">
                  <c:v>5.3149606299212606E-5</c:v>
                </c:pt>
                <c:pt idx="90">
                  <c:v>5.2755905511811027E-5</c:v>
                </c:pt>
                <c:pt idx="91">
                  <c:v>5.2362204724409454E-5</c:v>
                </c:pt>
                <c:pt idx="92">
                  <c:v>5.1968503937007874E-5</c:v>
                </c:pt>
                <c:pt idx="93">
                  <c:v>5.1574803149606301E-5</c:v>
                </c:pt>
                <c:pt idx="94">
                  <c:v>5.1181102362204728E-5</c:v>
                </c:pt>
                <c:pt idx="95">
                  <c:v>5.0787401574803148E-5</c:v>
                </c:pt>
                <c:pt idx="96">
                  <c:v>5.0393700787401582E-5</c:v>
                </c:pt>
                <c:pt idx="97">
                  <c:v>4.9999999999999996E-5</c:v>
                </c:pt>
                <c:pt idx="98">
                  <c:v>4.9606299212598429E-5</c:v>
                </c:pt>
                <c:pt idx="99">
                  <c:v>4.9606299212598429E-5</c:v>
                </c:pt>
                <c:pt idx="100">
                  <c:v>4.9212598425196856E-5</c:v>
                </c:pt>
                <c:pt idx="101">
                  <c:v>4.8818897637795277E-5</c:v>
                </c:pt>
                <c:pt idx="102">
                  <c:v>4.8818897637795277E-5</c:v>
                </c:pt>
                <c:pt idx="103">
                  <c:v>4.8425196850393711E-5</c:v>
                </c:pt>
                <c:pt idx="104">
                  <c:v>4.8031496062992124E-5</c:v>
                </c:pt>
                <c:pt idx="105">
                  <c:v>4.8031496062992124E-5</c:v>
                </c:pt>
                <c:pt idx="106">
                  <c:v>4.7637795275590558E-5</c:v>
                </c:pt>
                <c:pt idx="107">
                  <c:v>4.7637795275590558E-5</c:v>
                </c:pt>
                <c:pt idx="108">
                  <c:v>4.7244094488188978E-5</c:v>
                </c:pt>
                <c:pt idx="109">
                  <c:v>4.7244094488188978E-5</c:v>
                </c:pt>
                <c:pt idx="110">
                  <c:v>4.6850393700787405E-5</c:v>
                </c:pt>
                <c:pt idx="111">
                  <c:v>4.6850393700787405E-5</c:v>
                </c:pt>
                <c:pt idx="112">
                  <c:v>4.6850393700787405E-5</c:v>
                </c:pt>
                <c:pt idx="113">
                  <c:v>4.6456692913385825E-5</c:v>
                </c:pt>
                <c:pt idx="114">
                  <c:v>4.6456692913385825E-5</c:v>
                </c:pt>
                <c:pt idx="115">
                  <c:v>4.6456692913385825E-5</c:v>
                </c:pt>
                <c:pt idx="116">
                  <c:v>4.6062992125984253E-5</c:v>
                </c:pt>
                <c:pt idx="117">
                  <c:v>4.6062992125984253E-5</c:v>
                </c:pt>
                <c:pt idx="118">
                  <c:v>4.6062992125984253E-5</c:v>
                </c:pt>
                <c:pt idx="119">
                  <c:v>4.566929133858268E-5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E4C-47CA-8EE7-0C472B11C205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BE4C-47CA-8EE7-0C472B11C205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5.5551181102362203E-4</c:v>
                </c:pt>
                <c:pt idx="1">
                  <c:v>5.5551181102362203E-4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E4C-47CA-8EE7-0C472B11C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26-450F-AA93-3B3983F8C20C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26-450F-AA93-3B3983F8C20C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26-450F-AA93-3B3983F8C20C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26-450F-AA93-3B3983F8C20C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26-450F-AA93-3B3983F8C20C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26-450F-AA93-3B3983F8C20C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26-450F-AA93-3B3983F8C20C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626-450F-AA93-3B3983F8C20C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626-450F-AA93-3B3983F8C20C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626-450F-AA93-3B3983F8C20C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626-450F-AA93-3B3983F8C20C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626-450F-AA93-3B3983F8C20C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626-450F-AA93-3B3983F8C20C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626-450F-AA93-3B3983F8C20C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626-450F-AA93-3B3983F8C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5B-4D0D-87FA-7554FA73245B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5B-4D0D-87FA-7554FA73245B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5B-4D0D-87FA-7554FA73245B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5B-4D0D-87FA-7554FA73245B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5B-4D0D-87FA-7554FA73245B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5B-4D0D-87FA-7554FA73245B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5B-4D0D-87FA-7554FA73245B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5B-4D0D-87FA-7554FA73245B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5B-4D0D-87FA-7554FA73245B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5B-4D0D-87FA-7554FA73245B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5B-4D0D-87FA-7554FA73245B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P3_UB!$A$7:$A$126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P3_UB!$F$7:$F$126</c:f>
              <c:numCache>
                <c:formatCode>0.00E+00</c:formatCode>
                <c:ptCount val="120"/>
                <c:pt idx="0">
                  <c:v>1.7755905511811026E-8</c:v>
                </c:pt>
                <c:pt idx="1">
                  <c:v>7.1259842519685048E-8</c:v>
                </c:pt>
                <c:pt idx="2">
                  <c:v>1.6062992125984253E-7</c:v>
                </c:pt>
                <c:pt idx="3">
                  <c:v>2.8661417322834647E-7</c:v>
                </c:pt>
                <c:pt idx="4">
                  <c:v>4.5275590551181104E-7</c:v>
                </c:pt>
                <c:pt idx="5">
                  <c:v>6.5354330708661425E-7</c:v>
                </c:pt>
                <c:pt idx="6">
                  <c:v>8.9763779527559051E-7</c:v>
                </c:pt>
                <c:pt idx="7">
                  <c:v>1.1850393700787401E-6</c:v>
                </c:pt>
                <c:pt idx="8">
                  <c:v>1.5157480314960632E-6</c:v>
                </c:pt>
                <c:pt idx="9">
                  <c:v>1.8937007874015751E-6</c:v>
                </c:pt>
                <c:pt idx="10">
                  <c:v>2.3228346456692914E-6</c:v>
                </c:pt>
                <c:pt idx="11">
                  <c:v>2.8070866141732285E-6</c:v>
                </c:pt>
                <c:pt idx="12">
                  <c:v>3.3464566929133858E-6</c:v>
                </c:pt>
                <c:pt idx="13">
                  <c:v>3.9370078740157482E-6</c:v>
                </c:pt>
                <c:pt idx="14">
                  <c:v>4.6062992125984258E-6</c:v>
                </c:pt>
                <c:pt idx="15">
                  <c:v>5.3543307086614173E-6</c:v>
                </c:pt>
                <c:pt idx="16">
                  <c:v>6.1811023622047244E-6</c:v>
                </c:pt>
                <c:pt idx="17">
                  <c:v>7.0866141732283462E-6</c:v>
                </c:pt>
                <c:pt idx="18">
                  <c:v>8.0708661417322845E-6</c:v>
                </c:pt>
                <c:pt idx="19">
                  <c:v>9.1732283464566929E-6</c:v>
                </c:pt>
                <c:pt idx="20">
                  <c:v>1.0393700787401574E-5</c:v>
                </c:pt>
                <c:pt idx="21">
                  <c:v>1.1732283464566929E-5</c:v>
                </c:pt>
                <c:pt idx="22">
                  <c:v>1.3228346456692914E-5</c:v>
                </c:pt>
                <c:pt idx="23">
                  <c:v>1.4842519685039371E-5</c:v>
                </c:pt>
                <c:pt idx="24">
                  <c:v>1.6692913385826773E-5</c:v>
                </c:pt>
                <c:pt idx="25">
                  <c:v>1.8700787401574803E-5</c:v>
                </c:pt>
                <c:pt idx="26">
                  <c:v>2.0984251968503941E-5</c:v>
                </c:pt>
                <c:pt idx="27">
                  <c:v>2.3543307086614175E-5</c:v>
                </c:pt>
                <c:pt idx="28">
                  <c:v>2.6417322834645672E-5</c:v>
                </c:pt>
                <c:pt idx="29">
                  <c:v>2.9645669291338583E-5</c:v>
                </c:pt>
                <c:pt idx="30">
                  <c:v>3.3307086614173236E-5</c:v>
                </c:pt>
                <c:pt idx="31">
                  <c:v>3.7480314960629924E-5</c:v>
                </c:pt>
                <c:pt idx="32">
                  <c:v>4.2125984251968503E-5</c:v>
                </c:pt>
                <c:pt idx="33">
                  <c:v>4.7637795275590558E-5</c:v>
                </c:pt>
                <c:pt idx="34">
                  <c:v>5.3937007874015745E-5</c:v>
                </c:pt>
                <c:pt idx="35">
                  <c:v>6.0629921259842526E-5</c:v>
                </c:pt>
                <c:pt idx="36">
                  <c:v>6.8503937007874019E-5</c:v>
                </c:pt>
                <c:pt idx="37">
                  <c:v>7.7165354330708665E-5</c:v>
                </c:pt>
                <c:pt idx="38">
                  <c:v>8.661417322834647E-5</c:v>
                </c:pt>
                <c:pt idx="39">
                  <c:v>9.6062992125984248E-5</c:v>
                </c:pt>
                <c:pt idx="40">
                  <c:v>1.0511811023622047E-4</c:v>
                </c:pt>
                <c:pt idx="41">
                  <c:v>1.1259842519685041E-4</c:v>
                </c:pt>
                <c:pt idx="42">
                  <c:v>1.173228346456693E-4</c:v>
                </c:pt>
                <c:pt idx="43">
                  <c:v>1.1929133858267716E-4</c:v>
                </c:pt>
                <c:pt idx="44">
                  <c:v>1.1850393700787403E-4</c:v>
                </c:pt>
                <c:pt idx="45">
                  <c:v>1.1574803149606299E-4</c:v>
                </c:pt>
                <c:pt idx="46">
                  <c:v>1.110236220472441E-4</c:v>
                </c:pt>
                <c:pt idx="47">
                  <c:v>1.0590551181102363E-4</c:v>
                </c:pt>
                <c:pt idx="48">
                  <c:v>1.0078740157480316E-4</c:v>
                </c:pt>
                <c:pt idx="49">
                  <c:v>9.5275590551181116E-5</c:v>
                </c:pt>
                <c:pt idx="50">
                  <c:v>9.0551181102362213E-5</c:v>
                </c:pt>
                <c:pt idx="51">
                  <c:v>8.5826771653543311E-5</c:v>
                </c:pt>
                <c:pt idx="52">
                  <c:v>8.1496062992125995E-5</c:v>
                </c:pt>
                <c:pt idx="53">
                  <c:v>7.7559055118110252E-5</c:v>
                </c:pt>
                <c:pt idx="54">
                  <c:v>7.4015748031496068E-5</c:v>
                </c:pt>
                <c:pt idx="55">
                  <c:v>7.0866141732283471E-5</c:v>
                </c:pt>
                <c:pt idx="56">
                  <c:v>6.7716535433070873E-5</c:v>
                </c:pt>
                <c:pt idx="57">
                  <c:v>6.4960629921259849E-5</c:v>
                </c:pt>
                <c:pt idx="58">
                  <c:v>6.2598425196850398E-5</c:v>
                </c:pt>
                <c:pt idx="59">
                  <c:v>6.0236220472440947E-5</c:v>
                </c:pt>
                <c:pt idx="60">
                  <c:v>5.8267716535433075E-5</c:v>
                </c:pt>
                <c:pt idx="61">
                  <c:v>5.6299212598425204E-5</c:v>
                </c:pt>
                <c:pt idx="62">
                  <c:v>5.4330708661417325E-5</c:v>
                </c:pt>
                <c:pt idx="63">
                  <c:v>5.2755905511811027E-5</c:v>
                </c:pt>
                <c:pt idx="64">
                  <c:v>5.1181102362204728E-5</c:v>
                </c:pt>
                <c:pt idx="65">
                  <c:v>4.9606299212598429E-5</c:v>
                </c:pt>
                <c:pt idx="66">
                  <c:v>4.8031496062992124E-5</c:v>
                </c:pt>
                <c:pt idx="67">
                  <c:v>4.6456692913385825E-5</c:v>
                </c:pt>
                <c:pt idx="68">
                  <c:v>4.5275590551181107E-5</c:v>
                </c:pt>
                <c:pt idx="69">
                  <c:v>4.4094488188976388E-5</c:v>
                </c:pt>
                <c:pt idx="70">
                  <c:v>4.2913385826771655E-5</c:v>
                </c:pt>
                <c:pt idx="71">
                  <c:v>4.173228346456693E-5</c:v>
                </c:pt>
                <c:pt idx="72">
                  <c:v>4.0551181102362211E-5</c:v>
                </c:pt>
                <c:pt idx="73">
                  <c:v>3.9763779527559058E-5</c:v>
                </c:pt>
                <c:pt idx="74">
                  <c:v>3.9015748031496064E-5</c:v>
                </c:pt>
                <c:pt idx="75">
                  <c:v>3.8425196850393705E-5</c:v>
                </c:pt>
                <c:pt idx="76">
                  <c:v>3.8031496062992125E-5</c:v>
                </c:pt>
                <c:pt idx="77">
                  <c:v>3.7874015748031504E-5</c:v>
                </c:pt>
                <c:pt idx="78">
                  <c:v>3.8070866141732284E-5</c:v>
                </c:pt>
                <c:pt idx="79">
                  <c:v>3.8582677165354333E-5</c:v>
                </c:pt>
                <c:pt idx="80">
                  <c:v>3.9370078740157485E-5</c:v>
                </c:pt>
                <c:pt idx="81">
                  <c:v>4.0944881889763777E-5</c:v>
                </c:pt>
                <c:pt idx="82">
                  <c:v>4.2913385826771655E-5</c:v>
                </c:pt>
                <c:pt idx="83">
                  <c:v>4.4881889763779534E-5</c:v>
                </c:pt>
                <c:pt idx="84">
                  <c:v>4.7637795275590558E-5</c:v>
                </c:pt>
                <c:pt idx="85">
                  <c:v>5.0787401574803148E-5</c:v>
                </c:pt>
                <c:pt idx="86">
                  <c:v>5.4330708661417325E-5</c:v>
                </c:pt>
                <c:pt idx="87">
                  <c:v>5.7874015748031495E-5</c:v>
                </c:pt>
                <c:pt idx="88">
                  <c:v>6.1811023622047252E-5</c:v>
                </c:pt>
                <c:pt idx="89">
                  <c:v>6.5354330708661422E-5</c:v>
                </c:pt>
                <c:pt idx="90">
                  <c:v>6.8897637795275592E-5</c:v>
                </c:pt>
                <c:pt idx="91">
                  <c:v>7.2440944881889776E-5</c:v>
                </c:pt>
                <c:pt idx="92">
                  <c:v>7.5196850393700787E-5</c:v>
                </c:pt>
                <c:pt idx="93">
                  <c:v>7.7559055118110252E-5</c:v>
                </c:pt>
                <c:pt idx="94">
                  <c:v>7.9527559055118116E-5</c:v>
                </c:pt>
                <c:pt idx="95">
                  <c:v>8.1102362204724422E-5</c:v>
                </c:pt>
                <c:pt idx="96">
                  <c:v>8.2283464566929127E-5</c:v>
                </c:pt>
                <c:pt idx="97">
                  <c:v>8.30708661417323E-5</c:v>
                </c:pt>
                <c:pt idx="98">
                  <c:v>8.30708661417323E-5</c:v>
                </c:pt>
                <c:pt idx="99">
                  <c:v>8.30708661417323E-5</c:v>
                </c:pt>
                <c:pt idx="100">
                  <c:v>8.30708661417323E-5</c:v>
                </c:pt>
                <c:pt idx="101">
                  <c:v>8.2677165354330713E-5</c:v>
                </c:pt>
                <c:pt idx="102">
                  <c:v>8.1889763779527554E-5</c:v>
                </c:pt>
                <c:pt idx="103">
                  <c:v>8.1102362204724422E-5</c:v>
                </c:pt>
                <c:pt idx="104">
                  <c:v>8.0314960629921276E-5</c:v>
                </c:pt>
                <c:pt idx="105">
                  <c:v>7.9527559055118116E-5</c:v>
                </c:pt>
                <c:pt idx="106">
                  <c:v>7.874015748031497E-5</c:v>
                </c:pt>
                <c:pt idx="107">
                  <c:v>7.7952755905511811E-5</c:v>
                </c:pt>
                <c:pt idx="108">
                  <c:v>7.7165354330708665E-5</c:v>
                </c:pt>
                <c:pt idx="109">
                  <c:v>7.6377952755905519E-5</c:v>
                </c:pt>
                <c:pt idx="110">
                  <c:v>7.559055118110236E-5</c:v>
                </c:pt>
                <c:pt idx="111">
                  <c:v>7.4803149606299214E-5</c:v>
                </c:pt>
                <c:pt idx="112">
                  <c:v>7.4015748031496068E-5</c:v>
                </c:pt>
                <c:pt idx="113">
                  <c:v>7.3228346456692908E-5</c:v>
                </c:pt>
                <c:pt idx="114">
                  <c:v>7.2440944881889776E-5</c:v>
                </c:pt>
                <c:pt idx="115">
                  <c:v>7.1653543307086617E-5</c:v>
                </c:pt>
                <c:pt idx="116">
                  <c:v>7.1259842519685044E-5</c:v>
                </c:pt>
                <c:pt idx="117">
                  <c:v>7.0472440944881884E-5</c:v>
                </c:pt>
                <c:pt idx="118">
                  <c:v>6.9685039370078752E-5</c:v>
                </c:pt>
                <c:pt idx="119">
                  <c:v>6.9291338582677165E-5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5B-4D0D-87FA-7554FA73245B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P3_UB!$A$7:$A$126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P3_UB!$G$7:$G$126</c:f>
              <c:numCache>
                <c:formatCode>0.00E+00</c:formatCode>
                <c:ptCount val="120"/>
                <c:pt idx="0">
                  <c:v>1.3385826771653545E-9</c:v>
                </c:pt>
                <c:pt idx="1">
                  <c:v>5.354330708661418E-9</c:v>
                </c:pt>
                <c:pt idx="2">
                  <c:v>1.2086614173228348E-8</c:v>
                </c:pt>
                <c:pt idx="3">
                  <c:v>2.1614173228346457E-8</c:v>
                </c:pt>
                <c:pt idx="4">
                  <c:v>3.3976377952755911E-8</c:v>
                </c:pt>
                <c:pt idx="5">
                  <c:v>4.9212598425196858E-8</c:v>
                </c:pt>
                <c:pt idx="6">
                  <c:v>6.7716535433070877E-8</c:v>
                </c:pt>
                <c:pt idx="7">
                  <c:v>8.8976377952755914E-8</c:v>
                </c:pt>
                <c:pt idx="8">
                  <c:v>1.1377952755905513E-7</c:v>
                </c:pt>
                <c:pt idx="9">
                  <c:v>1.425196850393701E-7</c:v>
                </c:pt>
                <c:pt idx="10">
                  <c:v>1.7440944881889766E-7</c:v>
                </c:pt>
                <c:pt idx="11">
                  <c:v>2.106299212598425E-7</c:v>
                </c:pt>
                <c:pt idx="12">
                  <c:v>2.5078740157480316E-7</c:v>
                </c:pt>
                <c:pt idx="13">
                  <c:v>2.9527559055118109E-7</c:v>
                </c:pt>
                <c:pt idx="14">
                  <c:v>3.4448818897637803E-7</c:v>
                </c:pt>
                <c:pt idx="15">
                  <c:v>3.9763779527559059E-7</c:v>
                </c:pt>
                <c:pt idx="16">
                  <c:v>4.6062992125984254E-7</c:v>
                </c:pt>
                <c:pt idx="17">
                  <c:v>5.2362204724409455E-7</c:v>
                </c:pt>
                <c:pt idx="18">
                  <c:v>5.9842519685039375E-7</c:v>
                </c:pt>
                <c:pt idx="19">
                  <c:v>6.7716535433070861E-7</c:v>
                </c:pt>
                <c:pt idx="20">
                  <c:v>7.6377952755905504E-7</c:v>
                </c:pt>
                <c:pt idx="21">
                  <c:v>8.6220472440944891E-7</c:v>
                </c:pt>
                <c:pt idx="22">
                  <c:v>9.6456692913385835E-7</c:v>
                </c:pt>
                <c:pt idx="23">
                  <c:v>1.0787401574803151E-6</c:v>
                </c:pt>
                <c:pt idx="24">
                  <c:v>1.2047244094488193E-6</c:v>
                </c:pt>
                <c:pt idx="25">
                  <c:v>1.3425196850393703E-6</c:v>
                </c:pt>
                <c:pt idx="26">
                  <c:v>1.4921259842519685E-6</c:v>
                </c:pt>
                <c:pt idx="27">
                  <c:v>1.65748031496063E-6</c:v>
                </c:pt>
                <c:pt idx="28">
                  <c:v>1.8385826771653546E-6</c:v>
                </c:pt>
                <c:pt idx="29">
                  <c:v>2.0433070866141735E-6</c:v>
                </c:pt>
                <c:pt idx="30">
                  <c:v>2.2637795275590555E-6</c:v>
                </c:pt>
                <c:pt idx="31">
                  <c:v>2.5078740157480313E-6</c:v>
                </c:pt>
                <c:pt idx="32">
                  <c:v>2.7834645669291343E-6</c:v>
                </c:pt>
                <c:pt idx="33">
                  <c:v>3.082677165354331E-6</c:v>
                </c:pt>
                <c:pt idx="34">
                  <c:v>3.4173228346456694E-6</c:v>
                </c:pt>
                <c:pt idx="35">
                  <c:v>3.7874015748031502E-6</c:v>
                </c:pt>
                <c:pt idx="36">
                  <c:v>4.2125984251968503E-6</c:v>
                </c:pt>
                <c:pt idx="37">
                  <c:v>4.6456692913385827E-6</c:v>
                </c:pt>
                <c:pt idx="38">
                  <c:v>5.1181102362204721E-6</c:v>
                </c:pt>
                <c:pt idx="39">
                  <c:v>5.6299212598425202E-6</c:v>
                </c:pt>
                <c:pt idx="40">
                  <c:v>6.1811023622047244E-6</c:v>
                </c:pt>
                <c:pt idx="41">
                  <c:v>6.7322834645669302E-6</c:v>
                </c:pt>
                <c:pt idx="42">
                  <c:v>7.2440944881889766E-6</c:v>
                </c:pt>
                <c:pt idx="43">
                  <c:v>7.7165354330708668E-6</c:v>
                </c:pt>
                <c:pt idx="44">
                  <c:v>8.1496062992125984E-6</c:v>
                </c:pt>
                <c:pt idx="45">
                  <c:v>8.4645669291338592E-6</c:v>
                </c:pt>
                <c:pt idx="46">
                  <c:v>8.7007874015748043E-6</c:v>
                </c:pt>
                <c:pt idx="47">
                  <c:v>8.8188976377952752E-6</c:v>
                </c:pt>
                <c:pt idx="48">
                  <c:v>8.8188976377952752E-6</c:v>
                </c:pt>
                <c:pt idx="49">
                  <c:v>8.7795275590551182E-6</c:v>
                </c:pt>
                <c:pt idx="50">
                  <c:v>8.7007874015748043E-6</c:v>
                </c:pt>
                <c:pt idx="51">
                  <c:v>8.6220472440944887E-6</c:v>
                </c:pt>
                <c:pt idx="52">
                  <c:v>8.5039370078740161E-6</c:v>
                </c:pt>
                <c:pt idx="53">
                  <c:v>8.3858267716535436E-6</c:v>
                </c:pt>
                <c:pt idx="54">
                  <c:v>8.3070866141732297E-6</c:v>
                </c:pt>
                <c:pt idx="55">
                  <c:v>8.267716535433071E-6</c:v>
                </c:pt>
                <c:pt idx="56">
                  <c:v>8.267716535433071E-6</c:v>
                </c:pt>
                <c:pt idx="57">
                  <c:v>8.267716535433071E-6</c:v>
                </c:pt>
                <c:pt idx="58">
                  <c:v>8.3464566929133866E-6</c:v>
                </c:pt>
                <c:pt idx="59">
                  <c:v>8.4645669291338592E-6</c:v>
                </c:pt>
                <c:pt idx="60">
                  <c:v>8.6614173228346457E-6</c:v>
                </c:pt>
                <c:pt idx="61">
                  <c:v>8.8582677165354338E-6</c:v>
                </c:pt>
                <c:pt idx="62">
                  <c:v>9.0944881889763773E-6</c:v>
                </c:pt>
                <c:pt idx="63">
                  <c:v>9.409448818897638E-6</c:v>
                </c:pt>
                <c:pt idx="64">
                  <c:v>9.7637795275590557E-6</c:v>
                </c:pt>
                <c:pt idx="65">
                  <c:v>1.015748031496063E-5</c:v>
                </c:pt>
                <c:pt idx="66">
                  <c:v>1.0590551181102362E-5</c:v>
                </c:pt>
                <c:pt idx="67">
                  <c:v>1.1023622047244097E-5</c:v>
                </c:pt>
                <c:pt idx="68">
                  <c:v>1.1535433070866141E-5</c:v>
                </c:pt>
                <c:pt idx="69">
                  <c:v>1.2086614173228347E-5</c:v>
                </c:pt>
                <c:pt idx="70">
                  <c:v>1.2716535433070868E-5</c:v>
                </c:pt>
                <c:pt idx="71">
                  <c:v>1.3346456692913386E-5</c:v>
                </c:pt>
                <c:pt idx="72">
                  <c:v>1.4015748031496065E-5</c:v>
                </c:pt>
                <c:pt idx="73">
                  <c:v>1.4724409448818898E-5</c:v>
                </c:pt>
                <c:pt idx="74">
                  <c:v>1.5433070866141734E-5</c:v>
                </c:pt>
                <c:pt idx="75">
                  <c:v>1.6220472440944883E-5</c:v>
                </c:pt>
                <c:pt idx="76">
                  <c:v>1.7047244094488191E-5</c:v>
                </c:pt>
                <c:pt idx="77">
                  <c:v>1.7874015748031499E-5</c:v>
                </c:pt>
                <c:pt idx="78">
                  <c:v>1.8779527559055121E-5</c:v>
                </c:pt>
                <c:pt idx="79">
                  <c:v>1.9685039370078743E-5</c:v>
                </c:pt>
                <c:pt idx="80">
                  <c:v>2.062992125984252E-5</c:v>
                </c:pt>
                <c:pt idx="81">
                  <c:v>2.1614173228346455E-5</c:v>
                </c:pt>
                <c:pt idx="82">
                  <c:v>2.2637795275590553E-5</c:v>
                </c:pt>
                <c:pt idx="83">
                  <c:v>2.3661417322834651E-5</c:v>
                </c:pt>
                <c:pt idx="84">
                  <c:v>2.4645669291338587E-5</c:v>
                </c:pt>
                <c:pt idx="85">
                  <c:v>2.5669291338582675E-5</c:v>
                </c:pt>
                <c:pt idx="86">
                  <c:v>2.6614173228346455E-5</c:v>
                </c:pt>
                <c:pt idx="87">
                  <c:v>2.7480314960629925E-5</c:v>
                </c:pt>
                <c:pt idx="88">
                  <c:v>2.8228346456692912E-5</c:v>
                </c:pt>
                <c:pt idx="89">
                  <c:v>2.8897637795275589E-5</c:v>
                </c:pt>
                <c:pt idx="90">
                  <c:v>2.9370078740157483E-5</c:v>
                </c:pt>
                <c:pt idx="91">
                  <c:v>2.9724409448818897E-5</c:v>
                </c:pt>
                <c:pt idx="92">
                  <c:v>2.9881889763779525E-5</c:v>
                </c:pt>
                <c:pt idx="93">
                  <c:v>2.9842519685039373E-5</c:v>
                </c:pt>
                <c:pt idx="94">
                  <c:v>2.9685039370078742E-5</c:v>
                </c:pt>
                <c:pt idx="95">
                  <c:v>2.9370078740157483E-5</c:v>
                </c:pt>
                <c:pt idx="96">
                  <c:v>2.8937007874015748E-5</c:v>
                </c:pt>
                <c:pt idx="97">
                  <c:v>2.8385826771653544E-5</c:v>
                </c:pt>
                <c:pt idx="98">
                  <c:v>2.7795275590551184E-5</c:v>
                </c:pt>
                <c:pt idx="99">
                  <c:v>2.7125984251968504E-5</c:v>
                </c:pt>
                <c:pt idx="100">
                  <c:v>2.6456692913385827E-5</c:v>
                </c:pt>
                <c:pt idx="101">
                  <c:v>2.578740157480315E-5</c:v>
                </c:pt>
                <c:pt idx="102">
                  <c:v>2.5118110236220474E-5</c:v>
                </c:pt>
                <c:pt idx="103">
                  <c:v>2.4488188976377956E-5</c:v>
                </c:pt>
                <c:pt idx="104">
                  <c:v>2.3818897637795279E-5</c:v>
                </c:pt>
                <c:pt idx="105">
                  <c:v>2.3228346456692913E-5</c:v>
                </c:pt>
                <c:pt idx="106">
                  <c:v>2.2637795275590553E-5</c:v>
                </c:pt>
                <c:pt idx="107">
                  <c:v>2.2047244094488194E-5</c:v>
                </c:pt>
                <c:pt idx="108">
                  <c:v>2.1535433070866142E-5</c:v>
                </c:pt>
                <c:pt idx="109">
                  <c:v>2.1023622047244096E-5</c:v>
                </c:pt>
                <c:pt idx="110">
                  <c:v>2.0551181102362206E-5</c:v>
                </c:pt>
                <c:pt idx="111">
                  <c:v>2.0118110236220471E-5</c:v>
                </c:pt>
                <c:pt idx="112">
                  <c:v>1.9685039370078743E-5</c:v>
                </c:pt>
                <c:pt idx="113">
                  <c:v>1.9291338582677166E-5</c:v>
                </c:pt>
                <c:pt idx="114">
                  <c:v>1.889763779527559E-5</c:v>
                </c:pt>
                <c:pt idx="115">
                  <c:v>1.8543307086614176E-5</c:v>
                </c:pt>
                <c:pt idx="116">
                  <c:v>1.8188976377952755E-5</c:v>
                </c:pt>
                <c:pt idx="117">
                  <c:v>1.7874015748031499E-5</c:v>
                </c:pt>
                <c:pt idx="118">
                  <c:v>1.7559055118110236E-5</c:v>
                </c:pt>
                <c:pt idx="119">
                  <c:v>1.7283464566929136E-5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5B-4D0D-87FA-7554FA73245B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P3_UB!$A$7:$A$126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P3_UB!$H$7:$H$126</c:f>
              <c:numCache>
                <c:formatCode>0.00E+00</c:formatCode>
                <c:ptCount val="120"/>
                <c:pt idx="0">
                  <c:v>1.0354330708661419E-8</c:v>
                </c:pt>
                <c:pt idx="1">
                  <c:v>4.1338582677165363E-8</c:v>
                </c:pt>
                <c:pt idx="2">
                  <c:v>9.2913385826771668E-8</c:v>
                </c:pt>
                <c:pt idx="3">
                  <c:v>1.6535433070866145E-7</c:v>
                </c:pt>
                <c:pt idx="4">
                  <c:v>2.578740157480315E-7</c:v>
                </c:pt>
                <c:pt idx="5">
                  <c:v>3.7125984251968511E-7</c:v>
                </c:pt>
                <c:pt idx="6">
                  <c:v>5.0787401574803154E-7</c:v>
                </c:pt>
                <c:pt idx="7">
                  <c:v>6.6141732283464581E-7</c:v>
                </c:pt>
                <c:pt idx="8">
                  <c:v>8.4251968503937001E-7</c:v>
                </c:pt>
                <c:pt idx="9">
                  <c:v>1.0472440944881891E-6</c:v>
                </c:pt>
                <c:pt idx="10">
                  <c:v>1.2755905511811025E-6</c:v>
                </c:pt>
                <c:pt idx="11">
                  <c:v>1.5314960629921259E-6</c:v>
                </c:pt>
                <c:pt idx="12">
                  <c:v>1.8149606299212601E-6</c:v>
                </c:pt>
                <c:pt idx="13">
                  <c:v>2.1299212598425198E-6</c:v>
                </c:pt>
                <c:pt idx="14">
                  <c:v>2.4724409448818902E-6</c:v>
                </c:pt>
                <c:pt idx="15">
                  <c:v>2.8503937007874017E-6</c:v>
                </c:pt>
                <c:pt idx="16">
                  <c:v>3.2637795275590552E-6</c:v>
                </c:pt>
                <c:pt idx="17">
                  <c:v>3.7165354330708666E-6</c:v>
                </c:pt>
                <c:pt idx="18">
                  <c:v>4.2125984251968503E-6</c:v>
                </c:pt>
                <c:pt idx="19">
                  <c:v>4.7244094488188975E-6</c:v>
                </c:pt>
                <c:pt idx="20">
                  <c:v>5.3149606299212603E-6</c:v>
                </c:pt>
                <c:pt idx="21">
                  <c:v>5.9842519685039379E-6</c:v>
                </c:pt>
                <c:pt idx="22">
                  <c:v>6.6535433070866138E-6</c:v>
                </c:pt>
                <c:pt idx="23">
                  <c:v>7.4409448818897648E-6</c:v>
                </c:pt>
                <c:pt idx="24">
                  <c:v>8.3070866141732297E-6</c:v>
                </c:pt>
                <c:pt idx="25">
                  <c:v>9.2519685039370085E-6</c:v>
                </c:pt>
                <c:pt idx="26">
                  <c:v>1.0275590551181103E-5</c:v>
                </c:pt>
                <c:pt idx="27">
                  <c:v>1.1456692913385827E-5</c:v>
                </c:pt>
                <c:pt idx="28">
                  <c:v>1.2795275590551182E-5</c:v>
                </c:pt>
                <c:pt idx="29">
                  <c:v>1.4251968503937008E-5</c:v>
                </c:pt>
                <c:pt idx="30">
                  <c:v>1.5944881889763779E-5</c:v>
                </c:pt>
                <c:pt idx="31">
                  <c:v>1.7874015748031499E-5</c:v>
                </c:pt>
                <c:pt idx="32">
                  <c:v>2.0118110236220471E-5</c:v>
                </c:pt>
                <c:pt idx="33">
                  <c:v>2.2677165354330712E-5</c:v>
                </c:pt>
                <c:pt idx="34">
                  <c:v>2.5669291338582675E-5</c:v>
                </c:pt>
                <c:pt idx="35">
                  <c:v>2.9094488188976382E-5</c:v>
                </c:pt>
                <c:pt idx="36">
                  <c:v>3.3110236220472443E-5</c:v>
                </c:pt>
                <c:pt idx="37">
                  <c:v>3.7637795275590552E-5</c:v>
                </c:pt>
                <c:pt idx="38">
                  <c:v>4.2519685039370082E-5</c:v>
                </c:pt>
                <c:pt idx="39">
                  <c:v>4.8031496062992124E-5</c:v>
                </c:pt>
                <c:pt idx="40">
                  <c:v>5.3543307086614173E-5</c:v>
                </c:pt>
                <c:pt idx="41">
                  <c:v>5.8661417322834648E-5</c:v>
                </c:pt>
                <c:pt idx="42">
                  <c:v>6.2598425196850398E-5</c:v>
                </c:pt>
                <c:pt idx="43">
                  <c:v>6.4960629921259849E-5</c:v>
                </c:pt>
                <c:pt idx="44">
                  <c:v>6.6141732283464568E-5</c:v>
                </c:pt>
                <c:pt idx="45">
                  <c:v>6.5748031496062995E-5</c:v>
                </c:pt>
                <c:pt idx="46">
                  <c:v>6.4566929133858276E-5</c:v>
                </c:pt>
                <c:pt idx="47">
                  <c:v>6.2992125984251971E-5</c:v>
                </c:pt>
                <c:pt idx="48">
                  <c:v>6.0629921259842526E-5</c:v>
                </c:pt>
                <c:pt idx="49">
                  <c:v>5.8267716535433075E-5</c:v>
                </c:pt>
                <c:pt idx="50">
                  <c:v>5.5905511811023624E-5</c:v>
                </c:pt>
                <c:pt idx="51">
                  <c:v>5.3149606299212606E-5</c:v>
                </c:pt>
                <c:pt idx="52">
                  <c:v>5.0393700787401582E-5</c:v>
                </c:pt>
                <c:pt idx="53">
                  <c:v>4.7637795275590558E-5</c:v>
                </c:pt>
                <c:pt idx="54">
                  <c:v>4.4488188976377954E-5</c:v>
                </c:pt>
                <c:pt idx="55">
                  <c:v>4.173228346456693E-5</c:v>
                </c:pt>
                <c:pt idx="56">
                  <c:v>3.8976377952755905E-5</c:v>
                </c:pt>
                <c:pt idx="57">
                  <c:v>3.625984251968504E-5</c:v>
                </c:pt>
                <c:pt idx="58">
                  <c:v>3.3582677165354333E-5</c:v>
                </c:pt>
                <c:pt idx="59">
                  <c:v>3.0984251968503943E-5</c:v>
                </c:pt>
                <c:pt idx="60">
                  <c:v>2.8464566929133861E-5</c:v>
                </c:pt>
                <c:pt idx="61">
                  <c:v>2.6023622047244096E-5</c:v>
                </c:pt>
                <c:pt idx="62">
                  <c:v>2.3700787401574803E-5</c:v>
                </c:pt>
                <c:pt idx="63">
                  <c:v>2.1535433070866142E-5</c:v>
                </c:pt>
                <c:pt idx="64">
                  <c:v>1.9488188976377953E-5</c:v>
                </c:pt>
                <c:pt idx="65">
                  <c:v>1.7677165354330709E-5</c:v>
                </c:pt>
                <c:pt idx="66">
                  <c:v>1.6220472440944883E-5</c:v>
                </c:pt>
                <c:pt idx="67">
                  <c:v>1.5196850393700789E-5</c:v>
                </c:pt>
                <c:pt idx="68">
                  <c:v>1.4724409448818898E-5</c:v>
                </c:pt>
                <c:pt idx="69">
                  <c:v>1.488188976377953E-5</c:v>
                </c:pt>
                <c:pt idx="70">
                  <c:v>1.5590551181102362E-5</c:v>
                </c:pt>
                <c:pt idx="71">
                  <c:v>1.6811023622047246E-5</c:v>
                </c:pt>
                <c:pt idx="72">
                  <c:v>1.8425196850393703E-5</c:v>
                </c:pt>
                <c:pt idx="73">
                  <c:v>2.0314960629921261E-5</c:v>
                </c:pt>
                <c:pt idx="74">
                  <c:v>2.2440944881889767E-5</c:v>
                </c:pt>
                <c:pt idx="75">
                  <c:v>2.4685039370078739E-5</c:v>
                </c:pt>
                <c:pt idx="76">
                  <c:v>2.7007874015748031E-5</c:v>
                </c:pt>
                <c:pt idx="77">
                  <c:v>2.9370078740157483E-5</c:v>
                </c:pt>
                <c:pt idx="78">
                  <c:v>3.1811023622047248E-5</c:v>
                </c:pt>
                <c:pt idx="79">
                  <c:v>3.4291338582677168E-5</c:v>
                </c:pt>
                <c:pt idx="80">
                  <c:v>3.6771653543307089E-5</c:v>
                </c:pt>
                <c:pt idx="81">
                  <c:v>3.9133858267716533E-5</c:v>
                </c:pt>
                <c:pt idx="82">
                  <c:v>4.1338582677165357E-5</c:v>
                </c:pt>
                <c:pt idx="83">
                  <c:v>4.3700787401574801E-5</c:v>
                </c:pt>
                <c:pt idx="84">
                  <c:v>4.566929133858268E-5</c:v>
                </c:pt>
                <c:pt idx="85">
                  <c:v>4.7637795275590558E-5</c:v>
                </c:pt>
                <c:pt idx="86">
                  <c:v>4.9212598425196856E-5</c:v>
                </c:pt>
                <c:pt idx="87">
                  <c:v>5.0787401574803148E-5</c:v>
                </c:pt>
                <c:pt idx="88">
                  <c:v>5.2362204724409454E-5</c:v>
                </c:pt>
                <c:pt idx="89">
                  <c:v>5.3543307086614173E-5</c:v>
                </c:pt>
                <c:pt idx="90">
                  <c:v>5.4330708661417325E-5</c:v>
                </c:pt>
                <c:pt idx="91">
                  <c:v>5.5511811023622051E-5</c:v>
                </c:pt>
                <c:pt idx="92">
                  <c:v>5.6299212598425204E-5</c:v>
                </c:pt>
                <c:pt idx="93">
                  <c:v>5.669291338582677E-5</c:v>
                </c:pt>
                <c:pt idx="94">
                  <c:v>5.7480314960629922E-5</c:v>
                </c:pt>
                <c:pt idx="95">
                  <c:v>5.7874015748031495E-5</c:v>
                </c:pt>
                <c:pt idx="96">
                  <c:v>5.8267716535433075E-5</c:v>
                </c:pt>
                <c:pt idx="97">
                  <c:v>5.8267716535433075E-5</c:v>
                </c:pt>
                <c:pt idx="98">
                  <c:v>5.8267716535433075E-5</c:v>
                </c:pt>
                <c:pt idx="99">
                  <c:v>5.8661417322834648E-5</c:v>
                </c:pt>
                <c:pt idx="100">
                  <c:v>5.8661417322834648E-5</c:v>
                </c:pt>
                <c:pt idx="101">
                  <c:v>5.8661417322834648E-5</c:v>
                </c:pt>
                <c:pt idx="102">
                  <c:v>5.8661417322834648E-5</c:v>
                </c:pt>
                <c:pt idx="103">
                  <c:v>5.8267716535433075E-5</c:v>
                </c:pt>
                <c:pt idx="104">
                  <c:v>5.8267716535433075E-5</c:v>
                </c:pt>
                <c:pt idx="105">
                  <c:v>5.8267716535433075E-5</c:v>
                </c:pt>
                <c:pt idx="106">
                  <c:v>5.7874015748031495E-5</c:v>
                </c:pt>
                <c:pt idx="107">
                  <c:v>5.7874015748031495E-5</c:v>
                </c:pt>
                <c:pt idx="108">
                  <c:v>5.7480314960629922E-5</c:v>
                </c:pt>
                <c:pt idx="109">
                  <c:v>5.7480314960629922E-5</c:v>
                </c:pt>
                <c:pt idx="110">
                  <c:v>5.7086614173228356E-5</c:v>
                </c:pt>
                <c:pt idx="111">
                  <c:v>5.7086614173228356E-5</c:v>
                </c:pt>
                <c:pt idx="112">
                  <c:v>5.669291338582677E-5</c:v>
                </c:pt>
                <c:pt idx="113">
                  <c:v>5.6299212598425204E-5</c:v>
                </c:pt>
                <c:pt idx="114">
                  <c:v>5.6299212598425204E-5</c:v>
                </c:pt>
                <c:pt idx="115">
                  <c:v>5.5905511811023624E-5</c:v>
                </c:pt>
                <c:pt idx="116">
                  <c:v>5.5511811023622051E-5</c:v>
                </c:pt>
                <c:pt idx="117">
                  <c:v>5.5511811023622051E-5</c:v>
                </c:pt>
                <c:pt idx="118">
                  <c:v>5.5118110236220478E-5</c:v>
                </c:pt>
                <c:pt idx="119">
                  <c:v>5.4724409448818898E-5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5B-4D0D-87FA-7554FA732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3 - SW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43F-43B3-8F84-B8807ADC7967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3F-43B3-8F84-B8807ADC7967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3F-43B3-8F84-B8807ADC7967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3F-43B3-8F84-B8807ADC7967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43F-43B3-8F84-B8807ADC7967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43F-43B3-8F84-B8807ADC7967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43F-43B3-8F84-B8807ADC7967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43F-43B3-8F84-B8807ADC7967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43F-43B3-8F84-B8807ADC7967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P3_UB!$A$7:$A$126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P3_UB!$F$7:$F$126</c:f>
              <c:numCache>
                <c:formatCode>0.00E+00</c:formatCode>
                <c:ptCount val="120"/>
                <c:pt idx="0">
                  <c:v>1.7755905511811026E-8</c:v>
                </c:pt>
                <c:pt idx="1">
                  <c:v>7.1259842519685048E-8</c:v>
                </c:pt>
                <c:pt idx="2">
                  <c:v>1.6062992125984253E-7</c:v>
                </c:pt>
                <c:pt idx="3">
                  <c:v>2.8661417322834647E-7</c:v>
                </c:pt>
                <c:pt idx="4">
                  <c:v>4.5275590551181104E-7</c:v>
                </c:pt>
                <c:pt idx="5">
                  <c:v>6.5354330708661425E-7</c:v>
                </c:pt>
                <c:pt idx="6">
                  <c:v>8.9763779527559051E-7</c:v>
                </c:pt>
                <c:pt idx="7">
                  <c:v>1.1850393700787401E-6</c:v>
                </c:pt>
                <c:pt idx="8">
                  <c:v>1.5157480314960632E-6</c:v>
                </c:pt>
                <c:pt idx="9">
                  <c:v>1.8937007874015751E-6</c:v>
                </c:pt>
                <c:pt idx="10">
                  <c:v>2.3228346456692914E-6</c:v>
                </c:pt>
                <c:pt idx="11">
                  <c:v>2.8070866141732285E-6</c:v>
                </c:pt>
                <c:pt idx="12">
                  <c:v>3.3464566929133858E-6</c:v>
                </c:pt>
                <c:pt idx="13">
                  <c:v>3.9370078740157482E-6</c:v>
                </c:pt>
                <c:pt idx="14">
                  <c:v>4.6062992125984258E-6</c:v>
                </c:pt>
                <c:pt idx="15">
                  <c:v>5.3543307086614173E-6</c:v>
                </c:pt>
                <c:pt idx="16">
                  <c:v>6.1811023622047244E-6</c:v>
                </c:pt>
                <c:pt idx="17">
                  <c:v>7.0866141732283462E-6</c:v>
                </c:pt>
                <c:pt idx="18">
                  <c:v>8.0708661417322845E-6</c:v>
                </c:pt>
                <c:pt idx="19">
                  <c:v>9.1732283464566929E-6</c:v>
                </c:pt>
                <c:pt idx="20">
                  <c:v>1.0393700787401574E-5</c:v>
                </c:pt>
                <c:pt idx="21">
                  <c:v>1.1732283464566929E-5</c:v>
                </c:pt>
                <c:pt idx="22">
                  <c:v>1.3228346456692914E-5</c:v>
                </c:pt>
                <c:pt idx="23">
                  <c:v>1.4842519685039371E-5</c:v>
                </c:pt>
                <c:pt idx="24">
                  <c:v>1.6692913385826773E-5</c:v>
                </c:pt>
                <c:pt idx="25">
                  <c:v>1.8700787401574803E-5</c:v>
                </c:pt>
                <c:pt idx="26">
                  <c:v>2.0984251968503941E-5</c:v>
                </c:pt>
                <c:pt idx="27">
                  <c:v>2.3543307086614175E-5</c:v>
                </c:pt>
                <c:pt idx="28">
                  <c:v>2.6417322834645672E-5</c:v>
                </c:pt>
                <c:pt idx="29">
                  <c:v>2.9645669291338583E-5</c:v>
                </c:pt>
                <c:pt idx="30">
                  <c:v>3.3307086614173236E-5</c:v>
                </c:pt>
                <c:pt idx="31">
                  <c:v>3.7480314960629924E-5</c:v>
                </c:pt>
                <c:pt idx="32">
                  <c:v>4.2125984251968503E-5</c:v>
                </c:pt>
                <c:pt idx="33">
                  <c:v>4.7637795275590558E-5</c:v>
                </c:pt>
                <c:pt idx="34">
                  <c:v>5.3937007874015745E-5</c:v>
                </c:pt>
                <c:pt idx="35">
                  <c:v>6.0629921259842526E-5</c:v>
                </c:pt>
                <c:pt idx="36">
                  <c:v>6.8503937007874019E-5</c:v>
                </c:pt>
                <c:pt idx="37">
                  <c:v>7.7165354330708665E-5</c:v>
                </c:pt>
                <c:pt idx="38">
                  <c:v>8.661417322834647E-5</c:v>
                </c:pt>
                <c:pt idx="39">
                  <c:v>9.6062992125984248E-5</c:v>
                </c:pt>
                <c:pt idx="40">
                  <c:v>1.0511811023622047E-4</c:v>
                </c:pt>
                <c:pt idx="41">
                  <c:v>1.1259842519685041E-4</c:v>
                </c:pt>
                <c:pt idx="42">
                  <c:v>1.173228346456693E-4</c:v>
                </c:pt>
                <c:pt idx="43">
                  <c:v>1.1929133858267716E-4</c:v>
                </c:pt>
                <c:pt idx="44">
                  <c:v>1.1850393700787403E-4</c:v>
                </c:pt>
                <c:pt idx="45">
                  <c:v>1.1574803149606299E-4</c:v>
                </c:pt>
                <c:pt idx="46">
                  <c:v>1.110236220472441E-4</c:v>
                </c:pt>
                <c:pt idx="47">
                  <c:v>1.0590551181102363E-4</c:v>
                </c:pt>
                <c:pt idx="48">
                  <c:v>1.0078740157480316E-4</c:v>
                </c:pt>
                <c:pt idx="49">
                  <c:v>9.5275590551181116E-5</c:v>
                </c:pt>
                <c:pt idx="50">
                  <c:v>9.0551181102362213E-5</c:v>
                </c:pt>
                <c:pt idx="51">
                  <c:v>8.5826771653543311E-5</c:v>
                </c:pt>
                <c:pt idx="52">
                  <c:v>8.1496062992125995E-5</c:v>
                </c:pt>
                <c:pt idx="53">
                  <c:v>7.7559055118110252E-5</c:v>
                </c:pt>
                <c:pt idx="54">
                  <c:v>7.4015748031496068E-5</c:v>
                </c:pt>
                <c:pt idx="55">
                  <c:v>7.0866141732283471E-5</c:v>
                </c:pt>
                <c:pt idx="56">
                  <c:v>6.7716535433070873E-5</c:v>
                </c:pt>
                <c:pt idx="57">
                  <c:v>6.4960629921259849E-5</c:v>
                </c:pt>
                <c:pt idx="58">
                  <c:v>6.2598425196850398E-5</c:v>
                </c:pt>
                <c:pt idx="59">
                  <c:v>6.0236220472440947E-5</c:v>
                </c:pt>
                <c:pt idx="60">
                  <c:v>5.8267716535433075E-5</c:v>
                </c:pt>
                <c:pt idx="61">
                  <c:v>5.6299212598425204E-5</c:v>
                </c:pt>
                <c:pt idx="62">
                  <c:v>5.4330708661417325E-5</c:v>
                </c:pt>
                <c:pt idx="63">
                  <c:v>5.2755905511811027E-5</c:v>
                </c:pt>
                <c:pt idx="64">
                  <c:v>5.1181102362204728E-5</c:v>
                </c:pt>
                <c:pt idx="65">
                  <c:v>4.9606299212598429E-5</c:v>
                </c:pt>
                <c:pt idx="66">
                  <c:v>4.8031496062992124E-5</c:v>
                </c:pt>
                <c:pt idx="67">
                  <c:v>4.6456692913385825E-5</c:v>
                </c:pt>
                <c:pt idx="68">
                  <c:v>4.5275590551181107E-5</c:v>
                </c:pt>
                <c:pt idx="69">
                  <c:v>4.4094488188976388E-5</c:v>
                </c:pt>
                <c:pt idx="70">
                  <c:v>4.2913385826771655E-5</c:v>
                </c:pt>
                <c:pt idx="71">
                  <c:v>4.173228346456693E-5</c:v>
                </c:pt>
                <c:pt idx="72">
                  <c:v>4.0551181102362211E-5</c:v>
                </c:pt>
                <c:pt idx="73">
                  <c:v>3.9763779527559058E-5</c:v>
                </c:pt>
                <c:pt idx="74">
                  <c:v>3.9015748031496064E-5</c:v>
                </c:pt>
                <c:pt idx="75">
                  <c:v>3.8425196850393705E-5</c:v>
                </c:pt>
                <c:pt idx="76">
                  <c:v>3.8031496062992125E-5</c:v>
                </c:pt>
                <c:pt idx="77">
                  <c:v>3.7874015748031504E-5</c:v>
                </c:pt>
                <c:pt idx="78">
                  <c:v>3.8070866141732284E-5</c:v>
                </c:pt>
                <c:pt idx="79">
                  <c:v>3.8582677165354333E-5</c:v>
                </c:pt>
                <c:pt idx="80">
                  <c:v>3.9370078740157485E-5</c:v>
                </c:pt>
                <c:pt idx="81">
                  <c:v>4.0944881889763777E-5</c:v>
                </c:pt>
                <c:pt idx="82">
                  <c:v>4.2913385826771655E-5</c:v>
                </c:pt>
                <c:pt idx="83">
                  <c:v>4.4881889763779534E-5</c:v>
                </c:pt>
                <c:pt idx="84">
                  <c:v>4.7637795275590558E-5</c:v>
                </c:pt>
                <c:pt idx="85">
                  <c:v>5.0787401574803148E-5</c:v>
                </c:pt>
                <c:pt idx="86">
                  <c:v>5.4330708661417325E-5</c:v>
                </c:pt>
                <c:pt idx="87">
                  <c:v>5.7874015748031495E-5</c:v>
                </c:pt>
                <c:pt idx="88">
                  <c:v>6.1811023622047252E-5</c:v>
                </c:pt>
                <c:pt idx="89">
                  <c:v>6.5354330708661422E-5</c:v>
                </c:pt>
                <c:pt idx="90">
                  <c:v>6.8897637795275592E-5</c:v>
                </c:pt>
                <c:pt idx="91">
                  <c:v>7.2440944881889776E-5</c:v>
                </c:pt>
                <c:pt idx="92">
                  <c:v>7.5196850393700787E-5</c:v>
                </c:pt>
                <c:pt idx="93">
                  <c:v>7.7559055118110252E-5</c:v>
                </c:pt>
                <c:pt idx="94">
                  <c:v>7.9527559055118116E-5</c:v>
                </c:pt>
                <c:pt idx="95">
                  <c:v>8.1102362204724422E-5</c:v>
                </c:pt>
                <c:pt idx="96">
                  <c:v>8.2283464566929127E-5</c:v>
                </c:pt>
                <c:pt idx="97">
                  <c:v>8.30708661417323E-5</c:v>
                </c:pt>
                <c:pt idx="98">
                  <c:v>8.30708661417323E-5</c:v>
                </c:pt>
                <c:pt idx="99">
                  <c:v>8.30708661417323E-5</c:v>
                </c:pt>
                <c:pt idx="100">
                  <c:v>8.30708661417323E-5</c:v>
                </c:pt>
                <c:pt idx="101">
                  <c:v>8.2677165354330713E-5</c:v>
                </c:pt>
                <c:pt idx="102">
                  <c:v>8.1889763779527554E-5</c:v>
                </c:pt>
                <c:pt idx="103">
                  <c:v>8.1102362204724422E-5</c:v>
                </c:pt>
                <c:pt idx="104">
                  <c:v>8.0314960629921276E-5</c:v>
                </c:pt>
                <c:pt idx="105">
                  <c:v>7.9527559055118116E-5</c:v>
                </c:pt>
                <c:pt idx="106">
                  <c:v>7.874015748031497E-5</c:v>
                </c:pt>
                <c:pt idx="107">
                  <c:v>7.7952755905511811E-5</c:v>
                </c:pt>
                <c:pt idx="108">
                  <c:v>7.7165354330708665E-5</c:v>
                </c:pt>
                <c:pt idx="109">
                  <c:v>7.6377952755905519E-5</c:v>
                </c:pt>
                <c:pt idx="110">
                  <c:v>7.559055118110236E-5</c:v>
                </c:pt>
                <c:pt idx="111">
                  <c:v>7.4803149606299214E-5</c:v>
                </c:pt>
                <c:pt idx="112">
                  <c:v>7.4015748031496068E-5</c:v>
                </c:pt>
                <c:pt idx="113">
                  <c:v>7.3228346456692908E-5</c:v>
                </c:pt>
                <c:pt idx="114">
                  <c:v>7.2440944881889776E-5</c:v>
                </c:pt>
                <c:pt idx="115">
                  <c:v>7.1653543307086617E-5</c:v>
                </c:pt>
                <c:pt idx="116">
                  <c:v>7.1259842519685044E-5</c:v>
                </c:pt>
                <c:pt idx="117">
                  <c:v>7.0472440944881884E-5</c:v>
                </c:pt>
                <c:pt idx="118">
                  <c:v>6.9685039370078752E-5</c:v>
                </c:pt>
                <c:pt idx="119">
                  <c:v>6.9291338582677165E-5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43F-43B3-8F84-B8807ADC7967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P3_UB!$A$7:$A$126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P3_UB!$G$7:$G$126</c:f>
              <c:numCache>
                <c:formatCode>0.00E+00</c:formatCode>
                <c:ptCount val="120"/>
                <c:pt idx="0">
                  <c:v>1.3385826771653545E-9</c:v>
                </c:pt>
                <c:pt idx="1">
                  <c:v>5.354330708661418E-9</c:v>
                </c:pt>
                <c:pt idx="2">
                  <c:v>1.2086614173228348E-8</c:v>
                </c:pt>
                <c:pt idx="3">
                  <c:v>2.1614173228346457E-8</c:v>
                </c:pt>
                <c:pt idx="4">
                  <c:v>3.3976377952755911E-8</c:v>
                </c:pt>
                <c:pt idx="5">
                  <c:v>4.9212598425196858E-8</c:v>
                </c:pt>
                <c:pt idx="6">
                  <c:v>6.7716535433070877E-8</c:v>
                </c:pt>
                <c:pt idx="7">
                  <c:v>8.8976377952755914E-8</c:v>
                </c:pt>
                <c:pt idx="8">
                  <c:v>1.1377952755905513E-7</c:v>
                </c:pt>
                <c:pt idx="9">
                  <c:v>1.425196850393701E-7</c:v>
                </c:pt>
                <c:pt idx="10">
                  <c:v>1.7440944881889766E-7</c:v>
                </c:pt>
                <c:pt idx="11">
                  <c:v>2.106299212598425E-7</c:v>
                </c:pt>
                <c:pt idx="12">
                  <c:v>2.5078740157480316E-7</c:v>
                </c:pt>
                <c:pt idx="13">
                  <c:v>2.9527559055118109E-7</c:v>
                </c:pt>
                <c:pt idx="14">
                  <c:v>3.4448818897637803E-7</c:v>
                </c:pt>
                <c:pt idx="15">
                  <c:v>3.9763779527559059E-7</c:v>
                </c:pt>
                <c:pt idx="16">
                  <c:v>4.6062992125984254E-7</c:v>
                </c:pt>
                <c:pt idx="17">
                  <c:v>5.2362204724409455E-7</c:v>
                </c:pt>
                <c:pt idx="18">
                  <c:v>5.9842519685039375E-7</c:v>
                </c:pt>
                <c:pt idx="19">
                  <c:v>6.7716535433070861E-7</c:v>
                </c:pt>
                <c:pt idx="20">
                  <c:v>7.6377952755905504E-7</c:v>
                </c:pt>
                <c:pt idx="21">
                  <c:v>8.6220472440944891E-7</c:v>
                </c:pt>
                <c:pt idx="22">
                  <c:v>9.6456692913385835E-7</c:v>
                </c:pt>
                <c:pt idx="23">
                  <c:v>1.0787401574803151E-6</c:v>
                </c:pt>
                <c:pt idx="24">
                  <c:v>1.2047244094488193E-6</c:v>
                </c:pt>
                <c:pt idx="25">
                  <c:v>1.3425196850393703E-6</c:v>
                </c:pt>
                <c:pt idx="26">
                  <c:v>1.4921259842519685E-6</c:v>
                </c:pt>
                <c:pt idx="27">
                  <c:v>1.65748031496063E-6</c:v>
                </c:pt>
                <c:pt idx="28">
                  <c:v>1.8385826771653546E-6</c:v>
                </c:pt>
                <c:pt idx="29">
                  <c:v>2.0433070866141735E-6</c:v>
                </c:pt>
                <c:pt idx="30">
                  <c:v>2.2637795275590555E-6</c:v>
                </c:pt>
                <c:pt idx="31">
                  <c:v>2.5078740157480313E-6</c:v>
                </c:pt>
                <c:pt idx="32">
                  <c:v>2.7834645669291343E-6</c:v>
                </c:pt>
                <c:pt idx="33">
                  <c:v>3.082677165354331E-6</c:v>
                </c:pt>
                <c:pt idx="34">
                  <c:v>3.4173228346456694E-6</c:v>
                </c:pt>
                <c:pt idx="35">
                  <c:v>3.7874015748031502E-6</c:v>
                </c:pt>
                <c:pt idx="36">
                  <c:v>4.2125984251968503E-6</c:v>
                </c:pt>
                <c:pt idx="37">
                  <c:v>4.6456692913385827E-6</c:v>
                </c:pt>
                <c:pt idx="38">
                  <c:v>5.1181102362204721E-6</c:v>
                </c:pt>
                <c:pt idx="39">
                  <c:v>5.6299212598425202E-6</c:v>
                </c:pt>
                <c:pt idx="40">
                  <c:v>6.1811023622047244E-6</c:v>
                </c:pt>
                <c:pt idx="41">
                  <c:v>6.7322834645669302E-6</c:v>
                </c:pt>
                <c:pt idx="42">
                  <c:v>7.2440944881889766E-6</c:v>
                </c:pt>
                <c:pt idx="43">
                  <c:v>7.7165354330708668E-6</c:v>
                </c:pt>
                <c:pt idx="44">
                  <c:v>8.1496062992125984E-6</c:v>
                </c:pt>
                <c:pt idx="45">
                  <c:v>8.4645669291338592E-6</c:v>
                </c:pt>
                <c:pt idx="46">
                  <c:v>8.7007874015748043E-6</c:v>
                </c:pt>
                <c:pt idx="47">
                  <c:v>8.8188976377952752E-6</c:v>
                </c:pt>
                <c:pt idx="48">
                  <c:v>8.8188976377952752E-6</c:v>
                </c:pt>
                <c:pt idx="49">
                  <c:v>8.7795275590551182E-6</c:v>
                </c:pt>
                <c:pt idx="50">
                  <c:v>8.7007874015748043E-6</c:v>
                </c:pt>
                <c:pt idx="51">
                  <c:v>8.6220472440944887E-6</c:v>
                </c:pt>
                <c:pt idx="52">
                  <c:v>8.5039370078740161E-6</c:v>
                </c:pt>
                <c:pt idx="53">
                  <c:v>8.3858267716535436E-6</c:v>
                </c:pt>
                <c:pt idx="54">
                  <c:v>8.3070866141732297E-6</c:v>
                </c:pt>
                <c:pt idx="55">
                  <c:v>8.267716535433071E-6</c:v>
                </c:pt>
                <c:pt idx="56">
                  <c:v>8.267716535433071E-6</c:v>
                </c:pt>
                <c:pt idx="57">
                  <c:v>8.267716535433071E-6</c:v>
                </c:pt>
                <c:pt idx="58">
                  <c:v>8.3464566929133866E-6</c:v>
                </c:pt>
                <c:pt idx="59">
                  <c:v>8.4645669291338592E-6</c:v>
                </c:pt>
                <c:pt idx="60">
                  <c:v>8.6614173228346457E-6</c:v>
                </c:pt>
                <c:pt idx="61">
                  <c:v>8.8582677165354338E-6</c:v>
                </c:pt>
                <c:pt idx="62">
                  <c:v>9.0944881889763773E-6</c:v>
                </c:pt>
                <c:pt idx="63">
                  <c:v>9.409448818897638E-6</c:v>
                </c:pt>
                <c:pt idx="64">
                  <c:v>9.7637795275590557E-6</c:v>
                </c:pt>
                <c:pt idx="65">
                  <c:v>1.015748031496063E-5</c:v>
                </c:pt>
                <c:pt idx="66">
                  <c:v>1.0590551181102362E-5</c:v>
                </c:pt>
                <c:pt idx="67">
                  <c:v>1.1023622047244097E-5</c:v>
                </c:pt>
                <c:pt idx="68">
                  <c:v>1.1535433070866141E-5</c:v>
                </c:pt>
                <c:pt idx="69">
                  <c:v>1.2086614173228347E-5</c:v>
                </c:pt>
                <c:pt idx="70">
                  <c:v>1.2716535433070868E-5</c:v>
                </c:pt>
                <c:pt idx="71">
                  <c:v>1.3346456692913386E-5</c:v>
                </c:pt>
                <c:pt idx="72">
                  <c:v>1.4015748031496065E-5</c:v>
                </c:pt>
                <c:pt idx="73">
                  <c:v>1.4724409448818898E-5</c:v>
                </c:pt>
                <c:pt idx="74">
                  <c:v>1.5433070866141734E-5</c:v>
                </c:pt>
                <c:pt idx="75">
                  <c:v>1.6220472440944883E-5</c:v>
                </c:pt>
                <c:pt idx="76">
                  <c:v>1.7047244094488191E-5</c:v>
                </c:pt>
                <c:pt idx="77">
                  <c:v>1.7874015748031499E-5</c:v>
                </c:pt>
                <c:pt idx="78">
                  <c:v>1.8779527559055121E-5</c:v>
                </c:pt>
                <c:pt idx="79">
                  <c:v>1.9685039370078743E-5</c:v>
                </c:pt>
                <c:pt idx="80">
                  <c:v>2.062992125984252E-5</c:v>
                </c:pt>
                <c:pt idx="81">
                  <c:v>2.1614173228346455E-5</c:v>
                </c:pt>
                <c:pt idx="82">
                  <c:v>2.2637795275590553E-5</c:v>
                </c:pt>
                <c:pt idx="83">
                  <c:v>2.3661417322834651E-5</c:v>
                </c:pt>
                <c:pt idx="84">
                  <c:v>2.4645669291338587E-5</c:v>
                </c:pt>
                <c:pt idx="85">
                  <c:v>2.5669291338582675E-5</c:v>
                </c:pt>
                <c:pt idx="86">
                  <c:v>2.6614173228346455E-5</c:v>
                </c:pt>
                <c:pt idx="87">
                  <c:v>2.7480314960629925E-5</c:v>
                </c:pt>
                <c:pt idx="88">
                  <c:v>2.8228346456692912E-5</c:v>
                </c:pt>
                <c:pt idx="89">
                  <c:v>2.8897637795275589E-5</c:v>
                </c:pt>
                <c:pt idx="90">
                  <c:v>2.9370078740157483E-5</c:v>
                </c:pt>
                <c:pt idx="91">
                  <c:v>2.9724409448818897E-5</c:v>
                </c:pt>
                <c:pt idx="92">
                  <c:v>2.9881889763779525E-5</c:v>
                </c:pt>
                <c:pt idx="93">
                  <c:v>2.9842519685039373E-5</c:v>
                </c:pt>
                <c:pt idx="94">
                  <c:v>2.9685039370078742E-5</c:v>
                </c:pt>
                <c:pt idx="95">
                  <c:v>2.9370078740157483E-5</c:v>
                </c:pt>
                <c:pt idx="96">
                  <c:v>2.8937007874015748E-5</c:v>
                </c:pt>
                <c:pt idx="97">
                  <c:v>2.8385826771653544E-5</c:v>
                </c:pt>
                <c:pt idx="98">
                  <c:v>2.7795275590551184E-5</c:v>
                </c:pt>
                <c:pt idx="99">
                  <c:v>2.7125984251968504E-5</c:v>
                </c:pt>
                <c:pt idx="100">
                  <c:v>2.6456692913385827E-5</c:v>
                </c:pt>
                <c:pt idx="101">
                  <c:v>2.578740157480315E-5</c:v>
                </c:pt>
                <c:pt idx="102">
                  <c:v>2.5118110236220474E-5</c:v>
                </c:pt>
                <c:pt idx="103">
                  <c:v>2.4488188976377956E-5</c:v>
                </c:pt>
                <c:pt idx="104">
                  <c:v>2.3818897637795279E-5</c:v>
                </c:pt>
                <c:pt idx="105">
                  <c:v>2.3228346456692913E-5</c:v>
                </c:pt>
                <c:pt idx="106">
                  <c:v>2.2637795275590553E-5</c:v>
                </c:pt>
                <c:pt idx="107">
                  <c:v>2.2047244094488194E-5</c:v>
                </c:pt>
                <c:pt idx="108">
                  <c:v>2.1535433070866142E-5</c:v>
                </c:pt>
                <c:pt idx="109">
                  <c:v>2.1023622047244096E-5</c:v>
                </c:pt>
                <c:pt idx="110">
                  <c:v>2.0551181102362206E-5</c:v>
                </c:pt>
                <c:pt idx="111">
                  <c:v>2.0118110236220471E-5</c:v>
                </c:pt>
                <c:pt idx="112">
                  <c:v>1.9685039370078743E-5</c:v>
                </c:pt>
                <c:pt idx="113">
                  <c:v>1.9291338582677166E-5</c:v>
                </c:pt>
                <c:pt idx="114">
                  <c:v>1.889763779527559E-5</c:v>
                </c:pt>
                <c:pt idx="115">
                  <c:v>1.8543307086614176E-5</c:v>
                </c:pt>
                <c:pt idx="116">
                  <c:v>1.8188976377952755E-5</c:v>
                </c:pt>
                <c:pt idx="117">
                  <c:v>1.7874015748031499E-5</c:v>
                </c:pt>
                <c:pt idx="118">
                  <c:v>1.7559055118110236E-5</c:v>
                </c:pt>
                <c:pt idx="119">
                  <c:v>1.7283464566929136E-5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43F-43B3-8F84-B8807ADC7967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P3_UB!$A$7:$A$126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P3_UB!$H$7:$H$126</c:f>
              <c:numCache>
                <c:formatCode>0.00E+00</c:formatCode>
                <c:ptCount val="120"/>
                <c:pt idx="0">
                  <c:v>1.0354330708661419E-8</c:v>
                </c:pt>
                <c:pt idx="1">
                  <c:v>4.1338582677165363E-8</c:v>
                </c:pt>
                <c:pt idx="2">
                  <c:v>9.2913385826771668E-8</c:v>
                </c:pt>
                <c:pt idx="3">
                  <c:v>1.6535433070866145E-7</c:v>
                </c:pt>
                <c:pt idx="4">
                  <c:v>2.578740157480315E-7</c:v>
                </c:pt>
                <c:pt idx="5">
                  <c:v>3.7125984251968511E-7</c:v>
                </c:pt>
                <c:pt idx="6">
                  <c:v>5.0787401574803154E-7</c:v>
                </c:pt>
                <c:pt idx="7">
                  <c:v>6.6141732283464581E-7</c:v>
                </c:pt>
                <c:pt idx="8">
                  <c:v>8.4251968503937001E-7</c:v>
                </c:pt>
                <c:pt idx="9">
                  <c:v>1.0472440944881891E-6</c:v>
                </c:pt>
                <c:pt idx="10">
                  <c:v>1.2755905511811025E-6</c:v>
                </c:pt>
                <c:pt idx="11">
                  <c:v>1.5314960629921259E-6</c:v>
                </c:pt>
                <c:pt idx="12">
                  <c:v>1.8149606299212601E-6</c:v>
                </c:pt>
                <c:pt idx="13">
                  <c:v>2.1299212598425198E-6</c:v>
                </c:pt>
                <c:pt idx="14">
                  <c:v>2.4724409448818902E-6</c:v>
                </c:pt>
                <c:pt idx="15">
                  <c:v>2.8503937007874017E-6</c:v>
                </c:pt>
                <c:pt idx="16">
                  <c:v>3.2637795275590552E-6</c:v>
                </c:pt>
                <c:pt idx="17">
                  <c:v>3.7165354330708666E-6</c:v>
                </c:pt>
                <c:pt idx="18">
                  <c:v>4.2125984251968503E-6</c:v>
                </c:pt>
                <c:pt idx="19">
                  <c:v>4.7244094488188975E-6</c:v>
                </c:pt>
                <c:pt idx="20">
                  <c:v>5.3149606299212603E-6</c:v>
                </c:pt>
                <c:pt idx="21">
                  <c:v>5.9842519685039379E-6</c:v>
                </c:pt>
                <c:pt idx="22">
                  <c:v>6.6535433070866138E-6</c:v>
                </c:pt>
                <c:pt idx="23">
                  <c:v>7.4409448818897648E-6</c:v>
                </c:pt>
                <c:pt idx="24">
                  <c:v>8.3070866141732297E-6</c:v>
                </c:pt>
                <c:pt idx="25">
                  <c:v>9.2519685039370085E-6</c:v>
                </c:pt>
                <c:pt idx="26">
                  <c:v>1.0275590551181103E-5</c:v>
                </c:pt>
                <c:pt idx="27">
                  <c:v>1.1456692913385827E-5</c:v>
                </c:pt>
                <c:pt idx="28">
                  <c:v>1.2795275590551182E-5</c:v>
                </c:pt>
                <c:pt idx="29">
                  <c:v>1.4251968503937008E-5</c:v>
                </c:pt>
                <c:pt idx="30">
                  <c:v>1.5944881889763779E-5</c:v>
                </c:pt>
                <c:pt idx="31">
                  <c:v>1.7874015748031499E-5</c:v>
                </c:pt>
                <c:pt idx="32">
                  <c:v>2.0118110236220471E-5</c:v>
                </c:pt>
                <c:pt idx="33">
                  <c:v>2.2677165354330712E-5</c:v>
                </c:pt>
                <c:pt idx="34">
                  <c:v>2.5669291338582675E-5</c:v>
                </c:pt>
                <c:pt idx="35">
                  <c:v>2.9094488188976382E-5</c:v>
                </c:pt>
                <c:pt idx="36">
                  <c:v>3.3110236220472443E-5</c:v>
                </c:pt>
                <c:pt idx="37">
                  <c:v>3.7637795275590552E-5</c:v>
                </c:pt>
                <c:pt idx="38">
                  <c:v>4.2519685039370082E-5</c:v>
                </c:pt>
                <c:pt idx="39">
                  <c:v>4.8031496062992124E-5</c:v>
                </c:pt>
                <c:pt idx="40">
                  <c:v>5.3543307086614173E-5</c:v>
                </c:pt>
                <c:pt idx="41">
                  <c:v>5.8661417322834648E-5</c:v>
                </c:pt>
                <c:pt idx="42">
                  <c:v>6.2598425196850398E-5</c:v>
                </c:pt>
                <c:pt idx="43">
                  <c:v>6.4960629921259849E-5</c:v>
                </c:pt>
                <c:pt idx="44">
                  <c:v>6.6141732283464568E-5</c:v>
                </c:pt>
                <c:pt idx="45">
                  <c:v>6.5748031496062995E-5</c:v>
                </c:pt>
                <c:pt idx="46">
                  <c:v>6.4566929133858276E-5</c:v>
                </c:pt>
                <c:pt idx="47">
                  <c:v>6.2992125984251971E-5</c:v>
                </c:pt>
                <c:pt idx="48">
                  <c:v>6.0629921259842526E-5</c:v>
                </c:pt>
                <c:pt idx="49">
                  <c:v>5.8267716535433075E-5</c:v>
                </c:pt>
                <c:pt idx="50">
                  <c:v>5.5905511811023624E-5</c:v>
                </c:pt>
                <c:pt idx="51">
                  <c:v>5.3149606299212606E-5</c:v>
                </c:pt>
                <c:pt idx="52">
                  <c:v>5.0393700787401582E-5</c:v>
                </c:pt>
                <c:pt idx="53">
                  <c:v>4.7637795275590558E-5</c:v>
                </c:pt>
                <c:pt idx="54">
                  <c:v>4.4488188976377954E-5</c:v>
                </c:pt>
                <c:pt idx="55">
                  <c:v>4.173228346456693E-5</c:v>
                </c:pt>
                <c:pt idx="56">
                  <c:v>3.8976377952755905E-5</c:v>
                </c:pt>
                <c:pt idx="57">
                  <c:v>3.625984251968504E-5</c:v>
                </c:pt>
                <c:pt idx="58">
                  <c:v>3.3582677165354333E-5</c:v>
                </c:pt>
                <c:pt idx="59">
                  <c:v>3.0984251968503943E-5</c:v>
                </c:pt>
                <c:pt idx="60">
                  <c:v>2.8464566929133861E-5</c:v>
                </c:pt>
                <c:pt idx="61">
                  <c:v>2.6023622047244096E-5</c:v>
                </c:pt>
                <c:pt idx="62">
                  <c:v>2.3700787401574803E-5</c:v>
                </c:pt>
                <c:pt idx="63">
                  <c:v>2.1535433070866142E-5</c:v>
                </c:pt>
                <c:pt idx="64">
                  <c:v>1.9488188976377953E-5</c:v>
                </c:pt>
                <c:pt idx="65">
                  <c:v>1.7677165354330709E-5</c:v>
                </c:pt>
                <c:pt idx="66">
                  <c:v>1.6220472440944883E-5</c:v>
                </c:pt>
                <c:pt idx="67">
                  <c:v>1.5196850393700789E-5</c:v>
                </c:pt>
                <c:pt idx="68">
                  <c:v>1.4724409448818898E-5</c:v>
                </c:pt>
                <c:pt idx="69">
                  <c:v>1.488188976377953E-5</c:v>
                </c:pt>
                <c:pt idx="70">
                  <c:v>1.5590551181102362E-5</c:v>
                </c:pt>
                <c:pt idx="71">
                  <c:v>1.6811023622047246E-5</c:v>
                </c:pt>
                <c:pt idx="72">
                  <c:v>1.8425196850393703E-5</c:v>
                </c:pt>
                <c:pt idx="73">
                  <c:v>2.0314960629921261E-5</c:v>
                </c:pt>
                <c:pt idx="74">
                  <c:v>2.2440944881889767E-5</c:v>
                </c:pt>
                <c:pt idx="75">
                  <c:v>2.4685039370078739E-5</c:v>
                </c:pt>
                <c:pt idx="76">
                  <c:v>2.7007874015748031E-5</c:v>
                </c:pt>
                <c:pt idx="77">
                  <c:v>2.9370078740157483E-5</c:v>
                </c:pt>
                <c:pt idx="78">
                  <c:v>3.1811023622047248E-5</c:v>
                </c:pt>
                <c:pt idx="79">
                  <c:v>3.4291338582677168E-5</c:v>
                </c:pt>
                <c:pt idx="80">
                  <c:v>3.6771653543307089E-5</c:v>
                </c:pt>
                <c:pt idx="81">
                  <c:v>3.9133858267716533E-5</c:v>
                </c:pt>
                <c:pt idx="82">
                  <c:v>4.1338582677165357E-5</c:v>
                </c:pt>
                <c:pt idx="83">
                  <c:v>4.3700787401574801E-5</c:v>
                </c:pt>
                <c:pt idx="84">
                  <c:v>4.566929133858268E-5</c:v>
                </c:pt>
                <c:pt idx="85">
                  <c:v>4.7637795275590558E-5</c:v>
                </c:pt>
                <c:pt idx="86">
                  <c:v>4.9212598425196856E-5</c:v>
                </c:pt>
                <c:pt idx="87">
                  <c:v>5.0787401574803148E-5</c:v>
                </c:pt>
                <c:pt idx="88">
                  <c:v>5.2362204724409454E-5</c:v>
                </c:pt>
                <c:pt idx="89">
                  <c:v>5.3543307086614173E-5</c:v>
                </c:pt>
                <c:pt idx="90">
                  <c:v>5.4330708661417325E-5</c:v>
                </c:pt>
                <c:pt idx="91">
                  <c:v>5.5511811023622051E-5</c:v>
                </c:pt>
                <c:pt idx="92">
                  <c:v>5.6299212598425204E-5</c:v>
                </c:pt>
                <c:pt idx="93">
                  <c:v>5.669291338582677E-5</c:v>
                </c:pt>
                <c:pt idx="94">
                  <c:v>5.7480314960629922E-5</c:v>
                </c:pt>
                <c:pt idx="95">
                  <c:v>5.7874015748031495E-5</c:v>
                </c:pt>
                <c:pt idx="96">
                  <c:v>5.8267716535433075E-5</c:v>
                </c:pt>
                <c:pt idx="97">
                  <c:v>5.8267716535433075E-5</c:v>
                </c:pt>
                <c:pt idx="98">
                  <c:v>5.8267716535433075E-5</c:v>
                </c:pt>
                <c:pt idx="99">
                  <c:v>5.8661417322834648E-5</c:v>
                </c:pt>
                <c:pt idx="100">
                  <c:v>5.8661417322834648E-5</c:v>
                </c:pt>
                <c:pt idx="101">
                  <c:v>5.8661417322834648E-5</c:v>
                </c:pt>
                <c:pt idx="102">
                  <c:v>5.8661417322834648E-5</c:v>
                </c:pt>
                <c:pt idx="103">
                  <c:v>5.8267716535433075E-5</c:v>
                </c:pt>
                <c:pt idx="104">
                  <c:v>5.8267716535433075E-5</c:v>
                </c:pt>
                <c:pt idx="105">
                  <c:v>5.8267716535433075E-5</c:v>
                </c:pt>
                <c:pt idx="106">
                  <c:v>5.7874015748031495E-5</c:v>
                </c:pt>
                <c:pt idx="107">
                  <c:v>5.7874015748031495E-5</c:v>
                </c:pt>
                <c:pt idx="108">
                  <c:v>5.7480314960629922E-5</c:v>
                </c:pt>
                <c:pt idx="109">
                  <c:v>5.7480314960629922E-5</c:v>
                </c:pt>
                <c:pt idx="110">
                  <c:v>5.7086614173228356E-5</c:v>
                </c:pt>
                <c:pt idx="111">
                  <c:v>5.7086614173228356E-5</c:v>
                </c:pt>
                <c:pt idx="112">
                  <c:v>5.669291338582677E-5</c:v>
                </c:pt>
                <c:pt idx="113">
                  <c:v>5.6299212598425204E-5</c:v>
                </c:pt>
                <c:pt idx="114">
                  <c:v>5.6299212598425204E-5</c:v>
                </c:pt>
                <c:pt idx="115">
                  <c:v>5.5905511811023624E-5</c:v>
                </c:pt>
                <c:pt idx="116">
                  <c:v>5.5511811023622051E-5</c:v>
                </c:pt>
                <c:pt idx="117">
                  <c:v>5.5511811023622051E-5</c:v>
                </c:pt>
                <c:pt idx="118">
                  <c:v>5.5118110236220478E-5</c:v>
                </c:pt>
                <c:pt idx="119">
                  <c:v>5.4724409448818898E-5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43F-43B3-8F84-B8807ADC7967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743F-43B3-8F84-B8807ADC7967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5.5551181102362203E-4</c:v>
                </c:pt>
                <c:pt idx="1">
                  <c:v>5.5551181102362203E-4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43F-43B3-8F84-B8807ADC7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FD-437F-B75F-2E32C2C74100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FD-437F-B75F-2E32C2C74100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FD-437F-B75F-2E32C2C74100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FD-437F-B75F-2E32C2C74100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FD-437F-B75F-2E32C2C74100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FD-437F-B75F-2E32C2C74100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FD-437F-B75F-2E32C2C74100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6FD-437F-B75F-2E32C2C74100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6FD-437F-B75F-2E32C2C74100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6FD-437F-B75F-2E32C2C74100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6FD-437F-B75F-2E32C2C74100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6FD-437F-B75F-2E32C2C74100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6FD-437F-B75F-2E32C2C74100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6FD-437F-B75F-2E32C2C74100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6FD-437F-B75F-2E32C2C74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20-44FF-B3BF-82963C1F56BA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20-44FF-B3BF-82963C1F56BA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20-44FF-B3BF-82963C1F56BA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20-44FF-B3BF-82963C1F56BA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20-44FF-B3BF-82963C1F56BA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820-44FF-B3BF-82963C1F56BA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820-44FF-B3BF-82963C1F56BA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820-44FF-B3BF-82963C1F56BA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820-44FF-B3BF-82963C1F56BA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820-44FF-B3BF-82963C1F56BA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820-44FF-B3BF-82963C1F56BA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P4_UB!$A$7:$A$126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P4_UB!$F$7:$F$126</c:f>
              <c:numCache>
                <c:formatCode>0.00E+00</c:formatCode>
                <c:ptCount val="120"/>
                <c:pt idx="0">
                  <c:v>1.4566929133858269E-8</c:v>
                </c:pt>
                <c:pt idx="1">
                  <c:v>5.8267716535433076E-8</c:v>
                </c:pt>
                <c:pt idx="2">
                  <c:v>1.3188976377952756E-7</c:v>
                </c:pt>
                <c:pt idx="3">
                  <c:v>2.3543307086614172E-7</c:v>
                </c:pt>
                <c:pt idx="4">
                  <c:v>3.7047244094488189E-7</c:v>
                </c:pt>
                <c:pt idx="5">
                  <c:v>5.3937007874015757E-7</c:v>
                </c:pt>
                <c:pt idx="6">
                  <c:v>7.4015748031496067E-7</c:v>
                </c:pt>
                <c:pt idx="7">
                  <c:v>9.7637795275590548E-7</c:v>
                </c:pt>
                <c:pt idx="8">
                  <c:v>1.251968503937008E-6</c:v>
                </c:pt>
                <c:pt idx="9">
                  <c:v>1.5669291338582677E-6</c:v>
                </c:pt>
                <c:pt idx="10">
                  <c:v>1.9251968503937009E-6</c:v>
                </c:pt>
                <c:pt idx="11">
                  <c:v>2.3267716535433071E-6</c:v>
                </c:pt>
                <c:pt idx="12">
                  <c:v>2.7834645669291343E-6</c:v>
                </c:pt>
                <c:pt idx="13">
                  <c:v>3.2913385826771657E-6</c:v>
                </c:pt>
                <c:pt idx="14">
                  <c:v>3.8582677165354334E-6</c:v>
                </c:pt>
                <c:pt idx="15">
                  <c:v>4.4881889763779532E-6</c:v>
                </c:pt>
                <c:pt idx="16">
                  <c:v>5.1968503937007869E-6</c:v>
                </c:pt>
                <c:pt idx="17">
                  <c:v>5.9842519685039379E-6</c:v>
                </c:pt>
                <c:pt idx="18">
                  <c:v>6.811023622047245E-6</c:v>
                </c:pt>
                <c:pt idx="19">
                  <c:v>7.7952755905511808E-6</c:v>
                </c:pt>
                <c:pt idx="20">
                  <c:v>8.8582677165354338E-6</c:v>
                </c:pt>
                <c:pt idx="21">
                  <c:v>1.0039370078740159E-5</c:v>
                </c:pt>
                <c:pt idx="22">
                  <c:v>1.1338582677165356E-5</c:v>
                </c:pt>
                <c:pt idx="23">
                  <c:v>1.2795275590551182E-5</c:v>
                </c:pt>
                <c:pt idx="24">
                  <c:v>1.4448818897637795E-5</c:v>
                </c:pt>
                <c:pt idx="25">
                  <c:v>1.6259842519685042E-5</c:v>
                </c:pt>
                <c:pt idx="26">
                  <c:v>1.8346456692913386E-5</c:v>
                </c:pt>
                <c:pt idx="27">
                  <c:v>2.0708661417322837E-5</c:v>
                </c:pt>
                <c:pt idx="28">
                  <c:v>2.3346456692913385E-5</c:v>
                </c:pt>
                <c:pt idx="29">
                  <c:v>2.6377952755905513E-5</c:v>
                </c:pt>
                <c:pt idx="30">
                  <c:v>2.9803149606299214E-5</c:v>
                </c:pt>
                <c:pt idx="31">
                  <c:v>3.3740157480314961E-5</c:v>
                </c:pt>
                <c:pt idx="32">
                  <c:v>3.826771653543307E-5</c:v>
                </c:pt>
                <c:pt idx="33">
                  <c:v>4.3307086614173235E-5</c:v>
                </c:pt>
                <c:pt idx="34">
                  <c:v>4.9606299212598429E-5</c:v>
                </c:pt>
                <c:pt idx="35">
                  <c:v>5.6299212598425204E-5</c:v>
                </c:pt>
                <c:pt idx="36">
                  <c:v>6.4173228346456703E-5</c:v>
                </c:pt>
                <c:pt idx="37">
                  <c:v>7.2834645669291349E-5</c:v>
                </c:pt>
                <c:pt idx="38">
                  <c:v>8.2283464566929127E-5</c:v>
                </c:pt>
                <c:pt idx="39">
                  <c:v>9.2519685039370092E-5</c:v>
                </c:pt>
                <c:pt idx="40">
                  <c:v>1.019685039370079E-4</c:v>
                </c:pt>
                <c:pt idx="41">
                  <c:v>1.1023622047244096E-4</c:v>
                </c:pt>
                <c:pt idx="42">
                  <c:v>1.1614173228346458E-4</c:v>
                </c:pt>
                <c:pt idx="43">
                  <c:v>1.1968503937007875E-4</c:v>
                </c:pt>
                <c:pt idx="44">
                  <c:v>1.2007874015748033E-4</c:v>
                </c:pt>
                <c:pt idx="45">
                  <c:v>1.1850393700787403E-4</c:v>
                </c:pt>
                <c:pt idx="46">
                  <c:v>1.1535433070866142E-4</c:v>
                </c:pt>
                <c:pt idx="47">
                  <c:v>1.1141732283464567E-4</c:v>
                </c:pt>
                <c:pt idx="48">
                  <c:v>1.0748031496062993E-4</c:v>
                </c:pt>
                <c:pt idx="49">
                  <c:v>1.031496062992126E-4</c:v>
                </c:pt>
                <c:pt idx="50">
                  <c:v>9.9212598425196859E-5</c:v>
                </c:pt>
                <c:pt idx="51">
                  <c:v>9.5669291338582675E-5</c:v>
                </c:pt>
                <c:pt idx="52">
                  <c:v>9.2519685039370092E-5</c:v>
                </c:pt>
                <c:pt idx="53">
                  <c:v>8.9370078740157481E-5</c:v>
                </c:pt>
                <c:pt idx="54">
                  <c:v>8.7007874015748043E-5</c:v>
                </c:pt>
                <c:pt idx="55">
                  <c:v>8.4645669291338592E-5</c:v>
                </c:pt>
                <c:pt idx="56">
                  <c:v>8.2677165354330713E-5</c:v>
                </c:pt>
                <c:pt idx="57">
                  <c:v>8.1102362204724422E-5</c:v>
                </c:pt>
                <c:pt idx="58">
                  <c:v>7.9921259842519689E-5</c:v>
                </c:pt>
                <c:pt idx="59">
                  <c:v>7.874015748031497E-5</c:v>
                </c:pt>
                <c:pt idx="60">
                  <c:v>7.7559055118110252E-5</c:v>
                </c:pt>
                <c:pt idx="61">
                  <c:v>7.6771653543307092E-5</c:v>
                </c:pt>
                <c:pt idx="62">
                  <c:v>7.5984251968503946E-5</c:v>
                </c:pt>
                <c:pt idx="63">
                  <c:v>7.559055118110236E-5</c:v>
                </c:pt>
                <c:pt idx="64">
                  <c:v>7.5196850393700787E-5</c:v>
                </c:pt>
                <c:pt idx="65">
                  <c:v>7.5196850393700787E-5</c:v>
                </c:pt>
                <c:pt idx="66">
                  <c:v>7.5196850393700787E-5</c:v>
                </c:pt>
                <c:pt idx="67">
                  <c:v>7.5196850393700787E-5</c:v>
                </c:pt>
                <c:pt idx="68">
                  <c:v>7.5196850393700787E-5</c:v>
                </c:pt>
                <c:pt idx="69">
                  <c:v>7.559055118110236E-5</c:v>
                </c:pt>
                <c:pt idx="70">
                  <c:v>7.5984251968503946E-5</c:v>
                </c:pt>
                <c:pt idx="71">
                  <c:v>7.6377952755905519E-5</c:v>
                </c:pt>
                <c:pt idx="72">
                  <c:v>7.6771653543307092E-5</c:v>
                </c:pt>
                <c:pt idx="73">
                  <c:v>7.7165354330708665E-5</c:v>
                </c:pt>
                <c:pt idx="74">
                  <c:v>7.7952755905511811E-5</c:v>
                </c:pt>
                <c:pt idx="75">
                  <c:v>7.874015748031497E-5</c:v>
                </c:pt>
                <c:pt idx="76">
                  <c:v>7.9527559055118116E-5</c:v>
                </c:pt>
                <c:pt idx="77">
                  <c:v>8.0314960629921276E-5</c:v>
                </c:pt>
                <c:pt idx="78">
                  <c:v>8.1102362204724422E-5</c:v>
                </c:pt>
                <c:pt idx="79">
                  <c:v>8.1889763779527554E-5</c:v>
                </c:pt>
                <c:pt idx="80">
                  <c:v>8.30708661417323E-5</c:v>
                </c:pt>
                <c:pt idx="81">
                  <c:v>8.3858267716535432E-5</c:v>
                </c:pt>
                <c:pt idx="82">
                  <c:v>8.4251968503937005E-5</c:v>
                </c:pt>
                <c:pt idx="83">
                  <c:v>8.5039370078740165E-5</c:v>
                </c:pt>
                <c:pt idx="84">
                  <c:v>8.5433070866141738E-5</c:v>
                </c:pt>
                <c:pt idx="85">
                  <c:v>8.5826771653543311E-5</c:v>
                </c:pt>
                <c:pt idx="86">
                  <c:v>8.5433070866141738E-5</c:v>
                </c:pt>
                <c:pt idx="87">
                  <c:v>8.5039370078740165E-5</c:v>
                </c:pt>
                <c:pt idx="88">
                  <c:v>8.4645669291338592E-5</c:v>
                </c:pt>
                <c:pt idx="89">
                  <c:v>8.30708661417323E-5</c:v>
                </c:pt>
                <c:pt idx="90">
                  <c:v>8.1496062992125995E-5</c:v>
                </c:pt>
                <c:pt idx="91">
                  <c:v>7.9527559055118116E-5</c:v>
                </c:pt>
                <c:pt idx="92">
                  <c:v>7.7165354330708665E-5</c:v>
                </c:pt>
                <c:pt idx="93">
                  <c:v>7.4409448818897641E-5</c:v>
                </c:pt>
                <c:pt idx="94">
                  <c:v>7.1259842519685044E-5</c:v>
                </c:pt>
                <c:pt idx="95">
                  <c:v>6.8110236220472446E-5</c:v>
                </c:pt>
                <c:pt idx="96">
                  <c:v>6.4566929133858276E-5</c:v>
                </c:pt>
                <c:pt idx="97">
                  <c:v>6.1417322834645679E-5</c:v>
                </c:pt>
                <c:pt idx="98">
                  <c:v>5.7874015748031495E-5</c:v>
                </c:pt>
                <c:pt idx="99">
                  <c:v>5.4724409448818898E-5</c:v>
                </c:pt>
                <c:pt idx="100">
                  <c:v>5.1574803149606301E-5</c:v>
                </c:pt>
                <c:pt idx="101">
                  <c:v>4.8818897637795277E-5</c:v>
                </c:pt>
                <c:pt idx="102">
                  <c:v>4.6062992125984253E-5</c:v>
                </c:pt>
                <c:pt idx="103">
                  <c:v>4.3307086614173235E-5</c:v>
                </c:pt>
                <c:pt idx="104">
                  <c:v>4.0944881889763777E-5</c:v>
                </c:pt>
                <c:pt idx="105">
                  <c:v>3.8425196850393705E-5</c:v>
                </c:pt>
                <c:pt idx="106">
                  <c:v>3.625984251968504E-5</c:v>
                </c:pt>
                <c:pt idx="107">
                  <c:v>3.425196850393701E-5</c:v>
                </c:pt>
                <c:pt idx="108">
                  <c:v>3.2401574803149607E-5</c:v>
                </c:pt>
                <c:pt idx="109">
                  <c:v>3.0669291338582674E-5</c:v>
                </c:pt>
                <c:pt idx="110">
                  <c:v>2.905511811023622E-5</c:v>
                </c:pt>
                <c:pt idx="111">
                  <c:v>2.7559055118110239E-5</c:v>
                </c:pt>
                <c:pt idx="112">
                  <c:v>2.6220472440944882E-5</c:v>
                </c:pt>
                <c:pt idx="113">
                  <c:v>2.4921259842519687E-5</c:v>
                </c:pt>
                <c:pt idx="114">
                  <c:v>2.3779527559055117E-5</c:v>
                </c:pt>
                <c:pt idx="115">
                  <c:v>2.2677165354330712E-5</c:v>
                </c:pt>
                <c:pt idx="116">
                  <c:v>2.1653543307086618E-5</c:v>
                </c:pt>
                <c:pt idx="117">
                  <c:v>2.0748031496062992E-5</c:v>
                </c:pt>
                <c:pt idx="118">
                  <c:v>1.984251968503937E-5</c:v>
                </c:pt>
                <c:pt idx="119">
                  <c:v>1.9055118110236225E-5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820-44FF-B3BF-82963C1F56BA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P4_UB!$A$7:$A$126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P4_UB!$G$7:$G$126</c:f>
              <c:numCache>
                <c:formatCode>0.00E+00</c:formatCode>
                <c:ptCount val="120"/>
                <c:pt idx="0">
                  <c:v>1.3385826771653545E-9</c:v>
                </c:pt>
                <c:pt idx="1">
                  <c:v>5.354330708661418E-9</c:v>
                </c:pt>
                <c:pt idx="2">
                  <c:v>1.2086614173228348E-8</c:v>
                </c:pt>
                <c:pt idx="3">
                  <c:v>2.1614173228346457E-8</c:v>
                </c:pt>
                <c:pt idx="4">
                  <c:v>3.3976377952755911E-8</c:v>
                </c:pt>
                <c:pt idx="5">
                  <c:v>4.9212598425196858E-8</c:v>
                </c:pt>
                <c:pt idx="6">
                  <c:v>6.7716535433070877E-8</c:v>
                </c:pt>
                <c:pt idx="7">
                  <c:v>8.8976377952755914E-8</c:v>
                </c:pt>
                <c:pt idx="8">
                  <c:v>1.1377952755905513E-7</c:v>
                </c:pt>
                <c:pt idx="9">
                  <c:v>1.425196850393701E-7</c:v>
                </c:pt>
                <c:pt idx="10">
                  <c:v>1.7440944881889766E-7</c:v>
                </c:pt>
                <c:pt idx="11">
                  <c:v>2.106299212598425E-7</c:v>
                </c:pt>
                <c:pt idx="12">
                  <c:v>2.5078740157480316E-7</c:v>
                </c:pt>
                <c:pt idx="13">
                  <c:v>2.9527559055118109E-7</c:v>
                </c:pt>
                <c:pt idx="14">
                  <c:v>3.4448818897637803E-7</c:v>
                </c:pt>
                <c:pt idx="15">
                  <c:v>3.9763779527559059E-7</c:v>
                </c:pt>
                <c:pt idx="16">
                  <c:v>4.6062992125984254E-7</c:v>
                </c:pt>
                <c:pt idx="17">
                  <c:v>5.2362204724409455E-7</c:v>
                </c:pt>
                <c:pt idx="18">
                  <c:v>5.9842519685039375E-7</c:v>
                </c:pt>
                <c:pt idx="19">
                  <c:v>6.7716535433070861E-7</c:v>
                </c:pt>
                <c:pt idx="20">
                  <c:v>7.6377952755905504E-7</c:v>
                </c:pt>
                <c:pt idx="21">
                  <c:v>8.6220472440944891E-7</c:v>
                </c:pt>
                <c:pt idx="22">
                  <c:v>9.6456692913385835E-7</c:v>
                </c:pt>
                <c:pt idx="23">
                  <c:v>1.0787401574803151E-6</c:v>
                </c:pt>
                <c:pt idx="24">
                  <c:v>1.2047244094488193E-6</c:v>
                </c:pt>
                <c:pt idx="25">
                  <c:v>1.3425196850393703E-6</c:v>
                </c:pt>
                <c:pt idx="26">
                  <c:v>1.4921259842519685E-6</c:v>
                </c:pt>
                <c:pt idx="27">
                  <c:v>1.65748031496063E-6</c:v>
                </c:pt>
                <c:pt idx="28">
                  <c:v>1.8385826771653546E-6</c:v>
                </c:pt>
                <c:pt idx="29">
                  <c:v>2.0433070866141735E-6</c:v>
                </c:pt>
                <c:pt idx="30">
                  <c:v>2.2637795275590555E-6</c:v>
                </c:pt>
                <c:pt idx="31">
                  <c:v>2.5078740157480313E-6</c:v>
                </c:pt>
                <c:pt idx="32">
                  <c:v>2.7834645669291343E-6</c:v>
                </c:pt>
                <c:pt idx="33">
                  <c:v>3.082677165354331E-6</c:v>
                </c:pt>
                <c:pt idx="34">
                  <c:v>3.4173228346456694E-6</c:v>
                </c:pt>
                <c:pt idx="35">
                  <c:v>3.7874015748031502E-6</c:v>
                </c:pt>
                <c:pt idx="36">
                  <c:v>4.2125984251968503E-6</c:v>
                </c:pt>
                <c:pt idx="37">
                  <c:v>4.6456692913385827E-6</c:v>
                </c:pt>
                <c:pt idx="38">
                  <c:v>5.1181102362204721E-6</c:v>
                </c:pt>
                <c:pt idx="39">
                  <c:v>5.6299212598425202E-6</c:v>
                </c:pt>
                <c:pt idx="40">
                  <c:v>6.1811023622047244E-6</c:v>
                </c:pt>
                <c:pt idx="41">
                  <c:v>6.7322834645669302E-6</c:v>
                </c:pt>
                <c:pt idx="42">
                  <c:v>7.2440944881889766E-6</c:v>
                </c:pt>
                <c:pt idx="43">
                  <c:v>7.7165354330708668E-6</c:v>
                </c:pt>
                <c:pt idx="44">
                  <c:v>8.1496062992125984E-6</c:v>
                </c:pt>
                <c:pt idx="45">
                  <c:v>8.4645669291338592E-6</c:v>
                </c:pt>
                <c:pt idx="46">
                  <c:v>8.7007874015748043E-6</c:v>
                </c:pt>
                <c:pt idx="47">
                  <c:v>8.8188976377952752E-6</c:v>
                </c:pt>
                <c:pt idx="48">
                  <c:v>8.8188976377952752E-6</c:v>
                </c:pt>
                <c:pt idx="49">
                  <c:v>8.7795275590551182E-6</c:v>
                </c:pt>
                <c:pt idx="50">
                  <c:v>8.7007874015748043E-6</c:v>
                </c:pt>
                <c:pt idx="51">
                  <c:v>8.6220472440944887E-6</c:v>
                </c:pt>
                <c:pt idx="52">
                  <c:v>8.5039370078740161E-6</c:v>
                </c:pt>
                <c:pt idx="53">
                  <c:v>8.3858267716535436E-6</c:v>
                </c:pt>
                <c:pt idx="54">
                  <c:v>8.3070866141732297E-6</c:v>
                </c:pt>
                <c:pt idx="55">
                  <c:v>8.267716535433071E-6</c:v>
                </c:pt>
                <c:pt idx="56">
                  <c:v>8.267716535433071E-6</c:v>
                </c:pt>
                <c:pt idx="57">
                  <c:v>8.267716535433071E-6</c:v>
                </c:pt>
                <c:pt idx="58">
                  <c:v>8.3464566929133866E-6</c:v>
                </c:pt>
                <c:pt idx="59">
                  <c:v>8.4645669291338592E-6</c:v>
                </c:pt>
                <c:pt idx="60">
                  <c:v>8.6614173228346457E-6</c:v>
                </c:pt>
                <c:pt idx="61">
                  <c:v>8.8582677165354338E-6</c:v>
                </c:pt>
                <c:pt idx="62">
                  <c:v>9.0944881889763773E-6</c:v>
                </c:pt>
                <c:pt idx="63">
                  <c:v>9.409448818897638E-6</c:v>
                </c:pt>
                <c:pt idx="64">
                  <c:v>9.7637795275590557E-6</c:v>
                </c:pt>
                <c:pt idx="65">
                  <c:v>1.015748031496063E-5</c:v>
                </c:pt>
                <c:pt idx="66">
                  <c:v>1.0590551181102362E-5</c:v>
                </c:pt>
                <c:pt idx="67">
                  <c:v>1.1023622047244097E-5</c:v>
                </c:pt>
                <c:pt idx="68">
                  <c:v>1.1535433070866141E-5</c:v>
                </c:pt>
                <c:pt idx="69">
                  <c:v>1.2086614173228347E-5</c:v>
                </c:pt>
                <c:pt idx="70">
                  <c:v>1.2716535433070868E-5</c:v>
                </c:pt>
                <c:pt idx="71">
                  <c:v>1.3346456692913386E-5</c:v>
                </c:pt>
                <c:pt idx="72">
                  <c:v>1.4015748031496065E-5</c:v>
                </c:pt>
                <c:pt idx="73">
                  <c:v>1.4724409448818898E-5</c:v>
                </c:pt>
                <c:pt idx="74">
                  <c:v>1.5433070866141734E-5</c:v>
                </c:pt>
                <c:pt idx="75">
                  <c:v>1.6220472440944883E-5</c:v>
                </c:pt>
                <c:pt idx="76">
                  <c:v>1.7047244094488191E-5</c:v>
                </c:pt>
                <c:pt idx="77">
                  <c:v>1.7874015748031499E-5</c:v>
                </c:pt>
                <c:pt idx="78">
                  <c:v>1.8779527559055121E-5</c:v>
                </c:pt>
                <c:pt idx="79">
                  <c:v>1.9685039370078743E-5</c:v>
                </c:pt>
                <c:pt idx="80">
                  <c:v>2.062992125984252E-5</c:v>
                </c:pt>
                <c:pt idx="81">
                  <c:v>2.1614173228346455E-5</c:v>
                </c:pt>
                <c:pt idx="82">
                  <c:v>2.2637795275590553E-5</c:v>
                </c:pt>
                <c:pt idx="83">
                  <c:v>2.3661417322834651E-5</c:v>
                </c:pt>
                <c:pt idx="84">
                  <c:v>2.4645669291338587E-5</c:v>
                </c:pt>
                <c:pt idx="85">
                  <c:v>2.5669291338582675E-5</c:v>
                </c:pt>
                <c:pt idx="86">
                  <c:v>2.6614173228346455E-5</c:v>
                </c:pt>
                <c:pt idx="87">
                  <c:v>2.7480314960629925E-5</c:v>
                </c:pt>
                <c:pt idx="88">
                  <c:v>2.8228346456692912E-5</c:v>
                </c:pt>
                <c:pt idx="89">
                  <c:v>2.8897637795275589E-5</c:v>
                </c:pt>
                <c:pt idx="90">
                  <c:v>2.9370078740157483E-5</c:v>
                </c:pt>
                <c:pt idx="91">
                  <c:v>2.9724409448818897E-5</c:v>
                </c:pt>
                <c:pt idx="92">
                  <c:v>2.9881889763779525E-5</c:v>
                </c:pt>
                <c:pt idx="93">
                  <c:v>2.9842519685039373E-5</c:v>
                </c:pt>
                <c:pt idx="94">
                  <c:v>2.9685039370078742E-5</c:v>
                </c:pt>
                <c:pt idx="95">
                  <c:v>2.9370078740157483E-5</c:v>
                </c:pt>
                <c:pt idx="96">
                  <c:v>2.8937007874015748E-5</c:v>
                </c:pt>
                <c:pt idx="97">
                  <c:v>2.8385826771653544E-5</c:v>
                </c:pt>
                <c:pt idx="98">
                  <c:v>2.7795275590551184E-5</c:v>
                </c:pt>
                <c:pt idx="99">
                  <c:v>2.7125984251968504E-5</c:v>
                </c:pt>
                <c:pt idx="100">
                  <c:v>2.6456692913385827E-5</c:v>
                </c:pt>
                <c:pt idx="101">
                  <c:v>2.578740157480315E-5</c:v>
                </c:pt>
                <c:pt idx="102">
                  <c:v>2.5118110236220474E-5</c:v>
                </c:pt>
                <c:pt idx="103">
                  <c:v>2.4488188976377956E-5</c:v>
                </c:pt>
                <c:pt idx="104">
                  <c:v>2.3818897637795279E-5</c:v>
                </c:pt>
                <c:pt idx="105">
                  <c:v>2.3228346456692913E-5</c:v>
                </c:pt>
                <c:pt idx="106">
                  <c:v>2.2637795275590553E-5</c:v>
                </c:pt>
                <c:pt idx="107">
                  <c:v>2.2047244094488194E-5</c:v>
                </c:pt>
                <c:pt idx="108">
                  <c:v>2.1535433070866142E-5</c:v>
                </c:pt>
                <c:pt idx="109">
                  <c:v>2.1023622047244096E-5</c:v>
                </c:pt>
                <c:pt idx="110">
                  <c:v>2.0551181102362206E-5</c:v>
                </c:pt>
                <c:pt idx="111">
                  <c:v>2.0118110236220471E-5</c:v>
                </c:pt>
                <c:pt idx="112">
                  <c:v>1.9685039370078743E-5</c:v>
                </c:pt>
                <c:pt idx="113">
                  <c:v>1.9291338582677166E-5</c:v>
                </c:pt>
                <c:pt idx="114">
                  <c:v>1.889763779527559E-5</c:v>
                </c:pt>
                <c:pt idx="115">
                  <c:v>1.8543307086614176E-5</c:v>
                </c:pt>
                <c:pt idx="116">
                  <c:v>1.8188976377952755E-5</c:v>
                </c:pt>
                <c:pt idx="117">
                  <c:v>1.7874015748031499E-5</c:v>
                </c:pt>
                <c:pt idx="118">
                  <c:v>1.7559055118110236E-5</c:v>
                </c:pt>
                <c:pt idx="119">
                  <c:v>1.7283464566929136E-5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820-44FF-B3BF-82963C1F56BA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P4_UB!$A$7:$A$126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P4_UB!$H$7:$H$126</c:f>
              <c:numCache>
                <c:formatCode>0.00E+00</c:formatCode>
                <c:ptCount val="120"/>
                <c:pt idx="0">
                  <c:v>1.3228346456692913E-8</c:v>
                </c:pt>
                <c:pt idx="1">
                  <c:v>5.2755905511811021E-8</c:v>
                </c:pt>
                <c:pt idx="2">
                  <c:v>1.188976377952756E-7</c:v>
                </c:pt>
                <c:pt idx="3">
                  <c:v>2.114173228346457E-7</c:v>
                </c:pt>
                <c:pt idx="4">
                  <c:v>3.3031496062992124E-7</c:v>
                </c:pt>
                <c:pt idx="5">
                  <c:v>4.7637795275590556E-7</c:v>
                </c:pt>
                <c:pt idx="6">
                  <c:v>6.4960629921259836E-7</c:v>
                </c:pt>
                <c:pt idx="7">
                  <c:v>8.5433070866141735E-7</c:v>
                </c:pt>
                <c:pt idx="8">
                  <c:v>1.0866141732283465E-6</c:v>
                </c:pt>
                <c:pt idx="9">
                  <c:v>1.3503937007874017E-6</c:v>
                </c:pt>
                <c:pt idx="10">
                  <c:v>1.6496062992125984E-6</c:v>
                </c:pt>
                <c:pt idx="11">
                  <c:v>1.9842519685039372E-6</c:v>
                </c:pt>
                <c:pt idx="12">
                  <c:v>2.3543307086614176E-6</c:v>
                </c:pt>
                <c:pt idx="13">
                  <c:v>2.7598425196850392E-6</c:v>
                </c:pt>
                <c:pt idx="14">
                  <c:v>3.2125984251968509E-6</c:v>
                </c:pt>
                <c:pt idx="15">
                  <c:v>3.7047244094488188E-6</c:v>
                </c:pt>
                <c:pt idx="16">
                  <c:v>4.2519685039370081E-6</c:v>
                </c:pt>
                <c:pt idx="17">
                  <c:v>4.8425196850393709E-6</c:v>
                </c:pt>
                <c:pt idx="18">
                  <c:v>5.4724409448818898E-6</c:v>
                </c:pt>
                <c:pt idx="19">
                  <c:v>6.1811023622047244E-6</c:v>
                </c:pt>
                <c:pt idx="20">
                  <c:v>6.9291338582677167E-6</c:v>
                </c:pt>
                <c:pt idx="21">
                  <c:v>7.7952755905511808E-6</c:v>
                </c:pt>
                <c:pt idx="22">
                  <c:v>8.7007874015748043E-6</c:v>
                </c:pt>
                <c:pt idx="23">
                  <c:v>9.6850393700787418E-6</c:v>
                </c:pt>
                <c:pt idx="24">
                  <c:v>1.078740157480315E-5</c:v>
                </c:pt>
                <c:pt idx="25">
                  <c:v>1.2007874015748031E-5</c:v>
                </c:pt>
                <c:pt idx="26">
                  <c:v>1.3346456692913386E-5</c:v>
                </c:pt>
                <c:pt idx="27">
                  <c:v>1.4803149606299212E-5</c:v>
                </c:pt>
                <c:pt idx="28">
                  <c:v>1.6456692913385828E-5</c:v>
                </c:pt>
                <c:pt idx="29">
                  <c:v>1.8307086614173227E-5</c:v>
                </c:pt>
                <c:pt idx="30">
                  <c:v>2.0354330708661419E-5</c:v>
                </c:pt>
                <c:pt idx="31">
                  <c:v>2.2716535433070871E-5</c:v>
                </c:pt>
                <c:pt idx="32">
                  <c:v>2.5433070866141736E-5</c:v>
                </c:pt>
                <c:pt idx="33">
                  <c:v>2.8543307086614178E-5</c:v>
                </c:pt>
                <c:pt idx="34">
                  <c:v>3.2165354330708662E-5</c:v>
                </c:pt>
                <c:pt idx="35">
                  <c:v>3.6377952755905509E-5</c:v>
                </c:pt>
                <c:pt idx="36">
                  <c:v>4.1338582677165357E-5</c:v>
                </c:pt>
                <c:pt idx="37">
                  <c:v>4.6850393700787405E-5</c:v>
                </c:pt>
                <c:pt idx="38">
                  <c:v>5.3149606299212606E-5</c:v>
                </c:pt>
                <c:pt idx="39">
                  <c:v>6.0236220472440947E-5</c:v>
                </c:pt>
                <c:pt idx="40">
                  <c:v>6.7322834645669287E-5</c:v>
                </c:pt>
                <c:pt idx="41">
                  <c:v>7.4409448818897641E-5</c:v>
                </c:pt>
                <c:pt idx="42">
                  <c:v>8.0708661417322835E-5</c:v>
                </c:pt>
                <c:pt idx="43">
                  <c:v>8.5039370078740165E-5</c:v>
                </c:pt>
                <c:pt idx="44">
                  <c:v>8.8188976377952775E-5</c:v>
                </c:pt>
                <c:pt idx="45">
                  <c:v>8.9370078740157481E-5</c:v>
                </c:pt>
                <c:pt idx="46">
                  <c:v>8.9370078740157481E-5</c:v>
                </c:pt>
                <c:pt idx="47">
                  <c:v>8.8188976377952775E-5</c:v>
                </c:pt>
                <c:pt idx="48">
                  <c:v>8.661417322834647E-5</c:v>
                </c:pt>
                <c:pt idx="49">
                  <c:v>8.4645669291338592E-5</c:v>
                </c:pt>
                <c:pt idx="50">
                  <c:v>8.2283464566929127E-5</c:v>
                </c:pt>
                <c:pt idx="51">
                  <c:v>7.9921259842519689E-5</c:v>
                </c:pt>
                <c:pt idx="52">
                  <c:v>7.7559055118110252E-5</c:v>
                </c:pt>
                <c:pt idx="53">
                  <c:v>7.4803149606299214E-5</c:v>
                </c:pt>
                <c:pt idx="54">
                  <c:v>7.2440944881889776E-5</c:v>
                </c:pt>
                <c:pt idx="55">
                  <c:v>7.0078740157480311E-5</c:v>
                </c:pt>
                <c:pt idx="56">
                  <c:v>6.7716535433070873E-5</c:v>
                </c:pt>
                <c:pt idx="57">
                  <c:v>6.6141732283464568E-5</c:v>
                </c:pt>
                <c:pt idx="58">
                  <c:v>6.4173228346456703E-5</c:v>
                </c:pt>
                <c:pt idx="59">
                  <c:v>6.2598425196850398E-5</c:v>
                </c:pt>
                <c:pt idx="60">
                  <c:v>6.1417322834645679E-5</c:v>
                </c:pt>
                <c:pt idx="61">
                  <c:v>6.0236220472440947E-5</c:v>
                </c:pt>
                <c:pt idx="62">
                  <c:v>5.9448818897637794E-5</c:v>
                </c:pt>
                <c:pt idx="63">
                  <c:v>5.8661417322834648E-5</c:v>
                </c:pt>
                <c:pt idx="64">
                  <c:v>5.7874015748031495E-5</c:v>
                </c:pt>
                <c:pt idx="65">
                  <c:v>5.7480314960629922E-5</c:v>
                </c:pt>
                <c:pt idx="66">
                  <c:v>5.7086614173228356E-5</c:v>
                </c:pt>
                <c:pt idx="67">
                  <c:v>5.7086614173228356E-5</c:v>
                </c:pt>
                <c:pt idx="68">
                  <c:v>5.7086614173228356E-5</c:v>
                </c:pt>
                <c:pt idx="69">
                  <c:v>5.7086614173228356E-5</c:v>
                </c:pt>
                <c:pt idx="70">
                  <c:v>5.7086614173228356E-5</c:v>
                </c:pt>
                <c:pt idx="71">
                  <c:v>5.7086614173228356E-5</c:v>
                </c:pt>
                <c:pt idx="72">
                  <c:v>5.7086614173228356E-5</c:v>
                </c:pt>
                <c:pt idx="73">
                  <c:v>5.7086614173228356E-5</c:v>
                </c:pt>
                <c:pt idx="74">
                  <c:v>5.7480314960629922E-5</c:v>
                </c:pt>
                <c:pt idx="75">
                  <c:v>5.7480314960629922E-5</c:v>
                </c:pt>
                <c:pt idx="76">
                  <c:v>5.7874015748031495E-5</c:v>
                </c:pt>
                <c:pt idx="77">
                  <c:v>5.7874015748031495E-5</c:v>
                </c:pt>
                <c:pt idx="78">
                  <c:v>5.8267716535433075E-5</c:v>
                </c:pt>
                <c:pt idx="79">
                  <c:v>5.8661417322834648E-5</c:v>
                </c:pt>
                <c:pt idx="80">
                  <c:v>5.9448818897637794E-5</c:v>
                </c:pt>
                <c:pt idx="81">
                  <c:v>5.9842519685039374E-5</c:v>
                </c:pt>
                <c:pt idx="82">
                  <c:v>6.0629921259842526E-5</c:v>
                </c:pt>
                <c:pt idx="83">
                  <c:v>6.1417322834645679E-5</c:v>
                </c:pt>
                <c:pt idx="84">
                  <c:v>6.2204724409448811E-5</c:v>
                </c:pt>
                <c:pt idx="85">
                  <c:v>6.2992125984251971E-5</c:v>
                </c:pt>
                <c:pt idx="86">
                  <c:v>6.4173228346456703E-5</c:v>
                </c:pt>
                <c:pt idx="87">
                  <c:v>6.4960629921259849E-5</c:v>
                </c:pt>
                <c:pt idx="88">
                  <c:v>6.5748031496062995E-5</c:v>
                </c:pt>
                <c:pt idx="89">
                  <c:v>6.6929133858267728E-5</c:v>
                </c:pt>
                <c:pt idx="90">
                  <c:v>6.7716535433070873E-5</c:v>
                </c:pt>
                <c:pt idx="91">
                  <c:v>6.8110236220472446E-5</c:v>
                </c:pt>
                <c:pt idx="92">
                  <c:v>6.8897637795275592E-5</c:v>
                </c:pt>
                <c:pt idx="93">
                  <c:v>6.9685039370078752E-5</c:v>
                </c:pt>
                <c:pt idx="94">
                  <c:v>7.0078740157480311E-5</c:v>
                </c:pt>
                <c:pt idx="95">
                  <c:v>7.0472440944881884E-5</c:v>
                </c:pt>
                <c:pt idx="96">
                  <c:v>7.0866141732283471E-5</c:v>
                </c:pt>
                <c:pt idx="97">
                  <c:v>7.0866141732283471E-5</c:v>
                </c:pt>
                <c:pt idx="98">
                  <c:v>7.1259842519685044E-5</c:v>
                </c:pt>
                <c:pt idx="99">
                  <c:v>7.1259842519685044E-5</c:v>
                </c:pt>
                <c:pt idx="100">
                  <c:v>7.1653543307086617E-5</c:v>
                </c:pt>
                <c:pt idx="101">
                  <c:v>7.1653543307086617E-5</c:v>
                </c:pt>
                <c:pt idx="102">
                  <c:v>7.1653543307086617E-5</c:v>
                </c:pt>
                <c:pt idx="103">
                  <c:v>7.1653543307086617E-5</c:v>
                </c:pt>
                <c:pt idx="104">
                  <c:v>7.1653543307086617E-5</c:v>
                </c:pt>
                <c:pt idx="105">
                  <c:v>7.1653543307086617E-5</c:v>
                </c:pt>
                <c:pt idx="106">
                  <c:v>7.1653543307086617E-5</c:v>
                </c:pt>
                <c:pt idx="107">
                  <c:v>7.1259842519685044E-5</c:v>
                </c:pt>
                <c:pt idx="108">
                  <c:v>7.1259842519685044E-5</c:v>
                </c:pt>
                <c:pt idx="109">
                  <c:v>7.1259842519685044E-5</c:v>
                </c:pt>
                <c:pt idx="110">
                  <c:v>7.0866141732283471E-5</c:v>
                </c:pt>
                <c:pt idx="111">
                  <c:v>7.0866141732283471E-5</c:v>
                </c:pt>
                <c:pt idx="112">
                  <c:v>7.0472440944881884E-5</c:v>
                </c:pt>
                <c:pt idx="113">
                  <c:v>7.0472440944881884E-5</c:v>
                </c:pt>
                <c:pt idx="114">
                  <c:v>7.0078740157480311E-5</c:v>
                </c:pt>
                <c:pt idx="115">
                  <c:v>7.0078740157480311E-5</c:v>
                </c:pt>
                <c:pt idx="116">
                  <c:v>6.9685039370078752E-5</c:v>
                </c:pt>
                <c:pt idx="117">
                  <c:v>6.9685039370078752E-5</c:v>
                </c:pt>
                <c:pt idx="118">
                  <c:v>6.9291338582677165E-5</c:v>
                </c:pt>
                <c:pt idx="119">
                  <c:v>6.9291338582677165E-5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820-44FF-B3BF-82963C1F5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4 - NW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5FB-4AE4-BFC8-1FC0E5C054CA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FB-4AE4-BFC8-1FC0E5C054CA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FB-4AE4-BFC8-1FC0E5C054CA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FB-4AE4-BFC8-1FC0E5C054CA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5FB-4AE4-BFC8-1FC0E5C054CA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5FB-4AE4-BFC8-1FC0E5C054CA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5FB-4AE4-BFC8-1FC0E5C054CA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5FB-4AE4-BFC8-1FC0E5C054CA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5FB-4AE4-BFC8-1FC0E5C054CA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P4_UB!$A$7:$A$126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P4_UB!$F$7:$F$126</c:f>
              <c:numCache>
                <c:formatCode>0.00E+00</c:formatCode>
                <c:ptCount val="120"/>
                <c:pt idx="0">
                  <c:v>1.4566929133858269E-8</c:v>
                </c:pt>
                <c:pt idx="1">
                  <c:v>5.8267716535433076E-8</c:v>
                </c:pt>
                <c:pt idx="2">
                  <c:v>1.3188976377952756E-7</c:v>
                </c:pt>
                <c:pt idx="3">
                  <c:v>2.3543307086614172E-7</c:v>
                </c:pt>
                <c:pt idx="4">
                  <c:v>3.7047244094488189E-7</c:v>
                </c:pt>
                <c:pt idx="5">
                  <c:v>5.3937007874015757E-7</c:v>
                </c:pt>
                <c:pt idx="6">
                  <c:v>7.4015748031496067E-7</c:v>
                </c:pt>
                <c:pt idx="7">
                  <c:v>9.7637795275590548E-7</c:v>
                </c:pt>
                <c:pt idx="8">
                  <c:v>1.251968503937008E-6</c:v>
                </c:pt>
                <c:pt idx="9">
                  <c:v>1.5669291338582677E-6</c:v>
                </c:pt>
                <c:pt idx="10">
                  <c:v>1.9251968503937009E-6</c:v>
                </c:pt>
                <c:pt idx="11">
                  <c:v>2.3267716535433071E-6</c:v>
                </c:pt>
                <c:pt idx="12">
                  <c:v>2.7834645669291343E-6</c:v>
                </c:pt>
                <c:pt idx="13">
                  <c:v>3.2913385826771657E-6</c:v>
                </c:pt>
                <c:pt idx="14">
                  <c:v>3.8582677165354334E-6</c:v>
                </c:pt>
                <c:pt idx="15">
                  <c:v>4.4881889763779532E-6</c:v>
                </c:pt>
                <c:pt idx="16">
                  <c:v>5.1968503937007869E-6</c:v>
                </c:pt>
                <c:pt idx="17">
                  <c:v>5.9842519685039379E-6</c:v>
                </c:pt>
                <c:pt idx="18">
                  <c:v>6.811023622047245E-6</c:v>
                </c:pt>
                <c:pt idx="19">
                  <c:v>7.7952755905511808E-6</c:v>
                </c:pt>
                <c:pt idx="20">
                  <c:v>8.8582677165354338E-6</c:v>
                </c:pt>
                <c:pt idx="21">
                  <c:v>1.0039370078740159E-5</c:v>
                </c:pt>
                <c:pt idx="22">
                  <c:v>1.1338582677165356E-5</c:v>
                </c:pt>
                <c:pt idx="23">
                  <c:v>1.2795275590551182E-5</c:v>
                </c:pt>
                <c:pt idx="24">
                  <c:v>1.4448818897637795E-5</c:v>
                </c:pt>
                <c:pt idx="25">
                  <c:v>1.6259842519685042E-5</c:v>
                </c:pt>
                <c:pt idx="26">
                  <c:v>1.8346456692913386E-5</c:v>
                </c:pt>
                <c:pt idx="27">
                  <c:v>2.0708661417322837E-5</c:v>
                </c:pt>
                <c:pt idx="28">
                  <c:v>2.3346456692913385E-5</c:v>
                </c:pt>
                <c:pt idx="29">
                  <c:v>2.6377952755905513E-5</c:v>
                </c:pt>
                <c:pt idx="30">
                  <c:v>2.9803149606299214E-5</c:v>
                </c:pt>
                <c:pt idx="31">
                  <c:v>3.3740157480314961E-5</c:v>
                </c:pt>
                <c:pt idx="32">
                  <c:v>3.826771653543307E-5</c:v>
                </c:pt>
                <c:pt idx="33">
                  <c:v>4.3307086614173235E-5</c:v>
                </c:pt>
                <c:pt idx="34">
                  <c:v>4.9606299212598429E-5</c:v>
                </c:pt>
                <c:pt idx="35">
                  <c:v>5.6299212598425204E-5</c:v>
                </c:pt>
                <c:pt idx="36">
                  <c:v>6.4173228346456703E-5</c:v>
                </c:pt>
                <c:pt idx="37">
                  <c:v>7.2834645669291349E-5</c:v>
                </c:pt>
                <c:pt idx="38">
                  <c:v>8.2283464566929127E-5</c:v>
                </c:pt>
                <c:pt idx="39">
                  <c:v>9.2519685039370092E-5</c:v>
                </c:pt>
                <c:pt idx="40">
                  <c:v>1.019685039370079E-4</c:v>
                </c:pt>
                <c:pt idx="41">
                  <c:v>1.1023622047244096E-4</c:v>
                </c:pt>
                <c:pt idx="42">
                  <c:v>1.1614173228346458E-4</c:v>
                </c:pt>
                <c:pt idx="43">
                  <c:v>1.1968503937007875E-4</c:v>
                </c:pt>
                <c:pt idx="44">
                  <c:v>1.2007874015748033E-4</c:v>
                </c:pt>
                <c:pt idx="45">
                  <c:v>1.1850393700787403E-4</c:v>
                </c:pt>
                <c:pt idx="46">
                  <c:v>1.1535433070866142E-4</c:v>
                </c:pt>
                <c:pt idx="47">
                  <c:v>1.1141732283464567E-4</c:v>
                </c:pt>
                <c:pt idx="48">
                  <c:v>1.0748031496062993E-4</c:v>
                </c:pt>
                <c:pt idx="49">
                  <c:v>1.031496062992126E-4</c:v>
                </c:pt>
                <c:pt idx="50">
                  <c:v>9.9212598425196859E-5</c:v>
                </c:pt>
                <c:pt idx="51">
                  <c:v>9.5669291338582675E-5</c:v>
                </c:pt>
                <c:pt idx="52">
                  <c:v>9.2519685039370092E-5</c:v>
                </c:pt>
                <c:pt idx="53">
                  <c:v>8.9370078740157481E-5</c:v>
                </c:pt>
                <c:pt idx="54">
                  <c:v>8.7007874015748043E-5</c:v>
                </c:pt>
                <c:pt idx="55">
                  <c:v>8.4645669291338592E-5</c:v>
                </c:pt>
                <c:pt idx="56">
                  <c:v>8.2677165354330713E-5</c:v>
                </c:pt>
                <c:pt idx="57">
                  <c:v>8.1102362204724422E-5</c:v>
                </c:pt>
                <c:pt idx="58">
                  <c:v>7.9921259842519689E-5</c:v>
                </c:pt>
                <c:pt idx="59">
                  <c:v>7.874015748031497E-5</c:v>
                </c:pt>
                <c:pt idx="60">
                  <c:v>7.7559055118110252E-5</c:v>
                </c:pt>
                <c:pt idx="61">
                  <c:v>7.6771653543307092E-5</c:v>
                </c:pt>
                <c:pt idx="62">
                  <c:v>7.5984251968503946E-5</c:v>
                </c:pt>
                <c:pt idx="63">
                  <c:v>7.559055118110236E-5</c:v>
                </c:pt>
                <c:pt idx="64">
                  <c:v>7.5196850393700787E-5</c:v>
                </c:pt>
                <c:pt idx="65">
                  <c:v>7.5196850393700787E-5</c:v>
                </c:pt>
                <c:pt idx="66">
                  <c:v>7.5196850393700787E-5</c:v>
                </c:pt>
                <c:pt idx="67">
                  <c:v>7.5196850393700787E-5</c:v>
                </c:pt>
                <c:pt idx="68">
                  <c:v>7.5196850393700787E-5</c:v>
                </c:pt>
                <c:pt idx="69">
                  <c:v>7.559055118110236E-5</c:v>
                </c:pt>
                <c:pt idx="70">
                  <c:v>7.5984251968503946E-5</c:v>
                </c:pt>
                <c:pt idx="71">
                  <c:v>7.6377952755905519E-5</c:v>
                </c:pt>
                <c:pt idx="72">
                  <c:v>7.6771653543307092E-5</c:v>
                </c:pt>
                <c:pt idx="73">
                  <c:v>7.7165354330708665E-5</c:v>
                </c:pt>
                <c:pt idx="74">
                  <c:v>7.7952755905511811E-5</c:v>
                </c:pt>
                <c:pt idx="75">
                  <c:v>7.874015748031497E-5</c:v>
                </c:pt>
                <c:pt idx="76">
                  <c:v>7.9527559055118116E-5</c:v>
                </c:pt>
                <c:pt idx="77">
                  <c:v>8.0314960629921276E-5</c:v>
                </c:pt>
                <c:pt idx="78">
                  <c:v>8.1102362204724422E-5</c:v>
                </c:pt>
                <c:pt idx="79">
                  <c:v>8.1889763779527554E-5</c:v>
                </c:pt>
                <c:pt idx="80">
                  <c:v>8.30708661417323E-5</c:v>
                </c:pt>
                <c:pt idx="81">
                  <c:v>8.3858267716535432E-5</c:v>
                </c:pt>
                <c:pt idx="82">
                  <c:v>8.4251968503937005E-5</c:v>
                </c:pt>
                <c:pt idx="83">
                  <c:v>8.5039370078740165E-5</c:v>
                </c:pt>
                <c:pt idx="84">
                  <c:v>8.5433070866141738E-5</c:v>
                </c:pt>
                <c:pt idx="85">
                  <c:v>8.5826771653543311E-5</c:v>
                </c:pt>
                <c:pt idx="86">
                  <c:v>8.5433070866141738E-5</c:v>
                </c:pt>
                <c:pt idx="87">
                  <c:v>8.5039370078740165E-5</c:v>
                </c:pt>
                <c:pt idx="88">
                  <c:v>8.4645669291338592E-5</c:v>
                </c:pt>
                <c:pt idx="89">
                  <c:v>8.30708661417323E-5</c:v>
                </c:pt>
                <c:pt idx="90">
                  <c:v>8.1496062992125995E-5</c:v>
                </c:pt>
                <c:pt idx="91">
                  <c:v>7.9527559055118116E-5</c:v>
                </c:pt>
                <c:pt idx="92">
                  <c:v>7.7165354330708665E-5</c:v>
                </c:pt>
                <c:pt idx="93">
                  <c:v>7.4409448818897641E-5</c:v>
                </c:pt>
                <c:pt idx="94">
                  <c:v>7.1259842519685044E-5</c:v>
                </c:pt>
                <c:pt idx="95">
                  <c:v>6.8110236220472446E-5</c:v>
                </c:pt>
                <c:pt idx="96">
                  <c:v>6.4566929133858276E-5</c:v>
                </c:pt>
                <c:pt idx="97">
                  <c:v>6.1417322834645679E-5</c:v>
                </c:pt>
                <c:pt idx="98">
                  <c:v>5.7874015748031495E-5</c:v>
                </c:pt>
                <c:pt idx="99">
                  <c:v>5.4724409448818898E-5</c:v>
                </c:pt>
                <c:pt idx="100">
                  <c:v>5.1574803149606301E-5</c:v>
                </c:pt>
                <c:pt idx="101">
                  <c:v>4.8818897637795277E-5</c:v>
                </c:pt>
                <c:pt idx="102">
                  <c:v>4.6062992125984253E-5</c:v>
                </c:pt>
                <c:pt idx="103">
                  <c:v>4.3307086614173235E-5</c:v>
                </c:pt>
                <c:pt idx="104">
                  <c:v>4.0944881889763777E-5</c:v>
                </c:pt>
                <c:pt idx="105">
                  <c:v>3.8425196850393705E-5</c:v>
                </c:pt>
                <c:pt idx="106">
                  <c:v>3.625984251968504E-5</c:v>
                </c:pt>
                <c:pt idx="107">
                  <c:v>3.425196850393701E-5</c:v>
                </c:pt>
                <c:pt idx="108">
                  <c:v>3.2401574803149607E-5</c:v>
                </c:pt>
                <c:pt idx="109">
                  <c:v>3.0669291338582674E-5</c:v>
                </c:pt>
                <c:pt idx="110">
                  <c:v>2.905511811023622E-5</c:v>
                </c:pt>
                <c:pt idx="111">
                  <c:v>2.7559055118110239E-5</c:v>
                </c:pt>
                <c:pt idx="112">
                  <c:v>2.6220472440944882E-5</c:v>
                </c:pt>
                <c:pt idx="113">
                  <c:v>2.4921259842519687E-5</c:v>
                </c:pt>
                <c:pt idx="114">
                  <c:v>2.3779527559055117E-5</c:v>
                </c:pt>
                <c:pt idx="115">
                  <c:v>2.2677165354330712E-5</c:v>
                </c:pt>
                <c:pt idx="116">
                  <c:v>2.1653543307086618E-5</c:v>
                </c:pt>
                <c:pt idx="117">
                  <c:v>2.0748031496062992E-5</c:v>
                </c:pt>
                <c:pt idx="118">
                  <c:v>1.984251968503937E-5</c:v>
                </c:pt>
                <c:pt idx="119">
                  <c:v>1.9055118110236225E-5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5FB-4AE4-BFC8-1FC0E5C054CA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P4_UB!$A$7:$A$126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P4_UB!$G$7:$G$126</c:f>
              <c:numCache>
                <c:formatCode>0.00E+00</c:formatCode>
                <c:ptCount val="120"/>
                <c:pt idx="0">
                  <c:v>1.3385826771653545E-9</c:v>
                </c:pt>
                <c:pt idx="1">
                  <c:v>5.354330708661418E-9</c:v>
                </c:pt>
                <c:pt idx="2">
                  <c:v>1.2086614173228348E-8</c:v>
                </c:pt>
                <c:pt idx="3">
                  <c:v>2.1614173228346457E-8</c:v>
                </c:pt>
                <c:pt idx="4">
                  <c:v>3.3976377952755911E-8</c:v>
                </c:pt>
                <c:pt idx="5">
                  <c:v>4.9212598425196858E-8</c:v>
                </c:pt>
                <c:pt idx="6">
                  <c:v>6.7716535433070877E-8</c:v>
                </c:pt>
                <c:pt idx="7">
                  <c:v>8.8976377952755914E-8</c:v>
                </c:pt>
                <c:pt idx="8">
                  <c:v>1.1377952755905513E-7</c:v>
                </c:pt>
                <c:pt idx="9">
                  <c:v>1.425196850393701E-7</c:v>
                </c:pt>
                <c:pt idx="10">
                  <c:v>1.7440944881889766E-7</c:v>
                </c:pt>
                <c:pt idx="11">
                  <c:v>2.106299212598425E-7</c:v>
                </c:pt>
                <c:pt idx="12">
                  <c:v>2.5078740157480316E-7</c:v>
                </c:pt>
                <c:pt idx="13">
                  <c:v>2.9527559055118109E-7</c:v>
                </c:pt>
                <c:pt idx="14">
                  <c:v>3.4448818897637803E-7</c:v>
                </c:pt>
                <c:pt idx="15">
                  <c:v>3.9763779527559059E-7</c:v>
                </c:pt>
                <c:pt idx="16">
                  <c:v>4.6062992125984254E-7</c:v>
                </c:pt>
                <c:pt idx="17">
                  <c:v>5.2362204724409455E-7</c:v>
                </c:pt>
                <c:pt idx="18">
                  <c:v>5.9842519685039375E-7</c:v>
                </c:pt>
                <c:pt idx="19">
                  <c:v>6.7716535433070861E-7</c:v>
                </c:pt>
                <c:pt idx="20">
                  <c:v>7.6377952755905504E-7</c:v>
                </c:pt>
                <c:pt idx="21">
                  <c:v>8.6220472440944891E-7</c:v>
                </c:pt>
                <c:pt idx="22">
                  <c:v>9.6456692913385835E-7</c:v>
                </c:pt>
                <c:pt idx="23">
                  <c:v>1.0787401574803151E-6</c:v>
                </c:pt>
                <c:pt idx="24">
                  <c:v>1.2047244094488193E-6</c:v>
                </c:pt>
                <c:pt idx="25">
                  <c:v>1.3425196850393703E-6</c:v>
                </c:pt>
                <c:pt idx="26">
                  <c:v>1.4921259842519685E-6</c:v>
                </c:pt>
                <c:pt idx="27">
                  <c:v>1.65748031496063E-6</c:v>
                </c:pt>
                <c:pt idx="28">
                  <c:v>1.8385826771653546E-6</c:v>
                </c:pt>
                <c:pt idx="29">
                  <c:v>2.0433070866141735E-6</c:v>
                </c:pt>
                <c:pt idx="30">
                  <c:v>2.2637795275590555E-6</c:v>
                </c:pt>
                <c:pt idx="31">
                  <c:v>2.5078740157480313E-6</c:v>
                </c:pt>
                <c:pt idx="32">
                  <c:v>2.7834645669291343E-6</c:v>
                </c:pt>
                <c:pt idx="33">
                  <c:v>3.082677165354331E-6</c:v>
                </c:pt>
                <c:pt idx="34">
                  <c:v>3.4173228346456694E-6</c:v>
                </c:pt>
                <c:pt idx="35">
                  <c:v>3.7874015748031502E-6</c:v>
                </c:pt>
                <c:pt idx="36">
                  <c:v>4.2125984251968503E-6</c:v>
                </c:pt>
                <c:pt idx="37">
                  <c:v>4.6456692913385827E-6</c:v>
                </c:pt>
                <c:pt idx="38">
                  <c:v>5.1181102362204721E-6</c:v>
                </c:pt>
                <c:pt idx="39">
                  <c:v>5.6299212598425202E-6</c:v>
                </c:pt>
                <c:pt idx="40">
                  <c:v>6.1811023622047244E-6</c:v>
                </c:pt>
                <c:pt idx="41">
                  <c:v>6.7322834645669302E-6</c:v>
                </c:pt>
                <c:pt idx="42">
                  <c:v>7.2440944881889766E-6</c:v>
                </c:pt>
                <c:pt idx="43">
                  <c:v>7.7165354330708668E-6</c:v>
                </c:pt>
                <c:pt idx="44">
                  <c:v>8.1496062992125984E-6</c:v>
                </c:pt>
                <c:pt idx="45">
                  <c:v>8.4645669291338592E-6</c:v>
                </c:pt>
                <c:pt idx="46">
                  <c:v>8.7007874015748043E-6</c:v>
                </c:pt>
                <c:pt idx="47">
                  <c:v>8.8188976377952752E-6</c:v>
                </c:pt>
                <c:pt idx="48">
                  <c:v>8.8188976377952752E-6</c:v>
                </c:pt>
                <c:pt idx="49">
                  <c:v>8.7795275590551182E-6</c:v>
                </c:pt>
                <c:pt idx="50">
                  <c:v>8.7007874015748043E-6</c:v>
                </c:pt>
                <c:pt idx="51">
                  <c:v>8.6220472440944887E-6</c:v>
                </c:pt>
                <c:pt idx="52">
                  <c:v>8.5039370078740161E-6</c:v>
                </c:pt>
                <c:pt idx="53">
                  <c:v>8.3858267716535436E-6</c:v>
                </c:pt>
                <c:pt idx="54">
                  <c:v>8.3070866141732297E-6</c:v>
                </c:pt>
                <c:pt idx="55">
                  <c:v>8.267716535433071E-6</c:v>
                </c:pt>
                <c:pt idx="56">
                  <c:v>8.267716535433071E-6</c:v>
                </c:pt>
                <c:pt idx="57">
                  <c:v>8.267716535433071E-6</c:v>
                </c:pt>
                <c:pt idx="58">
                  <c:v>8.3464566929133866E-6</c:v>
                </c:pt>
                <c:pt idx="59">
                  <c:v>8.4645669291338592E-6</c:v>
                </c:pt>
                <c:pt idx="60">
                  <c:v>8.6614173228346457E-6</c:v>
                </c:pt>
                <c:pt idx="61">
                  <c:v>8.8582677165354338E-6</c:v>
                </c:pt>
                <c:pt idx="62">
                  <c:v>9.0944881889763773E-6</c:v>
                </c:pt>
                <c:pt idx="63">
                  <c:v>9.409448818897638E-6</c:v>
                </c:pt>
                <c:pt idx="64">
                  <c:v>9.7637795275590557E-6</c:v>
                </c:pt>
                <c:pt idx="65">
                  <c:v>1.015748031496063E-5</c:v>
                </c:pt>
                <c:pt idx="66">
                  <c:v>1.0590551181102362E-5</c:v>
                </c:pt>
                <c:pt idx="67">
                  <c:v>1.1023622047244097E-5</c:v>
                </c:pt>
                <c:pt idx="68">
                  <c:v>1.1535433070866141E-5</c:v>
                </c:pt>
                <c:pt idx="69">
                  <c:v>1.2086614173228347E-5</c:v>
                </c:pt>
                <c:pt idx="70">
                  <c:v>1.2716535433070868E-5</c:v>
                </c:pt>
                <c:pt idx="71">
                  <c:v>1.3346456692913386E-5</c:v>
                </c:pt>
                <c:pt idx="72">
                  <c:v>1.4015748031496065E-5</c:v>
                </c:pt>
                <c:pt idx="73">
                  <c:v>1.4724409448818898E-5</c:v>
                </c:pt>
                <c:pt idx="74">
                  <c:v>1.5433070866141734E-5</c:v>
                </c:pt>
                <c:pt idx="75">
                  <c:v>1.6220472440944883E-5</c:v>
                </c:pt>
                <c:pt idx="76">
                  <c:v>1.7047244094488191E-5</c:v>
                </c:pt>
                <c:pt idx="77">
                  <c:v>1.7874015748031499E-5</c:v>
                </c:pt>
                <c:pt idx="78">
                  <c:v>1.8779527559055121E-5</c:v>
                </c:pt>
                <c:pt idx="79">
                  <c:v>1.9685039370078743E-5</c:v>
                </c:pt>
                <c:pt idx="80">
                  <c:v>2.062992125984252E-5</c:v>
                </c:pt>
                <c:pt idx="81">
                  <c:v>2.1614173228346455E-5</c:v>
                </c:pt>
                <c:pt idx="82">
                  <c:v>2.2637795275590553E-5</c:v>
                </c:pt>
                <c:pt idx="83">
                  <c:v>2.3661417322834651E-5</c:v>
                </c:pt>
                <c:pt idx="84">
                  <c:v>2.4645669291338587E-5</c:v>
                </c:pt>
                <c:pt idx="85">
                  <c:v>2.5669291338582675E-5</c:v>
                </c:pt>
                <c:pt idx="86">
                  <c:v>2.6614173228346455E-5</c:v>
                </c:pt>
                <c:pt idx="87">
                  <c:v>2.7480314960629925E-5</c:v>
                </c:pt>
                <c:pt idx="88">
                  <c:v>2.8228346456692912E-5</c:v>
                </c:pt>
                <c:pt idx="89">
                  <c:v>2.8897637795275589E-5</c:v>
                </c:pt>
                <c:pt idx="90">
                  <c:v>2.9370078740157483E-5</c:v>
                </c:pt>
                <c:pt idx="91">
                  <c:v>2.9724409448818897E-5</c:v>
                </c:pt>
                <c:pt idx="92">
                  <c:v>2.9881889763779525E-5</c:v>
                </c:pt>
                <c:pt idx="93">
                  <c:v>2.9842519685039373E-5</c:v>
                </c:pt>
                <c:pt idx="94">
                  <c:v>2.9685039370078742E-5</c:v>
                </c:pt>
                <c:pt idx="95">
                  <c:v>2.9370078740157483E-5</c:v>
                </c:pt>
                <c:pt idx="96">
                  <c:v>2.8937007874015748E-5</c:v>
                </c:pt>
                <c:pt idx="97">
                  <c:v>2.8385826771653544E-5</c:v>
                </c:pt>
                <c:pt idx="98">
                  <c:v>2.7795275590551184E-5</c:v>
                </c:pt>
                <c:pt idx="99">
                  <c:v>2.7125984251968504E-5</c:v>
                </c:pt>
                <c:pt idx="100">
                  <c:v>2.6456692913385827E-5</c:v>
                </c:pt>
                <c:pt idx="101">
                  <c:v>2.578740157480315E-5</c:v>
                </c:pt>
                <c:pt idx="102">
                  <c:v>2.5118110236220474E-5</c:v>
                </c:pt>
                <c:pt idx="103">
                  <c:v>2.4488188976377956E-5</c:v>
                </c:pt>
                <c:pt idx="104">
                  <c:v>2.3818897637795279E-5</c:v>
                </c:pt>
                <c:pt idx="105">
                  <c:v>2.3228346456692913E-5</c:v>
                </c:pt>
                <c:pt idx="106">
                  <c:v>2.2637795275590553E-5</c:v>
                </c:pt>
                <c:pt idx="107">
                  <c:v>2.2047244094488194E-5</c:v>
                </c:pt>
                <c:pt idx="108">
                  <c:v>2.1535433070866142E-5</c:v>
                </c:pt>
                <c:pt idx="109">
                  <c:v>2.1023622047244096E-5</c:v>
                </c:pt>
                <c:pt idx="110">
                  <c:v>2.0551181102362206E-5</c:v>
                </c:pt>
                <c:pt idx="111">
                  <c:v>2.0118110236220471E-5</c:v>
                </c:pt>
                <c:pt idx="112">
                  <c:v>1.9685039370078743E-5</c:v>
                </c:pt>
                <c:pt idx="113">
                  <c:v>1.9291338582677166E-5</c:v>
                </c:pt>
                <c:pt idx="114">
                  <c:v>1.889763779527559E-5</c:v>
                </c:pt>
                <c:pt idx="115">
                  <c:v>1.8543307086614176E-5</c:v>
                </c:pt>
                <c:pt idx="116">
                  <c:v>1.8188976377952755E-5</c:v>
                </c:pt>
                <c:pt idx="117">
                  <c:v>1.7874015748031499E-5</c:v>
                </c:pt>
                <c:pt idx="118">
                  <c:v>1.7559055118110236E-5</c:v>
                </c:pt>
                <c:pt idx="119">
                  <c:v>1.7283464566929136E-5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5FB-4AE4-BFC8-1FC0E5C054CA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P4_UB!$A$7:$A$126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P4_UB!$H$7:$H$126</c:f>
              <c:numCache>
                <c:formatCode>0.00E+00</c:formatCode>
                <c:ptCount val="120"/>
                <c:pt idx="0">
                  <c:v>1.3228346456692913E-8</c:v>
                </c:pt>
                <c:pt idx="1">
                  <c:v>5.2755905511811021E-8</c:v>
                </c:pt>
                <c:pt idx="2">
                  <c:v>1.188976377952756E-7</c:v>
                </c:pt>
                <c:pt idx="3">
                  <c:v>2.114173228346457E-7</c:v>
                </c:pt>
                <c:pt idx="4">
                  <c:v>3.3031496062992124E-7</c:v>
                </c:pt>
                <c:pt idx="5">
                  <c:v>4.7637795275590556E-7</c:v>
                </c:pt>
                <c:pt idx="6">
                  <c:v>6.4960629921259836E-7</c:v>
                </c:pt>
                <c:pt idx="7">
                  <c:v>8.5433070866141735E-7</c:v>
                </c:pt>
                <c:pt idx="8">
                  <c:v>1.0866141732283465E-6</c:v>
                </c:pt>
                <c:pt idx="9">
                  <c:v>1.3503937007874017E-6</c:v>
                </c:pt>
                <c:pt idx="10">
                  <c:v>1.6496062992125984E-6</c:v>
                </c:pt>
                <c:pt idx="11">
                  <c:v>1.9842519685039372E-6</c:v>
                </c:pt>
                <c:pt idx="12">
                  <c:v>2.3543307086614176E-6</c:v>
                </c:pt>
                <c:pt idx="13">
                  <c:v>2.7598425196850392E-6</c:v>
                </c:pt>
                <c:pt idx="14">
                  <c:v>3.2125984251968509E-6</c:v>
                </c:pt>
                <c:pt idx="15">
                  <c:v>3.7047244094488188E-6</c:v>
                </c:pt>
                <c:pt idx="16">
                  <c:v>4.2519685039370081E-6</c:v>
                </c:pt>
                <c:pt idx="17">
                  <c:v>4.8425196850393709E-6</c:v>
                </c:pt>
                <c:pt idx="18">
                  <c:v>5.4724409448818898E-6</c:v>
                </c:pt>
                <c:pt idx="19">
                  <c:v>6.1811023622047244E-6</c:v>
                </c:pt>
                <c:pt idx="20">
                  <c:v>6.9291338582677167E-6</c:v>
                </c:pt>
                <c:pt idx="21">
                  <c:v>7.7952755905511808E-6</c:v>
                </c:pt>
                <c:pt idx="22">
                  <c:v>8.7007874015748043E-6</c:v>
                </c:pt>
                <c:pt idx="23">
                  <c:v>9.6850393700787418E-6</c:v>
                </c:pt>
                <c:pt idx="24">
                  <c:v>1.078740157480315E-5</c:v>
                </c:pt>
                <c:pt idx="25">
                  <c:v>1.2007874015748031E-5</c:v>
                </c:pt>
                <c:pt idx="26">
                  <c:v>1.3346456692913386E-5</c:v>
                </c:pt>
                <c:pt idx="27">
                  <c:v>1.4803149606299212E-5</c:v>
                </c:pt>
                <c:pt idx="28">
                  <c:v>1.6456692913385828E-5</c:v>
                </c:pt>
                <c:pt idx="29">
                  <c:v>1.8307086614173227E-5</c:v>
                </c:pt>
                <c:pt idx="30">
                  <c:v>2.0354330708661419E-5</c:v>
                </c:pt>
                <c:pt idx="31">
                  <c:v>2.2716535433070871E-5</c:v>
                </c:pt>
                <c:pt idx="32">
                  <c:v>2.5433070866141736E-5</c:v>
                </c:pt>
                <c:pt idx="33">
                  <c:v>2.8543307086614178E-5</c:v>
                </c:pt>
                <c:pt idx="34">
                  <c:v>3.2165354330708662E-5</c:v>
                </c:pt>
                <c:pt idx="35">
                  <c:v>3.6377952755905509E-5</c:v>
                </c:pt>
                <c:pt idx="36">
                  <c:v>4.1338582677165357E-5</c:v>
                </c:pt>
                <c:pt idx="37">
                  <c:v>4.6850393700787405E-5</c:v>
                </c:pt>
                <c:pt idx="38">
                  <c:v>5.3149606299212606E-5</c:v>
                </c:pt>
                <c:pt idx="39">
                  <c:v>6.0236220472440947E-5</c:v>
                </c:pt>
                <c:pt idx="40">
                  <c:v>6.7322834645669287E-5</c:v>
                </c:pt>
                <c:pt idx="41">
                  <c:v>7.4409448818897641E-5</c:v>
                </c:pt>
                <c:pt idx="42">
                  <c:v>8.0708661417322835E-5</c:v>
                </c:pt>
                <c:pt idx="43">
                  <c:v>8.5039370078740165E-5</c:v>
                </c:pt>
                <c:pt idx="44">
                  <c:v>8.8188976377952775E-5</c:v>
                </c:pt>
                <c:pt idx="45">
                  <c:v>8.9370078740157481E-5</c:v>
                </c:pt>
                <c:pt idx="46">
                  <c:v>8.9370078740157481E-5</c:v>
                </c:pt>
                <c:pt idx="47">
                  <c:v>8.8188976377952775E-5</c:v>
                </c:pt>
                <c:pt idx="48">
                  <c:v>8.661417322834647E-5</c:v>
                </c:pt>
                <c:pt idx="49">
                  <c:v>8.4645669291338592E-5</c:v>
                </c:pt>
                <c:pt idx="50">
                  <c:v>8.2283464566929127E-5</c:v>
                </c:pt>
                <c:pt idx="51">
                  <c:v>7.9921259842519689E-5</c:v>
                </c:pt>
                <c:pt idx="52">
                  <c:v>7.7559055118110252E-5</c:v>
                </c:pt>
                <c:pt idx="53">
                  <c:v>7.4803149606299214E-5</c:v>
                </c:pt>
                <c:pt idx="54">
                  <c:v>7.2440944881889776E-5</c:v>
                </c:pt>
                <c:pt idx="55">
                  <c:v>7.0078740157480311E-5</c:v>
                </c:pt>
                <c:pt idx="56">
                  <c:v>6.7716535433070873E-5</c:v>
                </c:pt>
                <c:pt idx="57">
                  <c:v>6.6141732283464568E-5</c:v>
                </c:pt>
                <c:pt idx="58">
                  <c:v>6.4173228346456703E-5</c:v>
                </c:pt>
                <c:pt idx="59">
                  <c:v>6.2598425196850398E-5</c:v>
                </c:pt>
                <c:pt idx="60">
                  <c:v>6.1417322834645679E-5</c:v>
                </c:pt>
                <c:pt idx="61">
                  <c:v>6.0236220472440947E-5</c:v>
                </c:pt>
                <c:pt idx="62">
                  <c:v>5.9448818897637794E-5</c:v>
                </c:pt>
                <c:pt idx="63">
                  <c:v>5.8661417322834648E-5</c:v>
                </c:pt>
                <c:pt idx="64">
                  <c:v>5.7874015748031495E-5</c:v>
                </c:pt>
                <c:pt idx="65">
                  <c:v>5.7480314960629922E-5</c:v>
                </c:pt>
                <c:pt idx="66">
                  <c:v>5.7086614173228356E-5</c:v>
                </c:pt>
                <c:pt idx="67">
                  <c:v>5.7086614173228356E-5</c:v>
                </c:pt>
                <c:pt idx="68">
                  <c:v>5.7086614173228356E-5</c:v>
                </c:pt>
                <c:pt idx="69">
                  <c:v>5.7086614173228356E-5</c:v>
                </c:pt>
                <c:pt idx="70">
                  <c:v>5.7086614173228356E-5</c:v>
                </c:pt>
                <c:pt idx="71">
                  <c:v>5.7086614173228356E-5</c:v>
                </c:pt>
                <c:pt idx="72">
                  <c:v>5.7086614173228356E-5</c:v>
                </c:pt>
                <c:pt idx="73">
                  <c:v>5.7086614173228356E-5</c:v>
                </c:pt>
                <c:pt idx="74">
                  <c:v>5.7480314960629922E-5</c:v>
                </c:pt>
                <c:pt idx="75">
                  <c:v>5.7480314960629922E-5</c:v>
                </c:pt>
                <c:pt idx="76">
                  <c:v>5.7874015748031495E-5</c:v>
                </c:pt>
                <c:pt idx="77">
                  <c:v>5.7874015748031495E-5</c:v>
                </c:pt>
                <c:pt idx="78">
                  <c:v>5.8267716535433075E-5</c:v>
                </c:pt>
                <c:pt idx="79">
                  <c:v>5.8661417322834648E-5</c:v>
                </c:pt>
                <c:pt idx="80">
                  <c:v>5.9448818897637794E-5</c:v>
                </c:pt>
                <c:pt idx="81">
                  <c:v>5.9842519685039374E-5</c:v>
                </c:pt>
                <c:pt idx="82">
                  <c:v>6.0629921259842526E-5</c:v>
                </c:pt>
                <c:pt idx="83">
                  <c:v>6.1417322834645679E-5</c:v>
                </c:pt>
                <c:pt idx="84">
                  <c:v>6.2204724409448811E-5</c:v>
                </c:pt>
                <c:pt idx="85">
                  <c:v>6.2992125984251971E-5</c:v>
                </c:pt>
                <c:pt idx="86">
                  <c:v>6.4173228346456703E-5</c:v>
                </c:pt>
                <c:pt idx="87">
                  <c:v>6.4960629921259849E-5</c:v>
                </c:pt>
                <c:pt idx="88">
                  <c:v>6.5748031496062995E-5</c:v>
                </c:pt>
                <c:pt idx="89">
                  <c:v>6.6929133858267728E-5</c:v>
                </c:pt>
                <c:pt idx="90">
                  <c:v>6.7716535433070873E-5</c:v>
                </c:pt>
                <c:pt idx="91">
                  <c:v>6.8110236220472446E-5</c:v>
                </c:pt>
                <c:pt idx="92">
                  <c:v>6.8897637795275592E-5</c:v>
                </c:pt>
                <c:pt idx="93">
                  <c:v>6.9685039370078752E-5</c:v>
                </c:pt>
                <c:pt idx="94">
                  <c:v>7.0078740157480311E-5</c:v>
                </c:pt>
                <c:pt idx="95">
                  <c:v>7.0472440944881884E-5</c:v>
                </c:pt>
                <c:pt idx="96">
                  <c:v>7.0866141732283471E-5</c:v>
                </c:pt>
                <c:pt idx="97">
                  <c:v>7.0866141732283471E-5</c:v>
                </c:pt>
                <c:pt idx="98">
                  <c:v>7.1259842519685044E-5</c:v>
                </c:pt>
                <c:pt idx="99">
                  <c:v>7.1259842519685044E-5</c:v>
                </c:pt>
                <c:pt idx="100">
                  <c:v>7.1653543307086617E-5</c:v>
                </c:pt>
                <c:pt idx="101">
                  <c:v>7.1653543307086617E-5</c:v>
                </c:pt>
                <c:pt idx="102">
                  <c:v>7.1653543307086617E-5</c:v>
                </c:pt>
                <c:pt idx="103">
                  <c:v>7.1653543307086617E-5</c:v>
                </c:pt>
                <c:pt idx="104">
                  <c:v>7.1653543307086617E-5</c:v>
                </c:pt>
                <c:pt idx="105">
                  <c:v>7.1653543307086617E-5</c:v>
                </c:pt>
                <c:pt idx="106">
                  <c:v>7.1653543307086617E-5</c:v>
                </c:pt>
                <c:pt idx="107">
                  <c:v>7.1259842519685044E-5</c:v>
                </c:pt>
                <c:pt idx="108">
                  <c:v>7.1259842519685044E-5</c:v>
                </c:pt>
                <c:pt idx="109">
                  <c:v>7.1259842519685044E-5</c:v>
                </c:pt>
                <c:pt idx="110">
                  <c:v>7.0866141732283471E-5</c:v>
                </c:pt>
                <c:pt idx="111">
                  <c:v>7.0866141732283471E-5</c:v>
                </c:pt>
                <c:pt idx="112">
                  <c:v>7.0472440944881884E-5</c:v>
                </c:pt>
                <c:pt idx="113">
                  <c:v>7.0472440944881884E-5</c:v>
                </c:pt>
                <c:pt idx="114">
                  <c:v>7.0078740157480311E-5</c:v>
                </c:pt>
                <c:pt idx="115">
                  <c:v>7.0078740157480311E-5</c:v>
                </c:pt>
                <c:pt idx="116">
                  <c:v>6.9685039370078752E-5</c:v>
                </c:pt>
                <c:pt idx="117">
                  <c:v>6.9685039370078752E-5</c:v>
                </c:pt>
                <c:pt idx="118">
                  <c:v>6.9291338582677165E-5</c:v>
                </c:pt>
                <c:pt idx="119">
                  <c:v>6.9291338582677165E-5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5FB-4AE4-BFC8-1FC0E5C054CA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D5FB-4AE4-BFC8-1FC0E5C054CA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5.5551181102362203E-4</c:v>
                </c:pt>
                <c:pt idx="1">
                  <c:v>5.5551181102362203E-4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5FB-4AE4-BFC8-1FC0E5C05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BD-4F4A-99DD-39D870605ACD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BD-4F4A-99DD-39D870605ACD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BD-4F4A-99DD-39D870605ACD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BD-4F4A-99DD-39D870605ACD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BD-4F4A-99DD-39D870605ACD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BD-4F4A-99DD-39D870605ACD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8BD-4F4A-99DD-39D870605ACD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8BD-4F4A-99DD-39D870605ACD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8BD-4F4A-99DD-39D870605ACD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8BD-4F4A-99DD-39D870605ACD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8BD-4F4A-99DD-39D870605ACD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8BD-4F4A-99DD-39D870605ACD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8BD-4F4A-99DD-39D870605ACD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8BD-4F4A-99DD-39D870605ACD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8BD-4F4A-99DD-39D870605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F4-4C42-B954-2780ED3DC2A0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F4-4C42-B954-2780ED3DC2A0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F4-4C42-B954-2780ED3DC2A0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F4-4C42-B954-2780ED3DC2A0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F4-4C42-B954-2780ED3DC2A0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4F4-4C42-B954-2780ED3DC2A0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4F4-4C42-B954-2780ED3DC2A0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4F4-4C42-B954-2780ED3DC2A0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4F4-4C42-B954-2780ED3DC2A0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4F4-4C42-B954-2780ED3DC2A0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4F4-4C42-B954-2780ED3DC2A0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P5_UB!$A$7:$A$126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P5_UB!$F$7:$F$126</c:f>
              <c:numCache>
                <c:formatCode>0.00E+00</c:formatCode>
                <c:ptCount val="120"/>
                <c:pt idx="0">
                  <c:v>1.4566929133858269E-8</c:v>
                </c:pt>
                <c:pt idx="1">
                  <c:v>5.8267716535433076E-8</c:v>
                </c:pt>
                <c:pt idx="2">
                  <c:v>1.3188976377952756E-7</c:v>
                </c:pt>
                <c:pt idx="3">
                  <c:v>2.3543307086614172E-7</c:v>
                </c:pt>
                <c:pt idx="4">
                  <c:v>3.7047244094488189E-7</c:v>
                </c:pt>
                <c:pt idx="5">
                  <c:v>5.3937007874015757E-7</c:v>
                </c:pt>
                <c:pt idx="6">
                  <c:v>7.4015748031496067E-7</c:v>
                </c:pt>
                <c:pt idx="7">
                  <c:v>9.7637795275590548E-7</c:v>
                </c:pt>
                <c:pt idx="8">
                  <c:v>1.251968503937008E-6</c:v>
                </c:pt>
                <c:pt idx="9">
                  <c:v>1.5669291338582677E-6</c:v>
                </c:pt>
                <c:pt idx="10">
                  <c:v>1.9251968503937009E-6</c:v>
                </c:pt>
                <c:pt idx="11">
                  <c:v>2.3267716535433071E-6</c:v>
                </c:pt>
                <c:pt idx="12">
                  <c:v>2.7834645669291343E-6</c:v>
                </c:pt>
                <c:pt idx="13">
                  <c:v>3.2913385826771657E-6</c:v>
                </c:pt>
                <c:pt idx="14">
                  <c:v>3.8582677165354334E-6</c:v>
                </c:pt>
                <c:pt idx="15">
                  <c:v>4.4881889763779532E-6</c:v>
                </c:pt>
                <c:pt idx="16">
                  <c:v>5.1968503937007869E-6</c:v>
                </c:pt>
                <c:pt idx="17">
                  <c:v>5.9842519685039379E-6</c:v>
                </c:pt>
                <c:pt idx="18">
                  <c:v>6.811023622047245E-6</c:v>
                </c:pt>
                <c:pt idx="19">
                  <c:v>7.7952755905511808E-6</c:v>
                </c:pt>
                <c:pt idx="20">
                  <c:v>8.8582677165354338E-6</c:v>
                </c:pt>
                <c:pt idx="21">
                  <c:v>1.0039370078740159E-5</c:v>
                </c:pt>
                <c:pt idx="22">
                  <c:v>1.1338582677165356E-5</c:v>
                </c:pt>
                <c:pt idx="23">
                  <c:v>1.2795275590551182E-5</c:v>
                </c:pt>
                <c:pt idx="24">
                  <c:v>1.4448818897637795E-5</c:v>
                </c:pt>
                <c:pt idx="25">
                  <c:v>1.6259842519685042E-5</c:v>
                </c:pt>
                <c:pt idx="26">
                  <c:v>1.8346456692913386E-5</c:v>
                </c:pt>
                <c:pt idx="27">
                  <c:v>2.0708661417322837E-5</c:v>
                </c:pt>
                <c:pt idx="28">
                  <c:v>2.3346456692913385E-5</c:v>
                </c:pt>
                <c:pt idx="29">
                  <c:v>2.6377952755905513E-5</c:v>
                </c:pt>
                <c:pt idx="30">
                  <c:v>2.9803149606299214E-5</c:v>
                </c:pt>
                <c:pt idx="31">
                  <c:v>3.3740157480314961E-5</c:v>
                </c:pt>
                <c:pt idx="32">
                  <c:v>3.826771653543307E-5</c:v>
                </c:pt>
                <c:pt idx="33">
                  <c:v>4.3307086614173235E-5</c:v>
                </c:pt>
                <c:pt idx="34">
                  <c:v>4.9606299212598429E-5</c:v>
                </c:pt>
                <c:pt idx="35">
                  <c:v>5.6299212598425204E-5</c:v>
                </c:pt>
                <c:pt idx="36">
                  <c:v>6.4173228346456703E-5</c:v>
                </c:pt>
                <c:pt idx="37">
                  <c:v>7.2834645669291349E-5</c:v>
                </c:pt>
                <c:pt idx="38">
                  <c:v>8.2283464566929127E-5</c:v>
                </c:pt>
                <c:pt idx="39">
                  <c:v>9.2519685039370092E-5</c:v>
                </c:pt>
                <c:pt idx="40">
                  <c:v>1.019685039370079E-4</c:v>
                </c:pt>
                <c:pt idx="41">
                  <c:v>1.1023622047244096E-4</c:v>
                </c:pt>
                <c:pt idx="42">
                  <c:v>1.1614173228346458E-4</c:v>
                </c:pt>
                <c:pt idx="43">
                  <c:v>1.1968503937007875E-4</c:v>
                </c:pt>
                <c:pt idx="44">
                  <c:v>1.2007874015748033E-4</c:v>
                </c:pt>
                <c:pt idx="45">
                  <c:v>1.1850393700787403E-4</c:v>
                </c:pt>
                <c:pt idx="46">
                  <c:v>1.1535433070866142E-4</c:v>
                </c:pt>
                <c:pt idx="47">
                  <c:v>1.1141732283464567E-4</c:v>
                </c:pt>
                <c:pt idx="48">
                  <c:v>1.0748031496062993E-4</c:v>
                </c:pt>
                <c:pt idx="49">
                  <c:v>1.031496062992126E-4</c:v>
                </c:pt>
                <c:pt idx="50">
                  <c:v>9.9212598425196859E-5</c:v>
                </c:pt>
                <c:pt idx="51">
                  <c:v>9.5669291338582675E-5</c:v>
                </c:pt>
                <c:pt idx="52">
                  <c:v>9.2519685039370092E-5</c:v>
                </c:pt>
                <c:pt idx="53">
                  <c:v>8.9370078740157481E-5</c:v>
                </c:pt>
                <c:pt idx="54">
                  <c:v>8.7007874015748043E-5</c:v>
                </c:pt>
                <c:pt idx="55">
                  <c:v>8.4645669291338592E-5</c:v>
                </c:pt>
                <c:pt idx="56">
                  <c:v>8.2677165354330713E-5</c:v>
                </c:pt>
                <c:pt idx="57">
                  <c:v>8.1102362204724422E-5</c:v>
                </c:pt>
                <c:pt idx="58">
                  <c:v>7.9921259842519689E-5</c:v>
                </c:pt>
                <c:pt idx="59">
                  <c:v>7.874015748031497E-5</c:v>
                </c:pt>
                <c:pt idx="60">
                  <c:v>7.7559055118110252E-5</c:v>
                </c:pt>
                <c:pt idx="61">
                  <c:v>7.6771653543307092E-5</c:v>
                </c:pt>
                <c:pt idx="62">
                  <c:v>7.5984251968503946E-5</c:v>
                </c:pt>
                <c:pt idx="63">
                  <c:v>7.559055118110236E-5</c:v>
                </c:pt>
                <c:pt idx="64">
                  <c:v>7.5196850393700787E-5</c:v>
                </c:pt>
                <c:pt idx="65">
                  <c:v>7.5196850393700787E-5</c:v>
                </c:pt>
                <c:pt idx="66">
                  <c:v>7.5196850393700787E-5</c:v>
                </c:pt>
                <c:pt idx="67">
                  <c:v>7.5196850393700787E-5</c:v>
                </c:pt>
                <c:pt idx="68">
                  <c:v>7.5196850393700787E-5</c:v>
                </c:pt>
                <c:pt idx="69">
                  <c:v>7.559055118110236E-5</c:v>
                </c:pt>
                <c:pt idx="70">
                  <c:v>7.5984251968503946E-5</c:v>
                </c:pt>
                <c:pt idx="71">
                  <c:v>7.6377952755905519E-5</c:v>
                </c:pt>
                <c:pt idx="72">
                  <c:v>7.6771653543307092E-5</c:v>
                </c:pt>
                <c:pt idx="73">
                  <c:v>7.7165354330708665E-5</c:v>
                </c:pt>
                <c:pt idx="74">
                  <c:v>7.7952755905511811E-5</c:v>
                </c:pt>
                <c:pt idx="75">
                  <c:v>7.874015748031497E-5</c:v>
                </c:pt>
                <c:pt idx="76">
                  <c:v>7.9527559055118116E-5</c:v>
                </c:pt>
                <c:pt idx="77">
                  <c:v>8.0314960629921276E-5</c:v>
                </c:pt>
                <c:pt idx="78">
                  <c:v>8.1102362204724422E-5</c:v>
                </c:pt>
                <c:pt idx="79">
                  <c:v>8.1889763779527554E-5</c:v>
                </c:pt>
                <c:pt idx="80">
                  <c:v>8.30708661417323E-5</c:v>
                </c:pt>
                <c:pt idx="81">
                  <c:v>8.3858267716535432E-5</c:v>
                </c:pt>
                <c:pt idx="82">
                  <c:v>8.4251968503937005E-5</c:v>
                </c:pt>
                <c:pt idx="83">
                  <c:v>8.5039370078740165E-5</c:v>
                </c:pt>
                <c:pt idx="84">
                  <c:v>8.5433070866141738E-5</c:v>
                </c:pt>
                <c:pt idx="85">
                  <c:v>8.5826771653543311E-5</c:v>
                </c:pt>
                <c:pt idx="86">
                  <c:v>8.5433070866141738E-5</c:v>
                </c:pt>
                <c:pt idx="87">
                  <c:v>8.5039370078740165E-5</c:v>
                </c:pt>
                <c:pt idx="88">
                  <c:v>8.4645669291338592E-5</c:v>
                </c:pt>
                <c:pt idx="89">
                  <c:v>8.30708661417323E-5</c:v>
                </c:pt>
                <c:pt idx="90">
                  <c:v>8.1496062992125995E-5</c:v>
                </c:pt>
                <c:pt idx="91">
                  <c:v>7.9527559055118116E-5</c:v>
                </c:pt>
                <c:pt idx="92">
                  <c:v>7.7165354330708665E-5</c:v>
                </c:pt>
                <c:pt idx="93">
                  <c:v>7.4409448818897641E-5</c:v>
                </c:pt>
                <c:pt idx="94">
                  <c:v>7.1259842519685044E-5</c:v>
                </c:pt>
                <c:pt idx="95">
                  <c:v>6.8110236220472446E-5</c:v>
                </c:pt>
                <c:pt idx="96">
                  <c:v>6.4566929133858276E-5</c:v>
                </c:pt>
                <c:pt idx="97">
                  <c:v>6.1417322834645679E-5</c:v>
                </c:pt>
                <c:pt idx="98">
                  <c:v>5.7874015748031495E-5</c:v>
                </c:pt>
                <c:pt idx="99">
                  <c:v>5.4724409448818898E-5</c:v>
                </c:pt>
                <c:pt idx="100">
                  <c:v>5.1574803149606301E-5</c:v>
                </c:pt>
                <c:pt idx="101">
                  <c:v>4.8818897637795277E-5</c:v>
                </c:pt>
                <c:pt idx="102">
                  <c:v>4.6062992125984253E-5</c:v>
                </c:pt>
                <c:pt idx="103">
                  <c:v>4.3307086614173235E-5</c:v>
                </c:pt>
                <c:pt idx="104">
                  <c:v>4.0944881889763777E-5</c:v>
                </c:pt>
                <c:pt idx="105">
                  <c:v>3.8425196850393705E-5</c:v>
                </c:pt>
                <c:pt idx="106">
                  <c:v>3.625984251968504E-5</c:v>
                </c:pt>
                <c:pt idx="107">
                  <c:v>3.425196850393701E-5</c:v>
                </c:pt>
                <c:pt idx="108">
                  <c:v>3.2401574803149607E-5</c:v>
                </c:pt>
                <c:pt idx="109">
                  <c:v>3.0669291338582674E-5</c:v>
                </c:pt>
                <c:pt idx="110">
                  <c:v>2.905511811023622E-5</c:v>
                </c:pt>
                <c:pt idx="111">
                  <c:v>2.7559055118110239E-5</c:v>
                </c:pt>
                <c:pt idx="112">
                  <c:v>2.6220472440944882E-5</c:v>
                </c:pt>
                <c:pt idx="113">
                  <c:v>2.4921259842519687E-5</c:v>
                </c:pt>
                <c:pt idx="114">
                  <c:v>2.3779527559055117E-5</c:v>
                </c:pt>
                <c:pt idx="115">
                  <c:v>2.2677165354330712E-5</c:v>
                </c:pt>
                <c:pt idx="116">
                  <c:v>2.1653543307086618E-5</c:v>
                </c:pt>
                <c:pt idx="117">
                  <c:v>2.0748031496062992E-5</c:v>
                </c:pt>
                <c:pt idx="118">
                  <c:v>1.984251968503937E-5</c:v>
                </c:pt>
                <c:pt idx="119">
                  <c:v>1.9055118110236225E-5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4F4-4C42-B954-2780ED3DC2A0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P5_UB!$A$7:$A$126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P5_UB!$G$7:$G$126</c:f>
              <c:numCache>
                <c:formatCode>0.00E+00</c:formatCode>
                <c:ptCount val="120"/>
                <c:pt idx="0">
                  <c:v>1.346456692913386E-9</c:v>
                </c:pt>
                <c:pt idx="1">
                  <c:v>5.3937007874015752E-9</c:v>
                </c:pt>
                <c:pt idx="2">
                  <c:v>1.220472440944882E-8</c:v>
                </c:pt>
                <c:pt idx="3">
                  <c:v>2.1811023622047245E-8</c:v>
                </c:pt>
                <c:pt idx="4">
                  <c:v>3.4330708661417321E-8</c:v>
                </c:pt>
                <c:pt idx="5">
                  <c:v>4.9999999999999998E-8</c:v>
                </c:pt>
                <c:pt idx="6">
                  <c:v>6.8503937007874017E-8</c:v>
                </c:pt>
                <c:pt idx="7">
                  <c:v>9.0551181102362207E-8</c:v>
                </c:pt>
                <c:pt idx="8">
                  <c:v>1.1614173228346458E-7</c:v>
                </c:pt>
                <c:pt idx="9">
                  <c:v>1.452755905511811E-7</c:v>
                </c:pt>
                <c:pt idx="10">
                  <c:v>1.7834645669291338E-7</c:v>
                </c:pt>
                <c:pt idx="11">
                  <c:v>2.1614173228346459E-7</c:v>
                </c:pt>
                <c:pt idx="12">
                  <c:v>2.5826771653543311E-7</c:v>
                </c:pt>
                <c:pt idx="13">
                  <c:v>3.0511811023622049E-7</c:v>
                </c:pt>
                <c:pt idx="14">
                  <c:v>3.5748031496062994E-7</c:v>
                </c:pt>
                <c:pt idx="15">
                  <c:v>4.1732283464566933E-7</c:v>
                </c:pt>
                <c:pt idx="16">
                  <c:v>4.8031496062992129E-7</c:v>
                </c:pt>
                <c:pt idx="17">
                  <c:v>5.5511811023622048E-7</c:v>
                </c:pt>
                <c:pt idx="18">
                  <c:v>6.3779527559055123E-7</c:v>
                </c:pt>
                <c:pt idx="19">
                  <c:v>7.2834645669291344E-7</c:v>
                </c:pt>
                <c:pt idx="20">
                  <c:v>8.267716535433071E-7</c:v>
                </c:pt>
                <c:pt idx="21">
                  <c:v>9.3700787401574821E-7</c:v>
                </c:pt>
                <c:pt idx="22">
                  <c:v>1.062992125984252E-6</c:v>
                </c:pt>
                <c:pt idx="23">
                  <c:v>1.2007874015748033E-6</c:v>
                </c:pt>
                <c:pt idx="24">
                  <c:v>1.3503937007874017E-6</c:v>
                </c:pt>
                <c:pt idx="25">
                  <c:v>1.5236220472440947E-6</c:v>
                </c:pt>
                <c:pt idx="26">
                  <c:v>1.7125984251968505E-6</c:v>
                </c:pt>
                <c:pt idx="27">
                  <c:v>1.9251968503937009E-6</c:v>
                </c:pt>
                <c:pt idx="28">
                  <c:v>2.1653543307086614E-6</c:v>
                </c:pt>
                <c:pt idx="29">
                  <c:v>2.4370078740157481E-6</c:v>
                </c:pt>
                <c:pt idx="30">
                  <c:v>2.7440944881889765E-6</c:v>
                </c:pt>
                <c:pt idx="31">
                  <c:v>3.0905511811023622E-6</c:v>
                </c:pt>
                <c:pt idx="32">
                  <c:v>3.480314960629921E-6</c:v>
                </c:pt>
                <c:pt idx="33">
                  <c:v>3.9251968503937013E-6</c:v>
                </c:pt>
                <c:pt idx="34">
                  <c:v>4.4488188976377962E-6</c:v>
                </c:pt>
                <c:pt idx="35">
                  <c:v>5.0000000000000013E-6</c:v>
                </c:pt>
                <c:pt idx="36">
                  <c:v>5.6299212598425202E-6</c:v>
                </c:pt>
                <c:pt idx="37">
                  <c:v>6.3779527559055125E-6</c:v>
                </c:pt>
                <c:pt idx="38">
                  <c:v>7.165354330708661E-6</c:v>
                </c:pt>
                <c:pt idx="39">
                  <c:v>8.0708661417322845E-6</c:v>
                </c:pt>
                <c:pt idx="40">
                  <c:v>9.055118110236222E-6</c:v>
                </c:pt>
                <c:pt idx="41">
                  <c:v>1.0078740157480316E-5</c:v>
                </c:pt>
                <c:pt idx="42">
                  <c:v>1.1102362204724411E-5</c:v>
                </c:pt>
                <c:pt idx="43">
                  <c:v>1.2086614173228347E-5</c:v>
                </c:pt>
                <c:pt idx="44">
                  <c:v>1.2992125984251968E-5</c:v>
                </c:pt>
                <c:pt idx="45">
                  <c:v>1.3779527559055119E-5</c:v>
                </c:pt>
                <c:pt idx="46">
                  <c:v>1.4409448818897639E-5</c:v>
                </c:pt>
                <c:pt idx="47">
                  <c:v>1.4842519685039371E-5</c:v>
                </c:pt>
                <c:pt idx="48">
                  <c:v>1.5118110236220473E-5</c:v>
                </c:pt>
                <c:pt idx="49">
                  <c:v>1.5275590551181102E-5</c:v>
                </c:pt>
                <c:pt idx="50">
                  <c:v>1.5314960629921261E-5</c:v>
                </c:pt>
                <c:pt idx="51">
                  <c:v>1.5275590551181102E-5</c:v>
                </c:pt>
                <c:pt idx="52">
                  <c:v>1.5196850393700789E-5</c:v>
                </c:pt>
                <c:pt idx="53">
                  <c:v>1.5118110236220473E-5</c:v>
                </c:pt>
                <c:pt idx="54">
                  <c:v>1.5E-5</c:v>
                </c:pt>
                <c:pt idx="55">
                  <c:v>1.4921259842519686E-5</c:v>
                </c:pt>
                <c:pt idx="56">
                  <c:v>1.488188976377953E-5</c:v>
                </c:pt>
                <c:pt idx="57">
                  <c:v>1.4803149606299212E-5</c:v>
                </c:pt>
                <c:pt idx="58">
                  <c:v>1.4803149606299212E-5</c:v>
                </c:pt>
                <c:pt idx="59">
                  <c:v>1.4803149606299212E-5</c:v>
                </c:pt>
                <c:pt idx="60">
                  <c:v>1.4803149606299212E-5</c:v>
                </c:pt>
                <c:pt idx="61">
                  <c:v>1.4842519685039371E-5</c:v>
                </c:pt>
                <c:pt idx="62">
                  <c:v>1.4921259842519686E-5</c:v>
                </c:pt>
                <c:pt idx="63">
                  <c:v>1.5E-5</c:v>
                </c:pt>
                <c:pt idx="64">
                  <c:v>1.5078740157480316E-5</c:v>
                </c:pt>
                <c:pt idx="65">
                  <c:v>1.5157480314960632E-5</c:v>
                </c:pt>
                <c:pt idx="66">
                  <c:v>1.5275590551181102E-5</c:v>
                </c:pt>
                <c:pt idx="67">
                  <c:v>1.5393700787401575E-5</c:v>
                </c:pt>
                <c:pt idx="68">
                  <c:v>1.5551181102362203E-5</c:v>
                </c:pt>
                <c:pt idx="69">
                  <c:v>1.5708661417322834E-5</c:v>
                </c:pt>
                <c:pt idx="70">
                  <c:v>1.5905511811023624E-5</c:v>
                </c:pt>
                <c:pt idx="71">
                  <c:v>1.6141732283464569E-5</c:v>
                </c:pt>
                <c:pt idx="72">
                  <c:v>1.6456692913385828E-5</c:v>
                </c:pt>
                <c:pt idx="73">
                  <c:v>1.6771653543307087E-5</c:v>
                </c:pt>
                <c:pt idx="74">
                  <c:v>1.716535433070866E-5</c:v>
                </c:pt>
                <c:pt idx="75">
                  <c:v>1.7677165354330709E-5</c:v>
                </c:pt>
                <c:pt idx="76">
                  <c:v>1.8228346456692913E-5</c:v>
                </c:pt>
                <c:pt idx="77">
                  <c:v>1.889763779527559E-5</c:v>
                </c:pt>
                <c:pt idx="78">
                  <c:v>1.9685039370078743E-5</c:v>
                </c:pt>
                <c:pt idx="79">
                  <c:v>2.0551181102362206E-5</c:v>
                </c:pt>
                <c:pt idx="80">
                  <c:v>2.1496062992125986E-5</c:v>
                </c:pt>
                <c:pt idx="81">
                  <c:v>2.2559055118110236E-5</c:v>
                </c:pt>
                <c:pt idx="82">
                  <c:v>2.3740157480314962E-5</c:v>
                </c:pt>
                <c:pt idx="83">
                  <c:v>2.4960629921259846E-5</c:v>
                </c:pt>
                <c:pt idx="84">
                  <c:v>2.6220472440944882E-5</c:v>
                </c:pt>
                <c:pt idx="85">
                  <c:v>2.751968503937008E-5</c:v>
                </c:pt>
                <c:pt idx="86">
                  <c:v>2.877952755905512E-5</c:v>
                </c:pt>
                <c:pt idx="87">
                  <c:v>3.0039370078740159E-5</c:v>
                </c:pt>
                <c:pt idx="88">
                  <c:v>3.1181102362204723E-5</c:v>
                </c:pt>
                <c:pt idx="89">
                  <c:v>3.2204724409448821E-5</c:v>
                </c:pt>
                <c:pt idx="90">
                  <c:v>3.3031496062992125E-5</c:v>
                </c:pt>
                <c:pt idx="91">
                  <c:v>3.3700787401574802E-5</c:v>
                </c:pt>
                <c:pt idx="92">
                  <c:v>3.413385826771654E-5</c:v>
                </c:pt>
                <c:pt idx="93">
                  <c:v>3.4370078740157486E-5</c:v>
                </c:pt>
                <c:pt idx="94">
                  <c:v>3.4409448818897638E-5</c:v>
                </c:pt>
                <c:pt idx="95">
                  <c:v>3.4212598425196851E-5</c:v>
                </c:pt>
                <c:pt idx="96">
                  <c:v>3.3897637795275595E-5</c:v>
                </c:pt>
                <c:pt idx="97">
                  <c:v>3.3425196850393705E-5</c:v>
                </c:pt>
                <c:pt idx="98">
                  <c:v>3.2874015748031498E-5</c:v>
                </c:pt>
                <c:pt idx="99">
                  <c:v>3.2244094488188979E-5</c:v>
                </c:pt>
                <c:pt idx="100">
                  <c:v>3.1535433070866144E-5</c:v>
                </c:pt>
                <c:pt idx="101">
                  <c:v>3.0826771653543309E-5</c:v>
                </c:pt>
                <c:pt idx="102">
                  <c:v>3.0078740157480318E-5</c:v>
                </c:pt>
                <c:pt idx="103">
                  <c:v>2.9370078740157483E-5</c:v>
                </c:pt>
                <c:pt idx="104">
                  <c:v>2.8661417322834644E-5</c:v>
                </c:pt>
                <c:pt idx="105">
                  <c:v>2.7952755905511812E-5</c:v>
                </c:pt>
                <c:pt idx="106">
                  <c:v>2.724409448818898E-5</c:v>
                </c:pt>
                <c:pt idx="107">
                  <c:v>2.6574803149606303E-5</c:v>
                </c:pt>
                <c:pt idx="108">
                  <c:v>2.5944881889763778E-5</c:v>
                </c:pt>
                <c:pt idx="109">
                  <c:v>2.5354330708661419E-5</c:v>
                </c:pt>
                <c:pt idx="110">
                  <c:v>2.4763779527559056E-5</c:v>
                </c:pt>
                <c:pt idx="111">
                  <c:v>2.4212598425196855E-5</c:v>
                </c:pt>
                <c:pt idx="112">
                  <c:v>2.3700787401574803E-5</c:v>
                </c:pt>
                <c:pt idx="113">
                  <c:v>2.3188976377952757E-5</c:v>
                </c:pt>
                <c:pt idx="114">
                  <c:v>2.2716535433070871E-5</c:v>
                </c:pt>
                <c:pt idx="115">
                  <c:v>2.2283464566929136E-5</c:v>
                </c:pt>
                <c:pt idx="116">
                  <c:v>2.1850393700787401E-5</c:v>
                </c:pt>
                <c:pt idx="117">
                  <c:v>2.1456692913385828E-5</c:v>
                </c:pt>
                <c:pt idx="118">
                  <c:v>2.1062992125984251E-5</c:v>
                </c:pt>
                <c:pt idx="119">
                  <c:v>2.0708661417322837E-5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4F4-4C42-B954-2780ED3DC2A0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P5_UB!$A$7:$A$126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P5_UB!$H$7:$H$126</c:f>
              <c:numCache>
                <c:formatCode>0.00E+00</c:formatCode>
                <c:ptCount val="120"/>
                <c:pt idx="0">
                  <c:v>1.3543307086614174E-8</c:v>
                </c:pt>
                <c:pt idx="1">
                  <c:v>5.4330708661417322E-8</c:v>
                </c:pt>
                <c:pt idx="2">
                  <c:v>1.2244094488188977E-7</c:v>
                </c:pt>
                <c:pt idx="3">
                  <c:v>2.1889763779527562E-7</c:v>
                </c:pt>
                <c:pt idx="4">
                  <c:v>3.4448818897637803E-7</c:v>
                </c:pt>
                <c:pt idx="5">
                  <c:v>5.0000000000000008E-7</c:v>
                </c:pt>
                <c:pt idx="6">
                  <c:v>6.8503937007874017E-7</c:v>
                </c:pt>
                <c:pt idx="7">
                  <c:v>9.0551181102362207E-7</c:v>
                </c:pt>
                <c:pt idx="8">
                  <c:v>1.1574803149606299E-6</c:v>
                </c:pt>
                <c:pt idx="9">
                  <c:v>1.4488188976377953E-6</c:v>
                </c:pt>
                <c:pt idx="10">
                  <c:v>1.7795275590551183E-6</c:v>
                </c:pt>
                <c:pt idx="11">
                  <c:v>2.1496062992125987E-6</c:v>
                </c:pt>
                <c:pt idx="12">
                  <c:v>2.5669291338582676E-6</c:v>
                </c:pt>
                <c:pt idx="13">
                  <c:v>3.0314960629921263E-6</c:v>
                </c:pt>
                <c:pt idx="14">
                  <c:v>3.5472440944881893E-6</c:v>
                </c:pt>
                <c:pt idx="15">
                  <c:v>4.1338582677165355E-6</c:v>
                </c:pt>
                <c:pt idx="16">
                  <c:v>4.7637795275590561E-6</c:v>
                </c:pt>
                <c:pt idx="17">
                  <c:v>5.433070866141732E-6</c:v>
                </c:pt>
                <c:pt idx="18">
                  <c:v>6.220472440944883E-6</c:v>
                </c:pt>
                <c:pt idx="19">
                  <c:v>7.0472440944881901E-6</c:v>
                </c:pt>
                <c:pt idx="20">
                  <c:v>7.9921259842519689E-6</c:v>
                </c:pt>
                <c:pt idx="21">
                  <c:v>9.0157480314960633E-6</c:v>
                </c:pt>
                <c:pt idx="22">
                  <c:v>1.0118110236220472E-5</c:v>
                </c:pt>
                <c:pt idx="23">
                  <c:v>1.1377952755905513E-5</c:v>
                </c:pt>
                <c:pt idx="24">
                  <c:v>1.2716535433070868E-5</c:v>
                </c:pt>
                <c:pt idx="25">
                  <c:v>1.4251968503937008E-5</c:v>
                </c:pt>
                <c:pt idx="26">
                  <c:v>1.5866141732283465E-5</c:v>
                </c:pt>
                <c:pt idx="27">
                  <c:v>1.7716535433070868E-5</c:v>
                </c:pt>
                <c:pt idx="28">
                  <c:v>1.9724409448818901E-5</c:v>
                </c:pt>
                <c:pt idx="29">
                  <c:v>2.1929133858267718E-5</c:v>
                </c:pt>
                <c:pt idx="30">
                  <c:v>2.437007874015748E-5</c:v>
                </c:pt>
                <c:pt idx="31">
                  <c:v>2.7086614173228349E-5</c:v>
                </c:pt>
                <c:pt idx="32">
                  <c:v>3.0078740157480318E-5</c:v>
                </c:pt>
                <c:pt idx="33">
                  <c:v>3.3385826771653546E-5</c:v>
                </c:pt>
                <c:pt idx="34">
                  <c:v>3.7007874015748034E-5</c:v>
                </c:pt>
                <c:pt idx="35">
                  <c:v>4.0944881889763777E-5</c:v>
                </c:pt>
                <c:pt idx="36">
                  <c:v>4.5275590551181107E-5</c:v>
                </c:pt>
                <c:pt idx="37">
                  <c:v>4.9606299212598429E-5</c:v>
                </c:pt>
                <c:pt idx="38">
                  <c:v>5.3937007874015745E-5</c:v>
                </c:pt>
                <c:pt idx="39">
                  <c:v>5.7874015748031495E-5</c:v>
                </c:pt>
                <c:pt idx="40">
                  <c:v>6.1023622047244093E-5</c:v>
                </c:pt>
                <c:pt idx="41">
                  <c:v>6.2992125984251971E-5</c:v>
                </c:pt>
                <c:pt idx="42">
                  <c:v>6.2992125984251971E-5</c:v>
                </c:pt>
                <c:pt idx="43">
                  <c:v>6.1811023622047252E-5</c:v>
                </c:pt>
                <c:pt idx="44">
                  <c:v>5.9842519685039374E-5</c:v>
                </c:pt>
                <c:pt idx="45">
                  <c:v>5.7480314960629922E-5</c:v>
                </c:pt>
                <c:pt idx="46">
                  <c:v>5.5118110236220478E-5</c:v>
                </c:pt>
                <c:pt idx="47">
                  <c:v>5.3149606299212606E-5</c:v>
                </c:pt>
                <c:pt idx="48">
                  <c:v>5.1574803149606301E-5</c:v>
                </c:pt>
                <c:pt idx="49">
                  <c:v>5.0787401574803148E-5</c:v>
                </c:pt>
                <c:pt idx="50">
                  <c:v>5.0393700787401582E-5</c:v>
                </c:pt>
                <c:pt idx="51">
                  <c:v>5.0393700787401582E-5</c:v>
                </c:pt>
                <c:pt idx="52">
                  <c:v>5.0393700787401582E-5</c:v>
                </c:pt>
                <c:pt idx="53">
                  <c:v>5.0787401574803148E-5</c:v>
                </c:pt>
                <c:pt idx="54">
                  <c:v>5.0787401574803148E-5</c:v>
                </c:pt>
                <c:pt idx="55">
                  <c:v>5.1181102362204728E-5</c:v>
                </c:pt>
                <c:pt idx="56">
                  <c:v>5.1574803149606301E-5</c:v>
                </c:pt>
                <c:pt idx="57">
                  <c:v>5.1968503937007874E-5</c:v>
                </c:pt>
                <c:pt idx="58">
                  <c:v>5.1968503937007874E-5</c:v>
                </c:pt>
                <c:pt idx="59">
                  <c:v>5.2755905511811027E-5</c:v>
                </c:pt>
                <c:pt idx="60">
                  <c:v>5.3149606299212606E-5</c:v>
                </c:pt>
                <c:pt idx="61">
                  <c:v>5.3543307086614173E-5</c:v>
                </c:pt>
                <c:pt idx="62">
                  <c:v>5.4330708661417325E-5</c:v>
                </c:pt>
                <c:pt idx="63">
                  <c:v>5.5118110236220478E-5</c:v>
                </c:pt>
                <c:pt idx="64">
                  <c:v>5.6299212598425204E-5</c:v>
                </c:pt>
                <c:pt idx="65">
                  <c:v>5.7480314960629922E-5</c:v>
                </c:pt>
                <c:pt idx="66">
                  <c:v>5.8661417322834648E-5</c:v>
                </c:pt>
                <c:pt idx="67">
                  <c:v>5.9842519685039374E-5</c:v>
                </c:pt>
                <c:pt idx="68">
                  <c:v>6.1417322834645679E-5</c:v>
                </c:pt>
                <c:pt idx="69">
                  <c:v>6.2992125984251971E-5</c:v>
                </c:pt>
                <c:pt idx="70">
                  <c:v>6.4566929133858276E-5</c:v>
                </c:pt>
                <c:pt idx="71">
                  <c:v>6.6535433070866141E-5</c:v>
                </c:pt>
                <c:pt idx="72">
                  <c:v>6.8110236220472446E-5</c:v>
                </c:pt>
                <c:pt idx="73">
                  <c:v>6.9685039370078752E-5</c:v>
                </c:pt>
                <c:pt idx="74">
                  <c:v>7.1653543307086617E-5</c:v>
                </c:pt>
                <c:pt idx="75">
                  <c:v>7.3228346456692908E-5</c:v>
                </c:pt>
                <c:pt idx="76">
                  <c:v>7.5196850393700787E-5</c:v>
                </c:pt>
                <c:pt idx="77">
                  <c:v>7.6771653543307092E-5</c:v>
                </c:pt>
                <c:pt idx="78">
                  <c:v>7.874015748031497E-5</c:v>
                </c:pt>
                <c:pt idx="79">
                  <c:v>8.0314960629921276E-5</c:v>
                </c:pt>
                <c:pt idx="80">
                  <c:v>8.1889763779527554E-5</c:v>
                </c:pt>
                <c:pt idx="81">
                  <c:v>8.30708661417323E-5</c:v>
                </c:pt>
                <c:pt idx="82">
                  <c:v>8.4645669291338592E-5</c:v>
                </c:pt>
                <c:pt idx="83">
                  <c:v>8.5826771653543311E-5</c:v>
                </c:pt>
                <c:pt idx="84">
                  <c:v>8.661417322834647E-5</c:v>
                </c:pt>
                <c:pt idx="85">
                  <c:v>8.7401574803149602E-5</c:v>
                </c:pt>
                <c:pt idx="86">
                  <c:v>8.8188976377952775E-5</c:v>
                </c:pt>
                <c:pt idx="87">
                  <c:v>8.8582677165354348E-5</c:v>
                </c:pt>
                <c:pt idx="88">
                  <c:v>8.8976377952755908E-5</c:v>
                </c:pt>
                <c:pt idx="89">
                  <c:v>8.8976377952755908E-5</c:v>
                </c:pt>
                <c:pt idx="90">
                  <c:v>8.8976377952755908E-5</c:v>
                </c:pt>
                <c:pt idx="91">
                  <c:v>8.8582677165354348E-5</c:v>
                </c:pt>
                <c:pt idx="92">
                  <c:v>8.8582677165354348E-5</c:v>
                </c:pt>
                <c:pt idx="93">
                  <c:v>8.8188976377952775E-5</c:v>
                </c:pt>
                <c:pt idx="94">
                  <c:v>8.7401574803149602E-5</c:v>
                </c:pt>
                <c:pt idx="95">
                  <c:v>8.7007874015748043E-5</c:v>
                </c:pt>
                <c:pt idx="96">
                  <c:v>8.6220472440944897E-5</c:v>
                </c:pt>
                <c:pt idx="97">
                  <c:v>8.5826771653543311E-5</c:v>
                </c:pt>
                <c:pt idx="98">
                  <c:v>8.5039370078740165E-5</c:v>
                </c:pt>
                <c:pt idx="99">
                  <c:v>8.4251968503937005E-5</c:v>
                </c:pt>
                <c:pt idx="100">
                  <c:v>8.3464566929133859E-5</c:v>
                </c:pt>
                <c:pt idx="101">
                  <c:v>8.2677165354330713E-5</c:v>
                </c:pt>
                <c:pt idx="102">
                  <c:v>8.1889763779527554E-5</c:v>
                </c:pt>
                <c:pt idx="103">
                  <c:v>8.1102362204724422E-5</c:v>
                </c:pt>
                <c:pt idx="104">
                  <c:v>8.0314960629921276E-5</c:v>
                </c:pt>
                <c:pt idx="105">
                  <c:v>7.9527559055118116E-5</c:v>
                </c:pt>
                <c:pt idx="106">
                  <c:v>7.874015748031497E-5</c:v>
                </c:pt>
                <c:pt idx="107">
                  <c:v>7.8346456692913397E-5</c:v>
                </c:pt>
                <c:pt idx="108">
                  <c:v>7.7559055118110252E-5</c:v>
                </c:pt>
                <c:pt idx="109">
                  <c:v>7.6771653543307092E-5</c:v>
                </c:pt>
                <c:pt idx="110">
                  <c:v>7.5984251968503946E-5</c:v>
                </c:pt>
                <c:pt idx="111">
                  <c:v>7.5196850393700787E-5</c:v>
                </c:pt>
                <c:pt idx="112">
                  <c:v>7.4803149606299214E-5</c:v>
                </c:pt>
                <c:pt idx="113">
                  <c:v>7.4015748031496068E-5</c:v>
                </c:pt>
                <c:pt idx="114">
                  <c:v>7.3622047244094495E-5</c:v>
                </c:pt>
                <c:pt idx="115">
                  <c:v>7.2834645669291349E-5</c:v>
                </c:pt>
                <c:pt idx="116">
                  <c:v>7.2440944881889776E-5</c:v>
                </c:pt>
                <c:pt idx="117">
                  <c:v>7.1653543307086617E-5</c:v>
                </c:pt>
                <c:pt idx="118">
                  <c:v>7.1259842519685044E-5</c:v>
                </c:pt>
                <c:pt idx="119">
                  <c:v>7.0866141732283471E-5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4F4-4C42-B954-2780ED3DC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5 - NE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4EB-4BF3-84FE-65FBA4AC184E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EB-4BF3-84FE-65FBA4AC184E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EB-4BF3-84FE-65FBA4AC184E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EB-4BF3-84FE-65FBA4AC184E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EB-4BF3-84FE-65FBA4AC184E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EB-4BF3-84FE-65FBA4AC184E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EB-4BF3-84FE-65FBA4AC184E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EB-4BF3-84FE-65FBA4AC184E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EB-4BF3-84FE-65FBA4AC184E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P5_UB!$A$7:$A$126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P5_UB!$F$7:$F$126</c:f>
              <c:numCache>
                <c:formatCode>0.00E+00</c:formatCode>
                <c:ptCount val="120"/>
                <c:pt idx="0">
                  <c:v>1.4566929133858269E-8</c:v>
                </c:pt>
                <c:pt idx="1">
                  <c:v>5.8267716535433076E-8</c:v>
                </c:pt>
                <c:pt idx="2">
                  <c:v>1.3188976377952756E-7</c:v>
                </c:pt>
                <c:pt idx="3">
                  <c:v>2.3543307086614172E-7</c:v>
                </c:pt>
                <c:pt idx="4">
                  <c:v>3.7047244094488189E-7</c:v>
                </c:pt>
                <c:pt idx="5">
                  <c:v>5.3937007874015757E-7</c:v>
                </c:pt>
                <c:pt idx="6">
                  <c:v>7.4015748031496067E-7</c:v>
                </c:pt>
                <c:pt idx="7">
                  <c:v>9.7637795275590548E-7</c:v>
                </c:pt>
                <c:pt idx="8">
                  <c:v>1.251968503937008E-6</c:v>
                </c:pt>
                <c:pt idx="9">
                  <c:v>1.5669291338582677E-6</c:v>
                </c:pt>
                <c:pt idx="10">
                  <c:v>1.9251968503937009E-6</c:v>
                </c:pt>
                <c:pt idx="11">
                  <c:v>2.3267716535433071E-6</c:v>
                </c:pt>
                <c:pt idx="12">
                  <c:v>2.7834645669291343E-6</c:v>
                </c:pt>
                <c:pt idx="13">
                  <c:v>3.2913385826771657E-6</c:v>
                </c:pt>
                <c:pt idx="14">
                  <c:v>3.8582677165354334E-6</c:v>
                </c:pt>
                <c:pt idx="15">
                  <c:v>4.4881889763779532E-6</c:v>
                </c:pt>
                <c:pt idx="16">
                  <c:v>5.1968503937007869E-6</c:v>
                </c:pt>
                <c:pt idx="17">
                  <c:v>5.9842519685039379E-6</c:v>
                </c:pt>
                <c:pt idx="18">
                  <c:v>6.811023622047245E-6</c:v>
                </c:pt>
                <c:pt idx="19">
                  <c:v>7.7952755905511808E-6</c:v>
                </c:pt>
                <c:pt idx="20">
                  <c:v>8.8582677165354338E-6</c:v>
                </c:pt>
                <c:pt idx="21">
                  <c:v>1.0039370078740159E-5</c:v>
                </c:pt>
                <c:pt idx="22">
                  <c:v>1.1338582677165356E-5</c:v>
                </c:pt>
                <c:pt idx="23">
                  <c:v>1.2795275590551182E-5</c:v>
                </c:pt>
                <c:pt idx="24">
                  <c:v>1.4448818897637795E-5</c:v>
                </c:pt>
                <c:pt idx="25">
                  <c:v>1.6259842519685042E-5</c:v>
                </c:pt>
                <c:pt idx="26">
                  <c:v>1.8346456692913386E-5</c:v>
                </c:pt>
                <c:pt idx="27">
                  <c:v>2.0708661417322837E-5</c:v>
                </c:pt>
                <c:pt idx="28">
                  <c:v>2.3346456692913385E-5</c:v>
                </c:pt>
                <c:pt idx="29">
                  <c:v>2.6377952755905513E-5</c:v>
                </c:pt>
                <c:pt idx="30">
                  <c:v>2.9803149606299214E-5</c:v>
                </c:pt>
                <c:pt idx="31">
                  <c:v>3.3740157480314961E-5</c:v>
                </c:pt>
                <c:pt idx="32">
                  <c:v>3.826771653543307E-5</c:v>
                </c:pt>
                <c:pt idx="33">
                  <c:v>4.3307086614173235E-5</c:v>
                </c:pt>
                <c:pt idx="34">
                  <c:v>4.9606299212598429E-5</c:v>
                </c:pt>
                <c:pt idx="35">
                  <c:v>5.6299212598425204E-5</c:v>
                </c:pt>
                <c:pt idx="36">
                  <c:v>6.4173228346456703E-5</c:v>
                </c:pt>
                <c:pt idx="37">
                  <c:v>7.2834645669291349E-5</c:v>
                </c:pt>
                <c:pt idx="38">
                  <c:v>8.2283464566929127E-5</c:v>
                </c:pt>
                <c:pt idx="39">
                  <c:v>9.2519685039370092E-5</c:v>
                </c:pt>
                <c:pt idx="40">
                  <c:v>1.019685039370079E-4</c:v>
                </c:pt>
                <c:pt idx="41">
                  <c:v>1.1023622047244096E-4</c:v>
                </c:pt>
                <c:pt idx="42">
                  <c:v>1.1614173228346458E-4</c:v>
                </c:pt>
                <c:pt idx="43">
                  <c:v>1.1968503937007875E-4</c:v>
                </c:pt>
                <c:pt idx="44">
                  <c:v>1.2007874015748033E-4</c:v>
                </c:pt>
                <c:pt idx="45">
                  <c:v>1.1850393700787403E-4</c:v>
                </c:pt>
                <c:pt idx="46">
                  <c:v>1.1535433070866142E-4</c:v>
                </c:pt>
                <c:pt idx="47">
                  <c:v>1.1141732283464567E-4</c:v>
                </c:pt>
                <c:pt idx="48">
                  <c:v>1.0748031496062993E-4</c:v>
                </c:pt>
                <c:pt idx="49">
                  <c:v>1.031496062992126E-4</c:v>
                </c:pt>
                <c:pt idx="50">
                  <c:v>9.9212598425196859E-5</c:v>
                </c:pt>
                <c:pt idx="51">
                  <c:v>9.5669291338582675E-5</c:v>
                </c:pt>
                <c:pt idx="52">
                  <c:v>9.2519685039370092E-5</c:v>
                </c:pt>
                <c:pt idx="53">
                  <c:v>8.9370078740157481E-5</c:v>
                </c:pt>
                <c:pt idx="54">
                  <c:v>8.7007874015748043E-5</c:v>
                </c:pt>
                <c:pt idx="55">
                  <c:v>8.4645669291338592E-5</c:v>
                </c:pt>
                <c:pt idx="56">
                  <c:v>8.2677165354330713E-5</c:v>
                </c:pt>
                <c:pt idx="57">
                  <c:v>8.1102362204724422E-5</c:v>
                </c:pt>
                <c:pt idx="58">
                  <c:v>7.9921259842519689E-5</c:v>
                </c:pt>
                <c:pt idx="59">
                  <c:v>7.874015748031497E-5</c:v>
                </c:pt>
                <c:pt idx="60">
                  <c:v>7.7559055118110252E-5</c:v>
                </c:pt>
                <c:pt idx="61">
                  <c:v>7.6771653543307092E-5</c:v>
                </c:pt>
                <c:pt idx="62">
                  <c:v>7.5984251968503946E-5</c:v>
                </c:pt>
                <c:pt idx="63">
                  <c:v>7.559055118110236E-5</c:v>
                </c:pt>
                <c:pt idx="64">
                  <c:v>7.5196850393700787E-5</c:v>
                </c:pt>
                <c:pt idx="65">
                  <c:v>7.5196850393700787E-5</c:v>
                </c:pt>
                <c:pt idx="66">
                  <c:v>7.5196850393700787E-5</c:v>
                </c:pt>
                <c:pt idx="67">
                  <c:v>7.5196850393700787E-5</c:v>
                </c:pt>
                <c:pt idx="68">
                  <c:v>7.5196850393700787E-5</c:v>
                </c:pt>
                <c:pt idx="69">
                  <c:v>7.559055118110236E-5</c:v>
                </c:pt>
                <c:pt idx="70">
                  <c:v>7.5984251968503946E-5</c:v>
                </c:pt>
                <c:pt idx="71">
                  <c:v>7.6377952755905519E-5</c:v>
                </c:pt>
                <c:pt idx="72">
                  <c:v>7.6771653543307092E-5</c:v>
                </c:pt>
                <c:pt idx="73">
                  <c:v>7.7165354330708665E-5</c:v>
                </c:pt>
                <c:pt idx="74">
                  <c:v>7.7952755905511811E-5</c:v>
                </c:pt>
                <c:pt idx="75">
                  <c:v>7.874015748031497E-5</c:v>
                </c:pt>
                <c:pt idx="76">
                  <c:v>7.9527559055118116E-5</c:v>
                </c:pt>
                <c:pt idx="77">
                  <c:v>8.0314960629921276E-5</c:v>
                </c:pt>
                <c:pt idx="78">
                  <c:v>8.1102362204724422E-5</c:v>
                </c:pt>
                <c:pt idx="79">
                  <c:v>8.1889763779527554E-5</c:v>
                </c:pt>
                <c:pt idx="80">
                  <c:v>8.30708661417323E-5</c:v>
                </c:pt>
                <c:pt idx="81">
                  <c:v>8.3858267716535432E-5</c:v>
                </c:pt>
                <c:pt idx="82">
                  <c:v>8.4251968503937005E-5</c:v>
                </c:pt>
                <c:pt idx="83">
                  <c:v>8.5039370078740165E-5</c:v>
                </c:pt>
                <c:pt idx="84">
                  <c:v>8.5433070866141738E-5</c:v>
                </c:pt>
                <c:pt idx="85">
                  <c:v>8.5826771653543311E-5</c:v>
                </c:pt>
                <c:pt idx="86">
                  <c:v>8.5433070866141738E-5</c:v>
                </c:pt>
                <c:pt idx="87">
                  <c:v>8.5039370078740165E-5</c:v>
                </c:pt>
                <c:pt idx="88">
                  <c:v>8.4645669291338592E-5</c:v>
                </c:pt>
                <c:pt idx="89">
                  <c:v>8.30708661417323E-5</c:v>
                </c:pt>
                <c:pt idx="90">
                  <c:v>8.1496062992125995E-5</c:v>
                </c:pt>
                <c:pt idx="91">
                  <c:v>7.9527559055118116E-5</c:v>
                </c:pt>
                <c:pt idx="92">
                  <c:v>7.7165354330708665E-5</c:v>
                </c:pt>
                <c:pt idx="93">
                  <c:v>7.4409448818897641E-5</c:v>
                </c:pt>
                <c:pt idx="94">
                  <c:v>7.1259842519685044E-5</c:v>
                </c:pt>
                <c:pt idx="95">
                  <c:v>6.8110236220472446E-5</c:v>
                </c:pt>
                <c:pt idx="96">
                  <c:v>6.4566929133858276E-5</c:v>
                </c:pt>
                <c:pt idx="97">
                  <c:v>6.1417322834645679E-5</c:v>
                </c:pt>
                <c:pt idx="98">
                  <c:v>5.7874015748031495E-5</c:v>
                </c:pt>
                <c:pt idx="99">
                  <c:v>5.4724409448818898E-5</c:v>
                </c:pt>
                <c:pt idx="100">
                  <c:v>5.1574803149606301E-5</c:v>
                </c:pt>
                <c:pt idx="101">
                  <c:v>4.8818897637795277E-5</c:v>
                </c:pt>
                <c:pt idx="102">
                  <c:v>4.6062992125984253E-5</c:v>
                </c:pt>
                <c:pt idx="103">
                  <c:v>4.3307086614173235E-5</c:v>
                </c:pt>
                <c:pt idx="104">
                  <c:v>4.0944881889763777E-5</c:v>
                </c:pt>
                <c:pt idx="105">
                  <c:v>3.8425196850393705E-5</c:v>
                </c:pt>
                <c:pt idx="106">
                  <c:v>3.625984251968504E-5</c:v>
                </c:pt>
                <c:pt idx="107">
                  <c:v>3.425196850393701E-5</c:v>
                </c:pt>
                <c:pt idx="108">
                  <c:v>3.2401574803149607E-5</c:v>
                </c:pt>
                <c:pt idx="109">
                  <c:v>3.0669291338582674E-5</c:v>
                </c:pt>
                <c:pt idx="110">
                  <c:v>2.905511811023622E-5</c:v>
                </c:pt>
                <c:pt idx="111">
                  <c:v>2.7559055118110239E-5</c:v>
                </c:pt>
                <c:pt idx="112">
                  <c:v>2.6220472440944882E-5</c:v>
                </c:pt>
                <c:pt idx="113">
                  <c:v>2.4921259842519687E-5</c:v>
                </c:pt>
                <c:pt idx="114">
                  <c:v>2.3779527559055117E-5</c:v>
                </c:pt>
                <c:pt idx="115">
                  <c:v>2.2677165354330712E-5</c:v>
                </c:pt>
                <c:pt idx="116">
                  <c:v>2.1653543307086618E-5</c:v>
                </c:pt>
                <c:pt idx="117">
                  <c:v>2.0748031496062992E-5</c:v>
                </c:pt>
                <c:pt idx="118">
                  <c:v>1.984251968503937E-5</c:v>
                </c:pt>
                <c:pt idx="119">
                  <c:v>1.9055118110236225E-5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EB-4BF3-84FE-65FBA4AC184E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P5_UB!$A$7:$A$126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P5_UB!$G$7:$G$126</c:f>
              <c:numCache>
                <c:formatCode>0.00E+00</c:formatCode>
                <c:ptCount val="120"/>
                <c:pt idx="0">
                  <c:v>1.346456692913386E-9</c:v>
                </c:pt>
                <c:pt idx="1">
                  <c:v>5.3937007874015752E-9</c:v>
                </c:pt>
                <c:pt idx="2">
                  <c:v>1.220472440944882E-8</c:v>
                </c:pt>
                <c:pt idx="3">
                  <c:v>2.1811023622047245E-8</c:v>
                </c:pt>
                <c:pt idx="4">
                  <c:v>3.4330708661417321E-8</c:v>
                </c:pt>
                <c:pt idx="5">
                  <c:v>4.9999999999999998E-8</c:v>
                </c:pt>
                <c:pt idx="6">
                  <c:v>6.8503937007874017E-8</c:v>
                </c:pt>
                <c:pt idx="7">
                  <c:v>9.0551181102362207E-8</c:v>
                </c:pt>
                <c:pt idx="8">
                  <c:v>1.1614173228346458E-7</c:v>
                </c:pt>
                <c:pt idx="9">
                  <c:v>1.452755905511811E-7</c:v>
                </c:pt>
                <c:pt idx="10">
                  <c:v>1.7834645669291338E-7</c:v>
                </c:pt>
                <c:pt idx="11">
                  <c:v>2.1614173228346459E-7</c:v>
                </c:pt>
                <c:pt idx="12">
                  <c:v>2.5826771653543311E-7</c:v>
                </c:pt>
                <c:pt idx="13">
                  <c:v>3.0511811023622049E-7</c:v>
                </c:pt>
                <c:pt idx="14">
                  <c:v>3.5748031496062994E-7</c:v>
                </c:pt>
                <c:pt idx="15">
                  <c:v>4.1732283464566933E-7</c:v>
                </c:pt>
                <c:pt idx="16">
                  <c:v>4.8031496062992129E-7</c:v>
                </c:pt>
                <c:pt idx="17">
                  <c:v>5.5511811023622048E-7</c:v>
                </c:pt>
                <c:pt idx="18">
                  <c:v>6.3779527559055123E-7</c:v>
                </c:pt>
                <c:pt idx="19">
                  <c:v>7.2834645669291344E-7</c:v>
                </c:pt>
                <c:pt idx="20">
                  <c:v>8.267716535433071E-7</c:v>
                </c:pt>
                <c:pt idx="21">
                  <c:v>9.3700787401574821E-7</c:v>
                </c:pt>
                <c:pt idx="22">
                  <c:v>1.062992125984252E-6</c:v>
                </c:pt>
                <c:pt idx="23">
                  <c:v>1.2007874015748033E-6</c:v>
                </c:pt>
                <c:pt idx="24">
                  <c:v>1.3503937007874017E-6</c:v>
                </c:pt>
                <c:pt idx="25">
                  <c:v>1.5236220472440947E-6</c:v>
                </c:pt>
                <c:pt idx="26">
                  <c:v>1.7125984251968505E-6</c:v>
                </c:pt>
                <c:pt idx="27">
                  <c:v>1.9251968503937009E-6</c:v>
                </c:pt>
                <c:pt idx="28">
                  <c:v>2.1653543307086614E-6</c:v>
                </c:pt>
                <c:pt idx="29">
                  <c:v>2.4370078740157481E-6</c:v>
                </c:pt>
                <c:pt idx="30">
                  <c:v>2.7440944881889765E-6</c:v>
                </c:pt>
                <c:pt idx="31">
                  <c:v>3.0905511811023622E-6</c:v>
                </c:pt>
                <c:pt idx="32">
                  <c:v>3.480314960629921E-6</c:v>
                </c:pt>
                <c:pt idx="33">
                  <c:v>3.9251968503937013E-6</c:v>
                </c:pt>
                <c:pt idx="34">
                  <c:v>4.4488188976377962E-6</c:v>
                </c:pt>
                <c:pt idx="35">
                  <c:v>5.0000000000000013E-6</c:v>
                </c:pt>
                <c:pt idx="36">
                  <c:v>5.6299212598425202E-6</c:v>
                </c:pt>
                <c:pt idx="37">
                  <c:v>6.3779527559055125E-6</c:v>
                </c:pt>
                <c:pt idx="38">
                  <c:v>7.165354330708661E-6</c:v>
                </c:pt>
                <c:pt idx="39">
                  <c:v>8.0708661417322845E-6</c:v>
                </c:pt>
                <c:pt idx="40">
                  <c:v>9.055118110236222E-6</c:v>
                </c:pt>
                <c:pt idx="41">
                  <c:v>1.0078740157480316E-5</c:v>
                </c:pt>
                <c:pt idx="42">
                  <c:v>1.1102362204724411E-5</c:v>
                </c:pt>
                <c:pt idx="43">
                  <c:v>1.2086614173228347E-5</c:v>
                </c:pt>
                <c:pt idx="44">
                  <c:v>1.2992125984251968E-5</c:v>
                </c:pt>
                <c:pt idx="45">
                  <c:v>1.3779527559055119E-5</c:v>
                </c:pt>
                <c:pt idx="46">
                  <c:v>1.4409448818897639E-5</c:v>
                </c:pt>
                <c:pt idx="47">
                  <c:v>1.4842519685039371E-5</c:v>
                </c:pt>
                <c:pt idx="48">
                  <c:v>1.5118110236220473E-5</c:v>
                </c:pt>
                <c:pt idx="49">
                  <c:v>1.5275590551181102E-5</c:v>
                </c:pt>
                <c:pt idx="50">
                  <c:v>1.5314960629921261E-5</c:v>
                </c:pt>
                <c:pt idx="51">
                  <c:v>1.5275590551181102E-5</c:v>
                </c:pt>
                <c:pt idx="52">
                  <c:v>1.5196850393700789E-5</c:v>
                </c:pt>
                <c:pt idx="53">
                  <c:v>1.5118110236220473E-5</c:v>
                </c:pt>
                <c:pt idx="54">
                  <c:v>1.5E-5</c:v>
                </c:pt>
                <c:pt idx="55">
                  <c:v>1.4921259842519686E-5</c:v>
                </c:pt>
                <c:pt idx="56">
                  <c:v>1.488188976377953E-5</c:v>
                </c:pt>
                <c:pt idx="57">
                  <c:v>1.4803149606299212E-5</c:v>
                </c:pt>
                <c:pt idx="58">
                  <c:v>1.4803149606299212E-5</c:v>
                </c:pt>
                <c:pt idx="59">
                  <c:v>1.4803149606299212E-5</c:v>
                </c:pt>
                <c:pt idx="60">
                  <c:v>1.4803149606299212E-5</c:v>
                </c:pt>
                <c:pt idx="61">
                  <c:v>1.4842519685039371E-5</c:v>
                </c:pt>
                <c:pt idx="62">
                  <c:v>1.4921259842519686E-5</c:v>
                </c:pt>
                <c:pt idx="63">
                  <c:v>1.5E-5</c:v>
                </c:pt>
                <c:pt idx="64">
                  <c:v>1.5078740157480316E-5</c:v>
                </c:pt>
                <c:pt idx="65">
                  <c:v>1.5157480314960632E-5</c:v>
                </c:pt>
                <c:pt idx="66">
                  <c:v>1.5275590551181102E-5</c:v>
                </c:pt>
                <c:pt idx="67">
                  <c:v>1.5393700787401575E-5</c:v>
                </c:pt>
                <c:pt idx="68">
                  <c:v>1.5551181102362203E-5</c:v>
                </c:pt>
                <c:pt idx="69">
                  <c:v>1.5708661417322834E-5</c:v>
                </c:pt>
                <c:pt idx="70">
                  <c:v>1.5905511811023624E-5</c:v>
                </c:pt>
                <c:pt idx="71">
                  <c:v>1.6141732283464569E-5</c:v>
                </c:pt>
                <c:pt idx="72">
                  <c:v>1.6456692913385828E-5</c:v>
                </c:pt>
                <c:pt idx="73">
                  <c:v>1.6771653543307087E-5</c:v>
                </c:pt>
                <c:pt idx="74">
                  <c:v>1.716535433070866E-5</c:v>
                </c:pt>
                <c:pt idx="75">
                  <c:v>1.7677165354330709E-5</c:v>
                </c:pt>
                <c:pt idx="76">
                  <c:v>1.8228346456692913E-5</c:v>
                </c:pt>
                <c:pt idx="77">
                  <c:v>1.889763779527559E-5</c:v>
                </c:pt>
                <c:pt idx="78">
                  <c:v>1.9685039370078743E-5</c:v>
                </c:pt>
                <c:pt idx="79">
                  <c:v>2.0551181102362206E-5</c:v>
                </c:pt>
                <c:pt idx="80">
                  <c:v>2.1496062992125986E-5</c:v>
                </c:pt>
                <c:pt idx="81">
                  <c:v>2.2559055118110236E-5</c:v>
                </c:pt>
                <c:pt idx="82">
                  <c:v>2.3740157480314962E-5</c:v>
                </c:pt>
                <c:pt idx="83">
                  <c:v>2.4960629921259846E-5</c:v>
                </c:pt>
                <c:pt idx="84">
                  <c:v>2.6220472440944882E-5</c:v>
                </c:pt>
                <c:pt idx="85">
                  <c:v>2.751968503937008E-5</c:v>
                </c:pt>
                <c:pt idx="86">
                  <c:v>2.877952755905512E-5</c:v>
                </c:pt>
                <c:pt idx="87">
                  <c:v>3.0039370078740159E-5</c:v>
                </c:pt>
                <c:pt idx="88">
                  <c:v>3.1181102362204723E-5</c:v>
                </c:pt>
                <c:pt idx="89">
                  <c:v>3.2204724409448821E-5</c:v>
                </c:pt>
                <c:pt idx="90">
                  <c:v>3.3031496062992125E-5</c:v>
                </c:pt>
                <c:pt idx="91">
                  <c:v>3.3700787401574802E-5</c:v>
                </c:pt>
                <c:pt idx="92">
                  <c:v>3.413385826771654E-5</c:v>
                </c:pt>
                <c:pt idx="93">
                  <c:v>3.4370078740157486E-5</c:v>
                </c:pt>
                <c:pt idx="94">
                  <c:v>3.4409448818897638E-5</c:v>
                </c:pt>
                <c:pt idx="95">
                  <c:v>3.4212598425196851E-5</c:v>
                </c:pt>
                <c:pt idx="96">
                  <c:v>3.3897637795275595E-5</c:v>
                </c:pt>
                <c:pt idx="97">
                  <c:v>3.3425196850393705E-5</c:v>
                </c:pt>
                <c:pt idx="98">
                  <c:v>3.2874015748031498E-5</c:v>
                </c:pt>
                <c:pt idx="99">
                  <c:v>3.2244094488188979E-5</c:v>
                </c:pt>
                <c:pt idx="100">
                  <c:v>3.1535433070866144E-5</c:v>
                </c:pt>
                <c:pt idx="101">
                  <c:v>3.0826771653543309E-5</c:v>
                </c:pt>
                <c:pt idx="102">
                  <c:v>3.0078740157480318E-5</c:v>
                </c:pt>
                <c:pt idx="103">
                  <c:v>2.9370078740157483E-5</c:v>
                </c:pt>
                <c:pt idx="104">
                  <c:v>2.8661417322834644E-5</c:v>
                </c:pt>
                <c:pt idx="105">
                  <c:v>2.7952755905511812E-5</c:v>
                </c:pt>
                <c:pt idx="106">
                  <c:v>2.724409448818898E-5</c:v>
                </c:pt>
                <c:pt idx="107">
                  <c:v>2.6574803149606303E-5</c:v>
                </c:pt>
                <c:pt idx="108">
                  <c:v>2.5944881889763778E-5</c:v>
                </c:pt>
                <c:pt idx="109">
                  <c:v>2.5354330708661419E-5</c:v>
                </c:pt>
                <c:pt idx="110">
                  <c:v>2.4763779527559056E-5</c:v>
                </c:pt>
                <c:pt idx="111">
                  <c:v>2.4212598425196855E-5</c:v>
                </c:pt>
                <c:pt idx="112">
                  <c:v>2.3700787401574803E-5</c:v>
                </c:pt>
                <c:pt idx="113">
                  <c:v>2.3188976377952757E-5</c:v>
                </c:pt>
                <c:pt idx="114">
                  <c:v>2.2716535433070871E-5</c:v>
                </c:pt>
                <c:pt idx="115">
                  <c:v>2.2283464566929136E-5</c:v>
                </c:pt>
                <c:pt idx="116">
                  <c:v>2.1850393700787401E-5</c:v>
                </c:pt>
                <c:pt idx="117">
                  <c:v>2.1456692913385828E-5</c:v>
                </c:pt>
                <c:pt idx="118">
                  <c:v>2.1062992125984251E-5</c:v>
                </c:pt>
                <c:pt idx="119">
                  <c:v>2.0708661417322837E-5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EB-4BF3-84FE-65FBA4AC184E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P5_UB!$A$7:$A$126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P5_UB!$H$7:$H$126</c:f>
              <c:numCache>
                <c:formatCode>0.00E+00</c:formatCode>
                <c:ptCount val="120"/>
                <c:pt idx="0">
                  <c:v>1.3543307086614174E-8</c:v>
                </c:pt>
                <c:pt idx="1">
                  <c:v>5.4330708661417322E-8</c:v>
                </c:pt>
                <c:pt idx="2">
                  <c:v>1.2244094488188977E-7</c:v>
                </c:pt>
                <c:pt idx="3">
                  <c:v>2.1889763779527562E-7</c:v>
                </c:pt>
                <c:pt idx="4">
                  <c:v>3.4448818897637803E-7</c:v>
                </c:pt>
                <c:pt idx="5">
                  <c:v>5.0000000000000008E-7</c:v>
                </c:pt>
                <c:pt idx="6">
                  <c:v>6.8503937007874017E-7</c:v>
                </c:pt>
                <c:pt idx="7">
                  <c:v>9.0551181102362207E-7</c:v>
                </c:pt>
                <c:pt idx="8">
                  <c:v>1.1574803149606299E-6</c:v>
                </c:pt>
                <c:pt idx="9">
                  <c:v>1.4488188976377953E-6</c:v>
                </c:pt>
                <c:pt idx="10">
                  <c:v>1.7795275590551183E-6</c:v>
                </c:pt>
                <c:pt idx="11">
                  <c:v>2.1496062992125987E-6</c:v>
                </c:pt>
                <c:pt idx="12">
                  <c:v>2.5669291338582676E-6</c:v>
                </c:pt>
                <c:pt idx="13">
                  <c:v>3.0314960629921263E-6</c:v>
                </c:pt>
                <c:pt idx="14">
                  <c:v>3.5472440944881893E-6</c:v>
                </c:pt>
                <c:pt idx="15">
                  <c:v>4.1338582677165355E-6</c:v>
                </c:pt>
                <c:pt idx="16">
                  <c:v>4.7637795275590561E-6</c:v>
                </c:pt>
                <c:pt idx="17">
                  <c:v>5.433070866141732E-6</c:v>
                </c:pt>
                <c:pt idx="18">
                  <c:v>6.220472440944883E-6</c:v>
                </c:pt>
                <c:pt idx="19">
                  <c:v>7.0472440944881901E-6</c:v>
                </c:pt>
                <c:pt idx="20">
                  <c:v>7.9921259842519689E-6</c:v>
                </c:pt>
                <c:pt idx="21">
                  <c:v>9.0157480314960633E-6</c:v>
                </c:pt>
                <c:pt idx="22">
                  <c:v>1.0118110236220472E-5</c:v>
                </c:pt>
                <c:pt idx="23">
                  <c:v>1.1377952755905513E-5</c:v>
                </c:pt>
                <c:pt idx="24">
                  <c:v>1.2716535433070868E-5</c:v>
                </c:pt>
                <c:pt idx="25">
                  <c:v>1.4251968503937008E-5</c:v>
                </c:pt>
                <c:pt idx="26">
                  <c:v>1.5866141732283465E-5</c:v>
                </c:pt>
                <c:pt idx="27">
                  <c:v>1.7716535433070868E-5</c:v>
                </c:pt>
                <c:pt idx="28">
                  <c:v>1.9724409448818901E-5</c:v>
                </c:pt>
                <c:pt idx="29">
                  <c:v>2.1929133858267718E-5</c:v>
                </c:pt>
                <c:pt idx="30">
                  <c:v>2.437007874015748E-5</c:v>
                </c:pt>
                <c:pt idx="31">
                  <c:v>2.7086614173228349E-5</c:v>
                </c:pt>
                <c:pt idx="32">
                  <c:v>3.0078740157480318E-5</c:v>
                </c:pt>
                <c:pt idx="33">
                  <c:v>3.3385826771653546E-5</c:v>
                </c:pt>
                <c:pt idx="34">
                  <c:v>3.7007874015748034E-5</c:v>
                </c:pt>
                <c:pt idx="35">
                  <c:v>4.0944881889763777E-5</c:v>
                </c:pt>
                <c:pt idx="36">
                  <c:v>4.5275590551181107E-5</c:v>
                </c:pt>
                <c:pt idx="37">
                  <c:v>4.9606299212598429E-5</c:v>
                </c:pt>
                <c:pt idx="38">
                  <c:v>5.3937007874015745E-5</c:v>
                </c:pt>
                <c:pt idx="39">
                  <c:v>5.7874015748031495E-5</c:v>
                </c:pt>
                <c:pt idx="40">
                  <c:v>6.1023622047244093E-5</c:v>
                </c:pt>
                <c:pt idx="41">
                  <c:v>6.2992125984251971E-5</c:v>
                </c:pt>
                <c:pt idx="42">
                  <c:v>6.2992125984251971E-5</c:v>
                </c:pt>
                <c:pt idx="43">
                  <c:v>6.1811023622047252E-5</c:v>
                </c:pt>
                <c:pt idx="44">
                  <c:v>5.9842519685039374E-5</c:v>
                </c:pt>
                <c:pt idx="45">
                  <c:v>5.7480314960629922E-5</c:v>
                </c:pt>
                <c:pt idx="46">
                  <c:v>5.5118110236220478E-5</c:v>
                </c:pt>
                <c:pt idx="47">
                  <c:v>5.3149606299212606E-5</c:v>
                </c:pt>
                <c:pt idx="48">
                  <c:v>5.1574803149606301E-5</c:v>
                </c:pt>
                <c:pt idx="49">
                  <c:v>5.0787401574803148E-5</c:v>
                </c:pt>
                <c:pt idx="50">
                  <c:v>5.0393700787401582E-5</c:v>
                </c:pt>
                <c:pt idx="51">
                  <c:v>5.0393700787401582E-5</c:v>
                </c:pt>
                <c:pt idx="52">
                  <c:v>5.0393700787401582E-5</c:v>
                </c:pt>
                <c:pt idx="53">
                  <c:v>5.0787401574803148E-5</c:v>
                </c:pt>
                <c:pt idx="54">
                  <c:v>5.0787401574803148E-5</c:v>
                </c:pt>
                <c:pt idx="55">
                  <c:v>5.1181102362204728E-5</c:v>
                </c:pt>
                <c:pt idx="56">
                  <c:v>5.1574803149606301E-5</c:v>
                </c:pt>
                <c:pt idx="57">
                  <c:v>5.1968503937007874E-5</c:v>
                </c:pt>
                <c:pt idx="58">
                  <c:v>5.1968503937007874E-5</c:v>
                </c:pt>
                <c:pt idx="59">
                  <c:v>5.2755905511811027E-5</c:v>
                </c:pt>
                <c:pt idx="60">
                  <c:v>5.3149606299212606E-5</c:v>
                </c:pt>
                <c:pt idx="61">
                  <c:v>5.3543307086614173E-5</c:v>
                </c:pt>
                <c:pt idx="62">
                  <c:v>5.4330708661417325E-5</c:v>
                </c:pt>
                <c:pt idx="63">
                  <c:v>5.5118110236220478E-5</c:v>
                </c:pt>
                <c:pt idx="64">
                  <c:v>5.6299212598425204E-5</c:v>
                </c:pt>
                <c:pt idx="65">
                  <c:v>5.7480314960629922E-5</c:v>
                </c:pt>
                <c:pt idx="66">
                  <c:v>5.8661417322834648E-5</c:v>
                </c:pt>
                <c:pt idx="67">
                  <c:v>5.9842519685039374E-5</c:v>
                </c:pt>
                <c:pt idx="68">
                  <c:v>6.1417322834645679E-5</c:v>
                </c:pt>
                <c:pt idx="69">
                  <c:v>6.2992125984251971E-5</c:v>
                </c:pt>
                <c:pt idx="70">
                  <c:v>6.4566929133858276E-5</c:v>
                </c:pt>
                <c:pt idx="71">
                  <c:v>6.6535433070866141E-5</c:v>
                </c:pt>
                <c:pt idx="72">
                  <c:v>6.8110236220472446E-5</c:v>
                </c:pt>
                <c:pt idx="73">
                  <c:v>6.9685039370078752E-5</c:v>
                </c:pt>
                <c:pt idx="74">
                  <c:v>7.1653543307086617E-5</c:v>
                </c:pt>
                <c:pt idx="75">
                  <c:v>7.3228346456692908E-5</c:v>
                </c:pt>
                <c:pt idx="76">
                  <c:v>7.5196850393700787E-5</c:v>
                </c:pt>
                <c:pt idx="77">
                  <c:v>7.6771653543307092E-5</c:v>
                </c:pt>
                <c:pt idx="78">
                  <c:v>7.874015748031497E-5</c:v>
                </c:pt>
                <c:pt idx="79">
                  <c:v>8.0314960629921276E-5</c:v>
                </c:pt>
                <c:pt idx="80">
                  <c:v>8.1889763779527554E-5</c:v>
                </c:pt>
                <c:pt idx="81">
                  <c:v>8.30708661417323E-5</c:v>
                </c:pt>
                <c:pt idx="82">
                  <c:v>8.4645669291338592E-5</c:v>
                </c:pt>
                <c:pt idx="83">
                  <c:v>8.5826771653543311E-5</c:v>
                </c:pt>
                <c:pt idx="84">
                  <c:v>8.661417322834647E-5</c:v>
                </c:pt>
                <c:pt idx="85">
                  <c:v>8.7401574803149602E-5</c:v>
                </c:pt>
                <c:pt idx="86">
                  <c:v>8.8188976377952775E-5</c:v>
                </c:pt>
                <c:pt idx="87">
                  <c:v>8.8582677165354348E-5</c:v>
                </c:pt>
                <c:pt idx="88">
                  <c:v>8.8976377952755908E-5</c:v>
                </c:pt>
                <c:pt idx="89">
                  <c:v>8.8976377952755908E-5</c:v>
                </c:pt>
                <c:pt idx="90">
                  <c:v>8.8976377952755908E-5</c:v>
                </c:pt>
                <c:pt idx="91">
                  <c:v>8.8582677165354348E-5</c:v>
                </c:pt>
                <c:pt idx="92">
                  <c:v>8.8582677165354348E-5</c:v>
                </c:pt>
                <c:pt idx="93">
                  <c:v>8.8188976377952775E-5</c:v>
                </c:pt>
                <c:pt idx="94">
                  <c:v>8.7401574803149602E-5</c:v>
                </c:pt>
                <c:pt idx="95">
                  <c:v>8.7007874015748043E-5</c:v>
                </c:pt>
                <c:pt idx="96">
                  <c:v>8.6220472440944897E-5</c:v>
                </c:pt>
                <c:pt idx="97">
                  <c:v>8.5826771653543311E-5</c:v>
                </c:pt>
                <c:pt idx="98">
                  <c:v>8.5039370078740165E-5</c:v>
                </c:pt>
                <c:pt idx="99">
                  <c:v>8.4251968503937005E-5</c:v>
                </c:pt>
                <c:pt idx="100">
                  <c:v>8.3464566929133859E-5</c:v>
                </c:pt>
                <c:pt idx="101">
                  <c:v>8.2677165354330713E-5</c:v>
                </c:pt>
                <c:pt idx="102">
                  <c:v>8.1889763779527554E-5</c:v>
                </c:pt>
                <c:pt idx="103">
                  <c:v>8.1102362204724422E-5</c:v>
                </c:pt>
                <c:pt idx="104">
                  <c:v>8.0314960629921276E-5</c:v>
                </c:pt>
                <c:pt idx="105">
                  <c:v>7.9527559055118116E-5</c:v>
                </c:pt>
                <c:pt idx="106">
                  <c:v>7.874015748031497E-5</c:v>
                </c:pt>
                <c:pt idx="107">
                  <c:v>7.8346456692913397E-5</c:v>
                </c:pt>
                <c:pt idx="108">
                  <c:v>7.7559055118110252E-5</c:v>
                </c:pt>
                <c:pt idx="109">
                  <c:v>7.6771653543307092E-5</c:v>
                </c:pt>
                <c:pt idx="110">
                  <c:v>7.5984251968503946E-5</c:v>
                </c:pt>
                <c:pt idx="111">
                  <c:v>7.5196850393700787E-5</c:v>
                </c:pt>
                <c:pt idx="112">
                  <c:v>7.4803149606299214E-5</c:v>
                </c:pt>
                <c:pt idx="113">
                  <c:v>7.4015748031496068E-5</c:v>
                </c:pt>
                <c:pt idx="114">
                  <c:v>7.3622047244094495E-5</c:v>
                </c:pt>
                <c:pt idx="115">
                  <c:v>7.2834645669291349E-5</c:v>
                </c:pt>
                <c:pt idx="116">
                  <c:v>7.2440944881889776E-5</c:v>
                </c:pt>
                <c:pt idx="117">
                  <c:v>7.1653543307086617E-5</c:v>
                </c:pt>
                <c:pt idx="118">
                  <c:v>7.1259842519685044E-5</c:v>
                </c:pt>
                <c:pt idx="119">
                  <c:v>7.0866141732283471E-5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EB-4BF3-84FE-65FBA4AC184E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94EB-4BF3-84FE-65FBA4AC184E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5.5551181102362203E-4</c:v>
                </c:pt>
                <c:pt idx="1">
                  <c:v>5.5551181102362203E-4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EB-4BF3-84FE-65FBA4AC1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20-4796-99D5-606F6041D184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20-4796-99D5-606F6041D184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20-4796-99D5-606F6041D184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20-4796-99D5-606F6041D184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120-4796-99D5-606F6041D184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120-4796-99D5-606F6041D184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120-4796-99D5-606F6041D184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120-4796-99D5-606F6041D184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120-4796-99D5-606F6041D184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120-4796-99D5-606F6041D184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120-4796-99D5-606F6041D184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120-4796-99D5-606F6041D184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120-4796-99D5-606F6041D184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120-4796-99D5-606F6041D184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120-4796-99D5-606F6041D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03-4AA8-9412-7CCE203A4750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03-4AA8-9412-7CCE203A4750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03-4AA8-9412-7CCE203A4750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03-4AA8-9412-7CCE203A4750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03-4AA8-9412-7CCE203A4750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03-4AA8-9412-7CCE203A4750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603-4AA8-9412-7CCE203A4750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03-4AA8-9412-7CCE203A4750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603-4AA8-9412-7CCE203A4750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603-4AA8-9412-7CCE203A4750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603-4AA8-9412-7CCE203A4750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P6_UB!$A$7:$A$126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P6_UB!$F$7:$F$126</c:f>
              <c:numCache>
                <c:formatCode>0.00E+00</c:formatCode>
                <c:ptCount val="120"/>
                <c:pt idx="0">
                  <c:v>1.7755905511811026E-8</c:v>
                </c:pt>
                <c:pt idx="1">
                  <c:v>7.1259842519685048E-8</c:v>
                </c:pt>
                <c:pt idx="2">
                  <c:v>1.6062992125984253E-7</c:v>
                </c:pt>
                <c:pt idx="3">
                  <c:v>2.8661417322834647E-7</c:v>
                </c:pt>
                <c:pt idx="4">
                  <c:v>4.5275590551181104E-7</c:v>
                </c:pt>
                <c:pt idx="5">
                  <c:v>6.5354330708661425E-7</c:v>
                </c:pt>
                <c:pt idx="6">
                  <c:v>8.9763779527559051E-7</c:v>
                </c:pt>
                <c:pt idx="7">
                  <c:v>1.1850393700787401E-6</c:v>
                </c:pt>
                <c:pt idx="8">
                  <c:v>1.5157480314960632E-6</c:v>
                </c:pt>
                <c:pt idx="9">
                  <c:v>1.8937007874015751E-6</c:v>
                </c:pt>
                <c:pt idx="10">
                  <c:v>2.3228346456692914E-6</c:v>
                </c:pt>
                <c:pt idx="11">
                  <c:v>2.8070866141732285E-6</c:v>
                </c:pt>
                <c:pt idx="12">
                  <c:v>3.3464566929133858E-6</c:v>
                </c:pt>
                <c:pt idx="13">
                  <c:v>3.9370078740157482E-6</c:v>
                </c:pt>
                <c:pt idx="14">
                  <c:v>4.6062992125984258E-6</c:v>
                </c:pt>
                <c:pt idx="15">
                  <c:v>5.3543307086614173E-6</c:v>
                </c:pt>
                <c:pt idx="16">
                  <c:v>6.1811023622047244E-6</c:v>
                </c:pt>
                <c:pt idx="17">
                  <c:v>7.0866141732283462E-6</c:v>
                </c:pt>
                <c:pt idx="18">
                  <c:v>8.0708661417322845E-6</c:v>
                </c:pt>
                <c:pt idx="19">
                  <c:v>9.1732283464566929E-6</c:v>
                </c:pt>
                <c:pt idx="20">
                  <c:v>1.0393700787401574E-5</c:v>
                </c:pt>
                <c:pt idx="21">
                  <c:v>1.1732283464566929E-5</c:v>
                </c:pt>
                <c:pt idx="22">
                  <c:v>1.3228346456692914E-5</c:v>
                </c:pt>
                <c:pt idx="23">
                  <c:v>1.4842519685039371E-5</c:v>
                </c:pt>
                <c:pt idx="24">
                  <c:v>1.6692913385826773E-5</c:v>
                </c:pt>
                <c:pt idx="25">
                  <c:v>1.8700787401574803E-5</c:v>
                </c:pt>
                <c:pt idx="26">
                  <c:v>2.0984251968503941E-5</c:v>
                </c:pt>
                <c:pt idx="27">
                  <c:v>2.3543307086614175E-5</c:v>
                </c:pt>
                <c:pt idx="28">
                  <c:v>2.6417322834645672E-5</c:v>
                </c:pt>
                <c:pt idx="29">
                  <c:v>2.9645669291338583E-5</c:v>
                </c:pt>
                <c:pt idx="30">
                  <c:v>3.3307086614173236E-5</c:v>
                </c:pt>
                <c:pt idx="31">
                  <c:v>3.7480314960629924E-5</c:v>
                </c:pt>
                <c:pt idx="32">
                  <c:v>4.2125984251968503E-5</c:v>
                </c:pt>
                <c:pt idx="33">
                  <c:v>4.7637795275590558E-5</c:v>
                </c:pt>
                <c:pt idx="34">
                  <c:v>5.3937007874015745E-5</c:v>
                </c:pt>
                <c:pt idx="35">
                  <c:v>6.0629921259842526E-5</c:v>
                </c:pt>
                <c:pt idx="36">
                  <c:v>6.8503937007874019E-5</c:v>
                </c:pt>
                <c:pt idx="37">
                  <c:v>7.7165354330708665E-5</c:v>
                </c:pt>
                <c:pt idx="38">
                  <c:v>8.661417322834647E-5</c:v>
                </c:pt>
                <c:pt idx="39">
                  <c:v>9.6062992125984248E-5</c:v>
                </c:pt>
                <c:pt idx="40">
                  <c:v>1.0511811023622047E-4</c:v>
                </c:pt>
                <c:pt idx="41">
                  <c:v>1.1259842519685041E-4</c:v>
                </c:pt>
                <c:pt idx="42">
                  <c:v>1.173228346456693E-4</c:v>
                </c:pt>
                <c:pt idx="43">
                  <c:v>1.1929133858267716E-4</c:v>
                </c:pt>
                <c:pt idx="44">
                  <c:v>1.1850393700787403E-4</c:v>
                </c:pt>
                <c:pt idx="45">
                  <c:v>1.1574803149606299E-4</c:v>
                </c:pt>
                <c:pt idx="46">
                  <c:v>1.110236220472441E-4</c:v>
                </c:pt>
                <c:pt idx="47">
                  <c:v>1.0590551181102363E-4</c:v>
                </c:pt>
                <c:pt idx="48">
                  <c:v>1.0078740157480316E-4</c:v>
                </c:pt>
                <c:pt idx="49">
                  <c:v>9.5275590551181116E-5</c:v>
                </c:pt>
                <c:pt idx="50">
                  <c:v>9.0551181102362213E-5</c:v>
                </c:pt>
                <c:pt idx="51">
                  <c:v>8.5826771653543311E-5</c:v>
                </c:pt>
                <c:pt idx="52">
                  <c:v>8.1496062992125995E-5</c:v>
                </c:pt>
                <c:pt idx="53">
                  <c:v>7.7559055118110252E-5</c:v>
                </c:pt>
                <c:pt idx="54">
                  <c:v>7.4015748031496068E-5</c:v>
                </c:pt>
                <c:pt idx="55">
                  <c:v>7.0866141732283471E-5</c:v>
                </c:pt>
                <c:pt idx="56">
                  <c:v>6.7716535433070873E-5</c:v>
                </c:pt>
                <c:pt idx="57">
                  <c:v>6.4960629921259849E-5</c:v>
                </c:pt>
                <c:pt idx="58">
                  <c:v>6.2598425196850398E-5</c:v>
                </c:pt>
                <c:pt idx="59">
                  <c:v>6.0236220472440947E-5</c:v>
                </c:pt>
                <c:pt idx="60">
                  <c:v>5.8267716535433075E-5</c:v>
                </c:pt>
                <c:pt idx="61">
                  <c:v>5.6299212598425204E-5</c:v>
                </c:pt>
                <c:pt idx="62">
                  <c:v>5.4330708661417325E-5</c:v>
                </c:pt>
                <c:pt idx="63">
                  <c:v>5.2755905511811027E-5</c:v>
                </c:pt>
                <c:pt idx="64">
                  <c:v>5.1181102362204728E-5</c:v>
                </c:pt>
                <c:pt idx="65">
                  <c:v>4.9606299212598429E-5</c:v>
                </c:pt>
                <c:pt idx="66">
                  <c:v>4.8031496062992124E-5</c:v>
                </c:pt>
                <c:pt idx="67">
                  <c:v>4.6456692913385825E-5</c:v>
                </c:pt>
                <c:pt idx="68">
                  <c:v>4.5275590551181107E-5</c:v>
                </c:pt>
                <c:pt idx="69">
                  <c:v>4.4094488188976388E-5</c:v>
                </c:pt>
                <c:pt idx="70">
                  <c:v>4.2913385826771655E-5</c:v>
                </c:pt>
                <c:pt idx="71">
                  <c:v>4.173228346456693E-5</c:v>
                </c:pt>
                <c:pt idx="72">
                  <c:v>4.0551181102362211E-5</c:v>
                </c:pt>
                <c:pt idx="73">
                  <c:v>3.9763779527559058E-5</c:v>
                </c:pt>
                <c:pt idx="74">
                  <c:v>3.9015748031496064E-5</c:v>
                </c:pt>
                <c:pt idx="75">
                  <c:v>3.8425196850393705E-5</c:v>
                </c:pt>
                <c:pt idx="76">
                  <c:v>3.8031496062992125E-5</c:v>
                </c:pt>
                <c:pt idx="77">
                  <c:v>3.7874015748031504E-5</c:v>
                </c:pt>
                <c:pt idx="78">
                  <c:v>3.8070866141732284E-5</c:v>
                </c:pt>
                <c:pt idx="79">
                  <c:v>3.8582677165354333E-5</c:v>
                </c:pt>
                <c:pt idx="80">
                  <c:v>3.9370078740157485E-5</c:v>
                </c:pt>
                <c:pt idx="81">
                  <c:v>4.0944881889763777E-5</c:v>
                </c:pt>
                <c:pt idx="82">
                  <c:v>4.2913385826771655E-5</c:v>
                </c:pt>
                <c:pt idx="83">
                  <c:v>4.4881889763779534E-5</c:v>
                </c:pt>
                <c:pt idx="84">
                  <c:v>4.7637795275590558E-5</c:v>
                </c:pt>
                <c:pt idx="85">
                  <c:v>5.0787401574803148E-5</c:v>
                </c:pt>
                <c:pt idx="86">
                  <c:v>5.4330708661417325E-5</c:v>
                </c:pt>
                <c:pt idx="87">
                  <c:v>5.7874015748031495E-5</c:v>
                </c:pt>
                <c:pt idx="88">
                  <c:v>6.1811023622047252E-5</c:v>
                </c:pt>
                <c:pt idx="89">
                  <c:v>6.5354330708661422E-5</c:v>
                </c:pt>
                <c:pt idx="90">
                  <c:v>6.8897637795275592E-5</c:v>
                </c:pt>
                <c:pt idx="91">
                  <c:v>7.2440944881889776E-5</c:v>
                </c:pt>
                <c:pt idx="92">
                  <c:v>7.5196850393700787E-5</c:v>
                </c:pt>
                <c:pt idx="93">
                  <c:v>7.7559055118110252E-5</c:v>
                </c:pt>
                <c:pt idx="94">
                  <c:v>7.9527559055118116E-5</c:v>
                </c:pt>
                <c:pt idx="95">
                  <c:v>8.1102362204724422E-5</c:v>
                </c:pt>
                <c:pt idx="96">
                  <c:v>8.2283464566929127E-5</c:v>
                </c:pt>
                <c:pt idx="97">
                  <c:v>8.30708661417323E-5</c:v>
                </c:pt>
                <c:pt idx="98">
                  <c:v>8.30708661417323E-5</c:v>
                </c:pt>
                <c:pt idx="99">
                  <c:v>8.30708661417323E-5</c:v>
                </c:pt>
                <c:pt idx="100">
                  <c:v>8.30708661417323E-5</c:v>
                </c:pt>
                <c:pt idx="101">
                  <c:v>8.2677165354330713E-5</c:v>
                </c:pt>
                <c:pt idx="102">
                  <c:v>8.1889763779527554E-5</c:v>
                </c:pt>
                <c:pt idx="103">
                  <c:v>8.1102362204724422E-5</c:v>
                </c:pt>
                <c:pt idx="104">
                  <c:v>8.0314960629921276E-5</c:v>
                </c:pt>
                <c:pt idx="105">
                  <c:v>7.9527559055118116E-5</c:v>
                </c:pt>
                <c:pt idx="106">
                  <c:v>7.874015748031497E-5</c:v>
                </c:pt>
                <c:pt idx="107">
                  <c:v>7.7952755905511811E-5</c:v>
                </c:pt>
                <c:pt idx="108">
                  <c:v>7.7165354330708665E-5</c:v>
                </c:pt>
                <c:pt idx="109">
                  <c:v>7.6377952755905519E-5</c:v>
                </c:pt>
                <c:pt idx="110">
                  <c:v>7.559055118110236E-5</c:v>
                </c:pt>
                <c:pt idx="111">
                  <c:v>7.4803149606299214E-5</c:v>
                </c:pt>
                <c:pt idx="112">
                  <c:v>7.4015748031496068E-5</c:v>
                </c:pt>
                <c:pt idx="113">
                  <c:v>7.3228346456692908E-5</c:v>
                </c:pt>
                <c:pt idx="114">
                  <c:v>7.2440944881889776E-5</c:v>
                </c:pt>
                <c:pt idx="115">
                  <c:v>7.1653543307086617E-5</c:v>
                </c:pt>
                <c:pt idx="116">
                  <c:v>7.1259842519685044E-5</c:v>
                </c:pt>
                <c:pt idx="117">
                  <c:v>7.0472440944881884E-5</c:v>
                </c:pt>
                <c:pt idx="118">
                  <c:v>6.9685039370078752E-5</c:v>
                </c:pt>
                <c:pt idx="119">
                  <c:v>6.9291338582677165E-5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603-4AA8-9412-7CCE203A4750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P6_UB!$A$7:$A$126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P6_UB!$G$7:$G$126</c:f>
              <c:numCache>
                <c:formatCode>0.00E+00</c:formatCode>
                <c:ptCount val="120"/>
                <c:pt idx="0">
                  <c:v>1.346456692913386E-9</c:v>
                </c:pt>
                <c:pt idx="1">
                  <c:v>5.3937007874015752E-9</c:v>
                </c:pt>
                <c:pt idx="2">
                  <c:v>1.220472440944882E-8</c:v>
                </c:pt>
                <c:pt idx="3">
                  <c:v>2.1811023622047245E-8</c:v>
                </c:pt>
                <c:pt idx="4">
                  <c:v>3.4330708661417321E-8</c:v>
                </c:pt>
                <c:pt idx="5">
                  <c:v>4.9999999999999998E-8</c:v>
                </c:pt>
                <c:pt idx="6">
                  <c:v>6.8503937007874017E-8</c:v>
                </c:pt>
                <c:pt idx="7">
                  <c:v>9.0551181102362207E-8</c:v>
                </c:pt>
                <c:pt idx="8">
                  <c:v>1.1614173228346458E-7</c:v>
                </c:pt>
                <c:pt idx="9">
                  <c:v>1.452755905511811E-7</c:v>
                </c:pt>
                <c:pt idx="10">
                  <c:v>1.7834645669291338E-7</c:v>
                </c:pt>
                <c:pt idx="11">
                  <c:v>2.1614173228346459E-7</c:v>
                </c:pt>
                <c:pt idx="12">
                  <c:v>2.5826771653543311E-7</c:v>
                </c:pt>
                <c:pt idx="13">
                  <c:v>3.0511811023622049E-7</c:v>
                </c:pt>
                <c:pt idx="14">
                  <c:v>3.5748031496062994E-7</c:v>
                </c:pt>
                <c:pt idx="15">
                  <c:v>4.1732283464566933E-7</c:v>
                </c:pt>
                <c:pt idx="16">
                  <c:v>4.8031496062992129E-7</c:v>
                </c:pt>
                <c:pt idx="17">
                  <c:v>5.5511811023622048E-7</c:v>
                </c:pt>
                <c:pt idx="18">
                  <c:v>6.3779527559055123E-7</c:v>
                </c:pt>
                <c:pt idx="19">
                  <c:v>7.2834645669291344E-7</c:v>
                </c:pt>
                <c:pt idx="20">
                  <c:v>8.267716535433071E-7</c:v>
                </c:pt>
                <c:pt idx="21">
                  <c:v>9.3700787401574821E-7</c:v>
                </c:pt>
                <c:pt idx="22">
                  <c:v>1.062992125984252E-6</c:v>
                </c:pt>
                <c:pt idx="23">
                  <c:v>1.2007874015748033E-6</c:v>
                </c:pt>
                <c:pt idx="24">
                  <c:v>1.3503937007874017E-6</c:v>
                </c:pt>
                <c:pt idx="25">
                  <c:v>1.5236220472440947E-6</c:v>
                </c:pt>
                <c:pt idx="26">
                  <c:v>1.7125984251968505E-6</c:v>
                </c:pt>
                <c:pt idx="27">
                  <c:v>1.9251968503937009E-6</c:v>
                </c:pt>
                <c:pt idx="28">
                  <c:v>2.1653543307086614E-6</c:v>
                </c:pt>
                <c:pt idx="29">
                  <c:v>2.4370078740157481E-6</c:v>
                </c:pt>
                <c:pt idx="30">
                  <c:v>2.7440944881889765E-6</c:v>
                </c:pt>
                <c:pt idx="31">
                  <c:v>3.0905511811023622E-6</c:v>
                </c:pt>
                <c:pt idx="32">
                  <c:v>3.480314960629921E-6</c:v>
                </c:pt>
                <c:pt idx="33">
                  <c:v>3.9251968503937013E-6</c:v>
                </c:pt>
                <c:pt idx="34">
                  <c:v>4.4488188976377962E-6</c:v>
                </c:pt>
                <c:pt idx="35">
                  <c:v>5.0000000000000013E-6</c:v>
                </c:pt>
                <c:pt idx="36">
                  <c:v>5.6299212598425202E-6</c:v>
                </c:pt>
                <c:pt idx="37">
                  <c:v>6.3779527559055125E-6</c:v>
                </c:pt>
                <c:pt idx="38">
                  <c:v>7.165354330708661E-6</c:v>
                </c:pt>
                <c:pt idx="39">
                  <c:v>8.0708661417322845E-6</c:v>
                </c:pt>
                <c:pt idx="40">
                  <c:v>9.055118110236222E-6</c:v>
                </c:pt>
                <c:pt idx="41">
                  <c:v>1.0078740157480316E-5</c:v>
                </c:pt>
                <c:pt idx="42">
                  <c:v>1.1102362204724411E-5</c:v>
                </c:pt>
                <c:pt idx="43">
                  <c:v>1.2086614173228347E-5</c:v>
                </c:pt>
                <c:pt idx="44">
                  <c:v>1.2992125984251968E-5</c:v>
                </c:pt>
                <c:pt idx="45">
                  <c:v>1.3779527559055119E-5</c:v>
                </c:pt>
                <c:pt idx="46">
                  <c:v>1.4409448818897639E-5</c:v>
                </c:pt>
                <c:pt idx="47">
                  <c:v>1.4842519685039371E-5</c:v>
                </c:pt>
                <c:pt idx="48">
                  <c:v>1.5118110236220473E-5</c:v>
                </c:pt>
                <c:pt idx="49">
                  <c:v>1.5275590551181102E-5</c:v>
                </c:pt>
                <c:pt idx="50">
                  <c:v>1.5314960629921261E-5</c:v>
                </c:pt>
                <c:pt idx="51">
                  <c:v>1.5275590551181102E-5</c:v>
                </c:pt>
                <c:pt idx="52">
                  <c:v>1.5196850393700789E-5</c:v>
                </c:pt>
                <c:pt idx="53">
                  <c:v>1.5118110236220473E-5</c:v>
                </c:pt>
                <c:pt idx="54">
                  <c:v>1.5E-5</c:v>
                </c:pt>
                <c:pt idx="55">
                  <c:v>1.4921259842519686E-5</c:v>
                </c:pt>
                <c:pt idx="56">
                  <c:v>1.488188976377953E-5</c:v>
                </c:pt>
                <c:pt idx="57">
                  <c:v>1.4803149606299212E-5</c:v>
                </c:pt>
                <c:pt idx="58">
                  <c:v>1.4803149606299212E-5</c:v>
                </c:pt>
                <c:pt idx="59">
                  <c:v>1.4803149606299212E-5</c:v>
                </c:pt>
                <c:pt idx="60">
                  <c:v>1.4803149606299212E-5</c:v>
                </c:pt>
                <c:pt idx="61">
                  <c:v>1.4842519685039371E-5</c:v>
                </c:pt>
                <c:pt idx="62">
                  <c:v>1.4921259842519686E-5</c:v>
                </c:pt>
                <c:pt idx="63">
                  <c:v>1.5E-5</c:v>
                </c:pt>
                <c:pt idx="64">
                  <c:v>1.5078740157480316E-5</c:v>
                </c:pt>
                <c:pt idx="65">
                  <c:v>1.5157480314960632E-5</c:v>
                </c:pt>
                <c:pt idx="66">
                  <c:v>1.5275590551181102E-5</c:v>
                </c:pt>
                <c:pt idx="67">
                  <c:v>1.5393700787401575E-5</c:v>
                </c:pt>
                <c:pt idx="68">
                  <c:v>1.5551181102362203E-5</c:v>
                </c:pt>
                <c:pt idx="69">
                  <c:v>1.5708661417322834E-5</c:v>
                </c:pt>
                <c:pt idx="70">
                  <c:v>1.5905511811023624E-5</c:v>
                </c:pt>
                <c:pt idx="71">
                  <c:v>1.6141732283464569E-5</c:v>
                </c:pt>
                <c:pt idx="72">
                  <c:v>1.6456692913385828E-5</c:v>
                </c:pt>
                <c:pt idx="73">
                  <c:v>1.6771653543307087E-5</c:v>
                </c:pt>
                <c:pt idx="74">
                  <c:v>1.716535433070866E-5</c:v>
                </c:pt>
                <c:pt idx="75">
                  <c:v>1.7677165354330709E-5</c:v>
                </c:pt>
                <c:pt idx="76">
                  <c:v>1.8228346456692913E-5</c:v>
                </c:pt>
                <c:pt idx="77">
                  <c:v>1.889763779527559E-5</c:v>
                </c:pt>
                <c:pt idx="78">
                  <c:v>1.9685039370078743E-5</c:v>
                </c:pt>
                <c:pt idx="79">
                  <c:v>2.0551181102362206E-5</c:v>
                </c:pt>
                <c:pt idx="80">
                  <c:v>2.1496062992125986E-5</c:v>
                </c:pt>
                <c:pt idx="81">
                  <c:v>2.2559055118110236E-5</c:v>
                </c:pt>
                <c:pt idx="82">
                  <c:v>2.3740157480314962E-5</c:v>
                </c:pt>
                <c:pt idx="83">
                  <c:v>2.4960629921259846E-5</c:v>
                </c:pt>
                <c:pt idx="84">
                  <c:v>2.6220472440944882E-5</c:v>
                </c:pt>
                <c:pt idx="85">
                  <c:v>2.751968503937008E-5</c:v>
                </c:pt>
                <c:pt idx="86">
                  <c:v>2.877952755905512E-5</c:v>
                </c:pt>
                <c:pt idx="87">
                  <c:v>3.0039370078740159E-5</c:v>
                </c:pt>
                <c:pt idx="88">
                  <c:v>3.1181102362204723E-5</c:v>
                </c:pt>
                <c:pt idx="89">
                  <c:v>3.2204724409448821E-5</c:v>
                </c:pt>
                <c:pt idx="90">
                  <c:v>3.3031496062992125E-5</c:v>
                </c:pt>
                <c:pt idx="91">
                  <c:v>3.3700787401574802E-5</c:v>
                </c:pt>
                <c:pt idx="92">
                  <c:v>3.413385826771654E-5</c:v>
                </c:pt>
                <c:pt idx="93">
                  <c:v>3.4370078740157486E-5</c:v>
                </c:pt>
                <c:pt idx="94">
                  <c:v>3.4409448818897638E-5</c:v>
                </c:pt>
                <c:pt idx="95">
                  <c:v>3.4212598425196851E-5</c:v>
                </c:pt>
                <c:pt idx="96">
                  <c:v>3.3897637795275595E-5</c:v>
                </c:pt>
                <c:pt idx="97">
                  <c:v>3.3425196850393705E-5</c:v>
                </c:pt>
                <c:pt idx="98">
                  <c:v>3.2874015748031498E-5</c:v>
                </c:pt>
                <c:pt idx="99">
                  <c:v>3.2244094488188979E-5</c:v>
                </c:pt>
                <c:pt idx="100">
                  <c:v>3.1535433070866144E-5</c:v>
                </c:pt>
                <c:pt idx="101">
                  <c:v>3.0826771653543309E-5</c:v>
                </c:pt>
                <c:pt idx="102">
                  <c:v>3.0078740157480318E-5</c:v>
                </c:pt>
                <c:pt idx="103">
                  <c:v>2.9370078740157483E-5</c:v>
                </c:pt>
                <c:pt idx="104">
                  <c:v>2.8661417322834644E-5</c:v>
                </c:pt>
                <c:pt idx="105">
                  <c:v>2.7952755905511812E-5</c:v>
                </c:pt>
                <c:pt idx="106">
                  <c:v>2.724409448818898E-5</c:v>
                </c:pt>
                <c:pt idx="107">
                  <c:v>2.6574803149606303E-5</c:v>
                </c:pt>
                <c:pt idx="108">
                  <c:v>2.5944881889763778E-5</c:v>
                </c:pt>
                <c:pt idx="109">
                  <c:v>2.5354330708661419E-5</c:v>
                </c:pt>
                <c:pt idx="110">
                  <c:v>2.4763779527559056E-5</c:v>
                </c:pt>
                <c:pt idx="111">
                  <c:v>2.4212598425196855E-5</c:v>
                </c:pt>
                <c:pt idx="112">
                  <c:v>2.3700787401574803E-5</c:v>
                </c:pt>
                <c:pt idx="113">
                  <c:v>2.3188976377952757E-5</c:v>
                </c:pt>
                <c:pt idx="114">
                  <c:v>2.2716535433070871E-5</c:v>
                </c:pt>
                <c:pt idx="115">
                  <c:v>2.2283464566929136E-5</c:v>
                </c:pt>
                <c:pt idx="116">
                  <c:v>2.1850393700787401E-5</c:v>
                </c:pt>
                <c:pt idx="117">
                  <c:v>2.1456692913385828E-5</c:v>
                </c:pt>
                <c:pt idx="118">
                  <c:v>2.1062992125984251E-5</c:v>
                </c:pt>
                <c:pt idx="119">
                  <c:v>2.0708661417322837E-5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603-4AA8-9412-7CCE203A4750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P6_UB!$A$7:$A$126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P6_UB!$H$7:$H$126</c:f>
              <c:numCache>
                <c:formatCode>0.00E+00</c:formatCode>
                <c:ptCount val="120"/>
                <c:pt idx="0">
                  <c:v>1.0708661417322836E-8</c:v>
                </c:pt>
                <c:pt idx="1">
                  <c:v>4.2913385826771657E-8</c:v>
                </c:pt>
                <c:pt idx="2">
                  <c:v>9.7244094488188978E-8</c:v>
                </c:pt>
                <c:pt idx="3">
                  <c:v>1.7401574803149607E-7</c:v>
                </c:pt>
                <c:pt idx="4">
                  <c:v>2.7440944881889763E-7</c:v>
                </c:pt>
                <c:pt idx="5">
                  <c:v>3.9763779527559059E-7</c:v>
                </c:pt>
                <c:pt idx="6">
                  <c:v>5.511811023622047E-7</c:v>
                </c:pt>
                <c:pt idx="7">
                  <c:v>7.2440944881889766E-7</c:v>
                </c:pt>
                <c:pt idx="8">
                  <c:v>9.2913385826771665E-7</c:v>
                </c:pt>
                <c:pt idx="9">
                  <c:v>1.1653543307086615E-6</c:v>
                </c:pt>
                <c:pt idx="10">
                  <c:v>1.4330708661417326E-6</c:v>
                </c:pt>
                <c:pt idx="11">
                  <c:v>1.7401574803149605E-6</c:v>
                </c:pt>
                <c:pt idx="12">
                  <c:v>2.0826771653543309E-6</c:v>
                </c:pt>
                <c:pt idx="13">
                  <c:v>2.4645669291338586E-6</c:v>
                </c:pt>
                <c:pt idx="14">
                  <c:v>2.8937007874015749E-6</c:v>
                </c:pt>
                <c:pt idx="15">
                  <c:v>3.3661417322834651E-6</c:v>
                </c:pt>
                <c:pt idx="16">
                  <c:v>3.893700787401575E-6</c:v>
                </c:pt>
                <c:pt idx="17">
                  <c:v>4.4881889763779532E-6</c:v>
                </c:pt>
                <c:pt idx="18">
                  <c:v>5.1181102362204721E-6</c:v>
                </c:pt>
                <c:pt idx="19">
                  <c:v>5.8267716535433075E-6</c:v>
                </c:pt>
                <c:pt idx="20">
                  <c:v>6.6141732283464568E-6</c:v>
                </c:pt>
                <c:pt idx="21">
                  <c:v>7.5196850393700795E-6</c:v>
                </c:pt>
                <c:pt idx="22">
                  <c:v>8.5039370078740161E-6</c:v>
                </c:pt>
                <c:pt idx="23">
                  <c:v>9.5669291338582675E-6</c:v>
                </c:pt>
                <c:pt idx="24">
                  <c:v>1.078740157480315E-5</c:v>
                </c:pt>
                <c:pt idx="25">
                  <c:v>1.2125984251968505E-5</c:v>
                </c:pt>
                <c:pt idx="26">
                  <c:v>1.362204724409449E-5</c:v>
                </c:pt>
                <c:pt idx="27">
                  <c:v>1.5275590551181102E-5</c:v>
                </c:pt>
                <c:pt idx="28">
                  <c:v>1.7086614173228346E-5</c:v>
                </c:pt>
                <c:pt idx="29">
                  <c:v>1.9173228346456694E-5</c:v>
                </c:pt>
                <c:pt idx="30">
                  <c:v>2.1456692913385828E-5</c:v>
                </c:pt>
                <c:pt idx="31">
                  <c:v>2.4055118110236221E-5</c:v>
                </c:pt>
                <c:pt idx="32">
                  <c:v>2.6929133858267721E-5</c:v>
                </c:pt>
                <c:pt idx="33">
                  <c:v>3.0196850393700787E-5</c:v>
                </c:pt>
                <c:pt idx="34">
                  <c:v>3.3858267716535437E-5</c:v>
                </c:pt>
                <c:pt idx="35">
                  <c:v>3.7913385826771649E-5</c:v>
                </c:pt>
                <c:pt idx="36">
                  <c:v>4.2519685039370082E-5</c:v>
                </c:pt>
                <c:pt idx="37">
                  <c:v>4.7244094488188978E-5</c:v>
                </c:pt>
                <c:pt idx="38">
                  <c:v>5.2362204724409454E-5</c:v>
                </c:pt>
                <c:pt idx="39">
                  <c:v>5.7086614173228356E-5</c:v>
                </c:pt>
                <c:pt idx="40">
                  <c:v>6.1417322834645679E-5</c:v>
                </c:pt>
                <c:pt idx="41">
                  <c:v>6.4566929133858276E-5</c:v>
                </c:pt>
                <c:pt idx="42">
                  <c:v>6.6535433070866141E-5</c:v>
                </c:pt>
                <c:pt idx="43">
                  <c:v>6.6535433070866141E-5</c:v>
                </c:pt>
                <c:pt idx="44">
                  <c:v>6.5354330708661422E-5</c:v>
                </c:pt>
                <c:pt idx="45">
                  <c:v>6.2992125984251971E-5</c:v>
                </c:pt>
                <c:pt idx="46">
                  <c:v>6.0629921259842526E-5</c:v>
                </c:pt>
                <c:pt idx="47">
                  <c:v>5.7874015748031495E-5</c:v>
                </c:pt>
                <c:pt idx="48">
                  <c:v>5.5905511811023624E-5</c:v>
                </c:pt>
                <c:pt idx="49">
                  <c:v>5.3937007874015745E-5</c:v>
                </c:pt>
                <c:pt idx="50">
                  <c:v>5.3149606299212606E-5</c:v>
                </c:pt>
                <c:pt idx="51">
                  <c:v>5.2362204724409454E-5</c:v>
                </c:pt>
                <c:pt idx="52">
                  <c:v>5.1968503937007874E-5</c:v>
                </c:pt>
                <c:pt idx="53">
                  <c:v>5.2362204724409454E-5</c:v>
                </c:pt>
                <c:pt idx="54">
                  <c:v>5.2362204724409454E-5</c:v>
                </c:pt>
                <c:pt idx="55">
                  <c:v>5.3149606299212606E-5</c:v>
                </c:pt>
                <c:pt idx="56">
                  <c:v>5.3543307086614173E-5</c:v>
                </c:pt>
                <c:pt idx="57">
                  <c:v>5.4330708661417325E-5</c:v>
                </c:pt>
                <c:pt idx="58">
                  <c:v>5.4724409448818898E-5</c:v>
                </c:pt>
                <c:pt idx="59">
                  <c:v>5.5511811023622051E-5</c:v>
                </c:pt>
                <c:pt idx="60">
                  <c:v>5.6299212598425204E-5</c:v>
                </c:pt>
                <c:pt idx="61">
                  <c:v>5.669291338582677E-5</c:v>
                </c:pt>
                <c:pt idx="62">
                  <c:v>5.7480314960629922E-5</c:v>
                </c:pt>
                <c:pt idx="63">
                  <c:v>5.8267716535433075E-5</c:v>
                </c:pt>
                <c:pt idx="64">
                  <c:v>5.8661417322834648E-5</c:v>
                </c:pt>
                <c:pt idx="65">
                  <c:v>5.9448818897637794E-5</c:v>
                </c:pt>
                <c:pt idx="66">
                  <c:v>5.9842519685039374E-5</c:v>
                </c:pt>
                <c:pt idx="67">
                  <c:v>6.0236220472440947E-5</c:v>
                </c:pt>
                <c:pt idx="68">
                  <c:v>6.1023622047244093E-5</c:v>
                </c:pt>
                <c:pt idx="69">
                  <c:v>6.1417322834645679E-5</c:v>
                </c:pt>
                <c:pt idx="70">
                  <c:v>6.1811023622047252E-5</c:v>
                </c:pt>
                <c:pt idx="71">
                  <c:v>6.1811023622047252E-5</c:v>
                </c:pt>
                <c:pt idx="72">
                  <c:v>6.2204724409448811E-5</c:v>
                </c:pt>
                <c:pt idx="73">
                  <c:v>6.2598425196850398E-5</c:v>
                </c:pt>
                <c:pt idx="74">
                  <c:v>6.2598425196850398E-5</c:v>
                </c:pt>
                <c:pt idx="75">
                  <c:v>6.2992125984251971E-5</c:v>
                </c:pt>
                <c:pt idx="76">
                  <c:v>6.3385826771653557E-5</c:v>
                </c:pt>
                <c:pt idx="77">
                  <c:v>6.3385826771653557E-5</c:v>
                </c:pt>
                <c:pt idx="78">
                  <c:v>6.3779527559055117E-5</c:v>
                </c:pt>
                <c:pt idx="79">
                  <c:v>6.4566929133858276E-5</c:v>
                </c:pt>
                <c:pt idx="80">
                  <c:v>6.4960629921259849E-5</c:v>
                </c:pt>
                <c:pt idx="81">
                  <c:v>6.5354330708661422E-5</c:v>
                </c:pt>
                <c:pt idx="82">
                  <c:v>6.5748031496062995E-5</c:v>
                </c:pt>
                <c:pt idx="83">
                  <c:v>6.6535433070866141E-5</c:v>
                </c:pt>
                <c:pt idx="84">
                  <c:v>6.6929133858267728E-5</c:v>
                </c:pt>
                <c:pt idx="85">
                  <c:v>6.7716535433070873E-5</c:v>
                </c:pt>
                <c:pt idx="86">
                  <c:v>6.8110236220472446E-5</c:v>
                </c:pt>
                <c:pt idx="87">
                  <c:v>6.8503937007874019E-5</c:v>
                </c:pt>
                <c:pt idx="88">
                  <c:v>6.8897637795275592E-5</c:v>
                </c:pt>
                <c:pt idx="89">
                  <c:v>6.8897637795275592E-5</c:v>
                </c:pt>
                <c:pt idx="90">
                  <c:v>6.8897637795275592E-5</c:v>
                </c:pt>
                <c:pt idx="91">
                  <c:v>6.8897637795275592E-5</c:v>
                </c:pt>
                <c:pt idx="92">
                  <c:v>6.8897637795275592E-5</c:v>
                </c:pt>
                <c:pt idx="93">
                  <c:v>6.8897637795275592E-5</c:v>
                </c:pt>
                <c:pt idx="94">
                  <c:v>6.8503937007874019E-5</c:v>
                </c:pt>
                <c:pt idx="95">
                  <c:v>6.8503937007874019E-5</c:v>
                </c:pt>
                <c:pt idx="96">
                  <c:v>6.8110236220472446E-5</c:v>
                </c:pt>
                <c:pt idx="97">
                  <c:v>6.7716535433070873E-5</c:v>
                </c:pt>
                <c:pt idx="98">
                  <c:v>6.7322834645669287E-5</c:v>
                </c:pt>
                <c:pt idx="99">
                  <c:v>6.6929133858267728E-5</c:v>
                </c:pt>
                <c:pt idx="100">
                  <c:v>6.6535433070866141E-5</c:v>
                </c:pt>
                <c:pt idx="101">
                  <c:v>6.6141732283464568E-5</c:v>
                </c:pt>
                <c:pt idx="102">
                  <c:v>6.5354330708661422E-5</c:v>
                </c:pt>
                <c:pt idx="103">
                  <c:v>6.4960629921259849E-5</c:v>
                </c:pt>
                <c:pt idx="104">
                  <c:v>6.4566929133858276E-5</c:v>
                </c:pt>
                <c:pt idx="105">
                  <c:v>6.4173228346456703E-5</c:v>
                </c:pt>
                <c:pt idx="106">
                  <c:v>6.3385826771653557E-5</c:v>
                </c:pt>
                <c:pt idx="107">
                  <c:v>6.2992125984251971E-5</c:v>
                </c:pt>
                <c:pt idx="108">
                  <c:v>6.2598425196850398E-5</c:v>
                </c:pt>
                <c:pt idx="109">
                  <c:v>6.1811023622047252E-5</c:v>
                </c:pt>
                <c:pt idx="110">
                  <c:v>6.1417322834645679E-5</c:v>
                </c:pt>
                <c:pt idx="111">
                  <c:v>6.1023622047244093E-5</c:v>
                </c:pt>
                <c:pt idx="112">
                  <c:v>6.0629921259842526E-5</c:v>
                </c:pt>
                <c:pt idx="113">
                  <c:v>5.9842519685039374E-5</c:v>
                </c:pt>
                <c:pt idx="114">
                  <c:v>5.9448818897637794E-5</c:v>
                </c:pt>
                <c:pt idx="115">
                  <c:v>5.9055118110236228E-5</c:v>
                </c:pt>
                <c:pt idx="116">
                  <c:v>5.8661417322834648E-5</c:v>
                </c:pt>
                <c:pt idx="117">
                  <c:v>5.8267716535433075E-5</c:v>
                </c:pt>
                <c:pt idx="118">
                  <c:v>5.7874015748031495E-5</c:v>
                </c:pt>
                <c:pt idx="119">
                  <c:v>5.7480314960629922E-5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603-4AA8-9412-7CCE203A4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6 - SE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D8-44F2-B14A-7866E1E1F2D1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D8-44F2-B14A-7866E1E1F2D1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D8-44F2-B14A-7866E1E1F2D1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D8-44F2-B14A-7866E1E1F2D1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D8-44F2-B14A-7866E1E1F2D1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ED8-44F2-B14A-7866E1E1F2D1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ED8-44F2-B14A-7866E1E1F2D1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ED8-44F2-B14A-7866E1E1F2D1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ED8-44F2-B14A-7866E1E1F2D1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P6_UB!$A$7:$A$126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P6_UB!$F$7:$F$126</c:f>
              <c:numCache>
                <c:formatCode>0.00E+00</c:formatCode>
                <c:ptCount val="120"/>
                <c:pt idx="0">
                  <c:v>1.7755905511811026E-8</c:v>
                </c:pt>
                <c:pt idx="1">
                  <c:v>7.1259842519685048E-8</c:v>
                </c:pt>
                <c:pt idx="2">
                  <c:v>1.6062992125984253E-7</c:v>
                </c:pt>
                <c:pt idx="3">
                  <c:v>2.8661417322834647E-7</c:v>
                </c:pt>
                <c:pt idx="4">
                  <c:v>4.5275590551181104E-7</c:v>
                </c:pt>
                <c:pt idx="5">
                  <c:v>6.5354330708661425E-7</c:v>
                </c:pt>
                <c:pt idx="6">
                  <c:v>8.9763779527559051E-7</c:v>
                </c:pt>
                <c:pt idx="7">
                  <c:v>1.1850393700787401E-6</c:v>
                </c:pt>
                <c:pt idx="8">
                  <c:v>1.5157480314960632E-6</c:v>
                </c:pt>
                <c:pt idx="9">
                  <c:v>1.8937007874015751E-6</c:v>
                </c:pt>
                <c:pt idx="10">
                  <c:v>2.3228346456692914E-6</c:v>
                </c:pt>
                <c:pt idx="11">
                  <c:v>2.8070866141732285E-6</c:v>
                </c:pt>
                <c:pt idx="12">
                  <c:v>3.3464566929133858E-6</c:v>
                </c:pt>
                <c:pt idx="13">
                  <c:v>3.9370078740157482E-6</c:v>
                </c:pt>
                <c:pt idx="14">
                  <c:v>4.6062992125984258E-6</c:v>
                </c:pt>
                <c:pt idx="15">
                  <c:v>5.3543307086614173E-6</c:v>
                </c:pt>
                <c:pt idx="16">
                  <c:v>6.1811023622047244E-6</c:v>
                </c:pt>
                <c:pt idx="17">
                  <c:v>7.0866141732283462E-6</c:v>
                </c:pt>
                <c:pt idx="18">
                  <c:v>8.0708661417322845E-6</c:v>
                </c:pt>
                <c:pt idx="19">
                  <c:v>9.1732283464566929E-6</c:v>
                </c:pt>
                <c:pt idx="20">
                  <c:v>1.0393700787401574E-5</c:v>
                </c:pt>
                <c:pt idx="21">
                  <c:v>1.1732283464566929E-5</c:v>
                </c:pt>
                <c:pt idx="22">
                  <c:v>1.3228346456692914E-5</c:v>
                </c:pt>
                <c:pt idx="23">
                  <c:v>1.4842519685039371E-5</c:v>
                </c:pt>
                <c:pt idx="24">
                  <c:v>1.6692913385826773E-5</c:v>
                </c:pt>
                <c:pt idx="25">
                  <c:v>1.8700787401574803E-5</c:v>
                </c:pt>
                <c:pt idx="26">
                  <c:v>2.0984251968503941E-5</c:v>
                </c:pt>
                <c:pt idx="27">
                  <c:v>2.3543307086614175E-5</c:v>
                </c:pt>
                <c:pt idx="28">
                  <c:v>2.6417322834645672E-5</c:v>
                </c:pt>
                <c:pt idx="29">
                  <c:v>2.9645669291338583E-5</c:v>
                </c:pt>
                <c:pt idx="30">
                  <c:v>3.3307086614173236E-5</c:v>
                </c:pt>
                <c:pt idx="31">
                  <c:v>3.7480314960629924E-5</c:v>
                </c:pt>
                <c:pt idx="32">
                  <c:v>4.2125984251968503E-5</c:v>
                </c:pt>
                <c:pt idx="33">
                  <c:v>4.7637795275590558E-5</c:v>
                </c:pt>
                <c:pt idx="34">
                  <c:v>5.3937007874015745E-5</c:v>
                </c:pt>
                <c:pt idx="35">
                  <c:v>6.0629921259842526E-5</c:v>
                </c:pt>
                <c:pt idx="36">
                  <c:v>6.8503937007874019E-5</c:v>
                </c:pt>
                <c:pt idx="37">
                  <c:v>7.7165354330708665E-5</c:v>
                </c:pt>
                <c:pt idx="38">
                  <c:v>8.661417322834647E-5</c:v>
                </c:pt>
                <c:pt idx="39">
                  <c:v>9.6062992125984248E-5</c:v>
                </c:pt>
                <c:pt idx="40">
                  <c:v>1.0511811023622047E-4</c:v>
                </c:pt>
                <c:pt idx="41">
                  <c:v>1.1259842519685041E-4</c:v>
                </c:pt>
                <c:pt idx="42">
                  <c:v>1.173228346456693E-4</c:v>
                </c:pt>
                <c:pt idx="43">
                  <c:v>1.1929133858267716E-4</c:v>
                </c:pt>
                <c:pt idx="44">
                  <c:v>1.1850393700787403E-4</c:v>
                </c:pt>
                <c:pt idx="45">
                  <c:v>1.1574803149606299E-4</c:v>
                </c:pt>
                <c:pt idx="46">
                  <c:v>1.110236220472441E-4</c:v>
                </c:pt>
                <c:pt idx="47">
                  <c:v>1.0590551181102363E-4</c:v>
                </c:pt>
                <c:pt idx="48">
                  <c:v>1.0078740157480316E-4</c:v>
                </c:pt>
                <c:pt idx="49">
                  <c:v>9.5275590551181116E-5</c:v>
                </c:pt>
                <c:pt idx="50">
                  <c:v>9.0551181102362213E-5</c:v>
                </c:pt>
                <c:pt idx="51">
                  <c:v>8.5826771653543311E-5</c:v>
                </c:pt>
                <c:pt idx="52">
                  <c:v>8.1496062992125995E-5</c:v>
                </c:pt>
                <c:pt idx="53">
                  <c:v>7.7559055118110252E-5</c:v>
                </c:pt>
                <c:pt idx="54">
                  <c:v>7.4015748031496068E-5</c:v>
                </c:pt>
                <c:pt idx="55">
                  <c:v>7.0866141732283471E-5</c:v>
                </c:pt>
                <c:pt idx="56">
                  <c:v>6.7716535433070873E-5</c:v>
                </c:pt>
                <c:pt idx="57">
                  <c:v>6.4960629921259849E-5</c:v>
                </c:pt>
                <c:pt idx="58">
                  <c:v>6.2598425196850398E-5</c:v>
                </c:pt>
                <c:pt idx="59">
                  <c:v>6.0236220472440947E-5</c:v>
                </c:pt>
                <c:pt idx="60">
                  <c:v>5.8267716535433075E-5</c:v>
                </c:pt>
                <c:pt idx="61">
                  <c:v>5.6299212598425204E-5</c:v>
                </c:pt>
                <c:pt idx="62">
                  <c:v>5.4330708661417325E-5</c:v>
                </c:pt>
                <c:pt idx="63">
                  <c:v>5.2755905511811027E-5</c:v>
                </c:pt>
                <c:pt idx="64">
                  <c:v>5.1181102362204728E-5</c:v>
                </c:pt>
                <c:pt idx="65">
                  <c:v>4.9606299212598429E-5</c:v>
                </c:pt>
                <c:pt idx="66">
                  <c:v>4.8031496062992124E-5</c:v>
                </c:pt>
                <c:pt idx="67">
                  <c:v>4.6456692913385825E-5</c:v>
                </c:pt>
                <c:pt idx="68">
                  <c:v>4.5275590551181107E-5</c:v>
                </c:pt>
                <c:pt idx="69">
                  <c:v>4.4094488188976388E-5</c:v>
                </c:pt>
                <c:pt idx="70">
                  <c:v>4.2913385826771655E-5</c:v>
                </c:pt>
                <c:pt idx="71">
                  <c:v>4.173228346456693E-5</c:v>
                </c:pt>
                <c:pt idx="72">
                  <c:v>4.0551181102362211E-5</c:v>
                </c:pt>
                <c:pt idx="73">
                  <c:v>3.9763779527559058E-5</c:v>
                </c:pt>
                <c:pt idx="74">
                  <c:v>3.9015748031496064E-5</c:v>
                </c:pt>
                <c:pt idx="75">
                  <c:v>3.8425196850393705E-5</c:v>
                </c:pt>
                <c:pt idx="76">
                  <c:v>3.8031496062992125E-5</c:v>
                </c:pt>
                <c:pt idx="77">
                  <c:v>3.7874015748031504E-5</c:v>
                </c:pt>
                <c:pt idx="78">
                  <c:v>3.8070866141732284E-5</c:v>
                </c:pt>
                <c:pt idx="79">
                  <c:v>3.8582677165354333E-5</c:v>
                </c:pt>
                <c:pt idx="80">
                  <c:v>3.9370078740157485E-5</c:v>
                </c:pt>
                <c:pt idx="81">
                  <c:v>4.0944881889763777E-5</c:v>
                </c:pt>
                <c:pt idx="82">
                  <c:v>4.2913385826771655E-5</c:v>
                </c:pt>
                <c:pt idx="83">
                  <c:v>4.4881889763779534E-5</c:v>
                </c:pt>
                <c:pt idx="84">
                  <c:v>4.7637795275590558E-5</c:v>
                </c:pt>
                <c:pt idx="85">
                  <c:v>5.0787401574803148E-5</c:v>
                </c:pt>
                <c:pt idx="86">
                  <c:v>5.4330708661417325E-5</c:v>
                </c:pt>
                <c:pt idx="87">
                  <c:v>5.7874015748031495E-5</c:v>
                </c:pt>
                <c:pt idx="88">
                  <c:v>6.1811023622047252E-5</c:v>
                </c:pt>
                <c:pt idx="89">
                  <c:v>6.5354330708661422E-5</c:v>
                </c:pt>
                <c:pt idx="90">
                  <c:v>6.8897637795275592E-5</c:v>
                </c:pt>
                <c:pt idx="91">
                  <c:v>7.2440944881889776E-5</c:v>
                </c:pt>
                <c:pt idx="92">
                  <c:v>7.5196850393700787E-5</c:v>
                </c:pt>
                <c:pt idx="93">
                  <c:v>7.7559055118110252E-5</c:v>
                </c:pt>
                <c:pt idx="94">
                  <c:v>7.9527559055118116E-5</c:v>
                </c:pt>
                <c:pt idx="95">
                  <c:v>8.1102362204724422E-5</c:v>
                </c:pt>
                <c:pt idx="96">
                  <c:v>8.2283464566929127E-5</c:v>
                </c:pt>
                <c:pt idx="97">
                  <c:v>8.30708661417323E-5</c:v>
                </c:pt>
                <c:pt idx="98">
                  <c:v>8.30708661417323E-5</c:v>
                </c:pt>
                <c:pt idx="99">
                  <c:v>8.30708661417323E-5</c:v>
                </c:pt>
                <c:pt idx="100">
                  <c:v>8.30708661417323E-5</c:v>
                </c:pt>
                <c:pt idx="101">
                  <c:v>8.2677165354330713E-5</c:v>
                </c:pt>
                <c:pt idx="102">
                  <c:v>8.1889763779527554E-5</c:v>
                </c:pt>
                <c:pt idx="103">
                  <c:v>8.1102362204724422E-5</c:v>
                </c:pt>
                <c:pt idx="104">
                  <c:v>8.0314960629921276E-5</c:v>
                </c:pt>
                <c:pt idx="105">
                  <c:v>7.9527559055118116E-5</c:v>
                </c:pt>
                <c:pt idx="106">
                  <c:v>7.874015748031497E-5</c:v>
                </c:pt>
                <c:pt idx="107">
                  <c:v>7.7952755905511811E-5</c:v>
                </c:pt>
                <c:pt idx="108">
                  <c:v>7.7165354330708665E-5</c:v>
                </c:pt>
                <c:pt idx="109">
                  <c:v>7.6377952755905519E-5</c:v>
                </c:pt>
                <c:pt idx="110">
                  <c:v>7.559055118110236E-5</c:v>
                </c:pt>
                <c:pt idx="111">
                  <c:v>7.4803149606299214E-5</c:v>
                </c:pt>
                <c:pt idx="112">
                  <c:v>7.4015748031496068E-5</c:v>
                </c:pt>
                <c:pt idx="113">
                  <c:v>7.3228346456692908E-5</c:v>
                </c:pt>
                <c:pt idx="114">
                  <c:v>7.2440944881889776E-5</c:v>
                </c:pt>
                <c:pt idx="115">
                  <c:v>7.1653543307086617E-5</c:v>
                </c:pt>
                <c:pt idx="116">
                  <c:v>7.1259842519685044E-5</c:v>
                </c:pt>
                <c:pt idx="117">
                  <c:v>7.0472440944881884E-5</c:v>
                </c:pt>
                <c:pt idx="118">
                  <c:v>6.9685039370078752E-5</c:v>
                </c:pt>
                <c:pt idx="119">
                  <c:v>6.9291338582677165E-5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ED8-44F2-B14A-7866E1E1F2D1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P6_UB!$A$7:$A$126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P6_UB!$G$7:$G$126</c:f>
              <c:numCache>
                <c:formatCode>0.00E+00</c:formatCode>
                <c:ptCount val="120"/>
                <c:pt idx="0">
                  <c:v>1.346456692913386E-9</c:v>
                </c:pt>
                <c:pt idx="1">
                  <c:v>5.3937007874015752E-9</c:v>
                </c:pt>
                <c:pt idx="2">
                  <c:v>1.220472440944882E-8</c:v>
                </c:pt>
                <c:pt idx="3">
                  <c:v>2.1811023622047245E-8</c:v>
                </c:pt>
                <c:pt idx="4">
                  <c:v>3.4330708661417321E-8</c:v>
                </c:pt>
                <c:pt idx="5">
                  <c:v>4.9999999999999998E-8</c:v>
                </c:pt>
                <c:pt idx="6">
                  <c:v>6.8503937007874017E-8</c:v>
                </c:pt>
                <c:pt idx="7">
                  <c:v>9.0551181102362207E-8</c:v>
                </c:pt>
                <c:pt idx="8">
                  <c:v>1.1614173228346458E-7</c:v>
                </c:pt>
                <c:pt idx="9">
                  <c:v>1.452755905511811E-7</c:v>
                </c:pt>
                <c:pt idx="10">
                  <c:v>1.7834645669291338E-7</c:v>
                </c:pt>
                <c:pt idx="11">
                  <c:v>2.1614173228346459E-7</c:v>
                </c:pt>
                <c:pt idx="12">
                  <c:v>2.5826771653543311E-7</c:v>
                </c:pt>
                <c:pt idx="13">
                  <c:v>3.0511811023622049E-7</c:v>
                </c:pt>
                <c:pt idx="14">
                  <c:v>3.5748031496062994E-7</c:v>
                </c:pt>
                <c:pt idx="15">
                  <c:v>4.1732283464566933E-7</c:v>
                </c:pt>
                <c:pt idx="16">
                  <c:v>4.8031496062992129E-7</c:v>
                </c:pt>
                <c:pt idx="17">
                  <c:v>5.5511811023622048E-7</c:v>
                </c:pt>
                <c:pt idx="18">
                  <c:v>6.3779527559055123E-7</c:v>
                </c:pt>
                <c:pt idx="19">
                  <c:v>7.2834645669291344E-7</c:v>
                </c:pt>
                <c:pt idx="20">
                  <c:v>8.267716535433071E-7</c:v>
                </c:pt>
                <c:pt idx="21">
                  <c:v>9.3700787401574821E-7</c:v>
                </c:pt>
                <c:pt idx="22">
                  <c:v>1.062992125984252E-6</c:v>
                </c:pt>
                <c:pt idx="23">
                  <c:v>1.2007874015748033E-6</c:v>
                </c:pt>
                <c:pt idx="24">
                  <c:v>1.3503937007874017E-6</c:v>
                </c:pt>
                <c:pt idx="25">
                  <c:v>1.5236220472440947E-6</c:v>
                </c:pt>
                <c:pt idx="26">
                  <c:v>1.7125984251968505E-6</c:v>
                </c:pt>
                <c:pt idx="27">
                  <c:v>1.9251968503937009E-6</c:v>
                </c:pt>
                <c:pt idx="28">
                  <c:v>2.1653543307086614E-6</c:v>
                </c:pt>
                <c:pt idx="29">
                  <c:v>2.4370078740157481E-6</c:v>
                </c:pt>
                <c:pt idx="30">
                  <c:v>2.7440944881889765E-6</c:v>
                </c:pt>
                <c:pt idx="31">
                  <c:v>3.0905511811023622E-6</c:v>
                </c:pt>
                <c:pt idx="32">
                  <c:v>3.480314960629921E-6</c:v>
                </c:pt>
                <c:pt idx="33">
                  <c:v>3.9251968503937013E-6</c:v>
                </c:pt>
                <c:pt idx="34">
                  <c:v>4.4488188976377962E-6</c:v>
                </c:pt>
                <c:pt idx="35">
                  <c:v>5.0000000000000013E-6</c:v>
                </c:pt>
                <c:pt idx="36">
                  <c:v>5.6299212598425202E-6</c:v>
                </c:pt>
                <c:pt idx="37">
                  <c:v>6.3779527559055125E-6</c:v>
                </c:pt>
                <c:pt idx="38">
                  <c:v>7.165354330708661E-6</c:v>
                </c:pt>
                <c:pt idx="39">
                  <c:v>8.0708661417322845E-6</c:v>
                </c:pt>
                <c:pt idx="40">
                  <c:v>9.055118110236222E-6</c:v>
                </c:pt>
                <c:pt idx="41">
                  <c:v>1.0078740157480316E-5</c:v>
                </c:pt>
                <c:pt idx="42">
                  <c:v>1.1102362204724411E-5</c:v>
                </c:pt>
                <c:pt idx="43">
                  <c:v>1.2086614173228347E-5</c:v>
                </c:pt>
                <c:pt idx="44">
                  <c:v>1.2992125984251968E-5</c:v>
                </c:pt>
                <c:pt idx="45">
                  <c:v>1.3779527559055119E-5</c:v>
                </c:pt>
                <c:pt idx="46">
                  <c:v>1.4409448818897639E-5</c:v>
                </c:pt>
                <c:pt idx="47">
                  <c:v>1.4842519685039371E-5</c:v>
                </c:pt>
                <c:pt idx="48">
                  <c:v>1.5118110236220473E-5</c:v>
                </c:pt>
                <c:pt idx="49">
                  <c:v>1.5275590551181102E-5</c:v>
                </c:pt>
                <c:pt idx="50">
                  <c:v>1.5314960629921261E-5</c:v>
                </c:pt>
                <c:pt idx="51">
                  <c:v>1.5275590551181102E-5</c:v>
                </c:pt>
                <c:pt idx="52">
                  <c:v>1.5196850393700789E-5</c:v>
                </c:pt>
                <c:pt idx="53">
                  <c:v>1.5118110236220473E-5</c:v>
                </c:pt>
                <c:pt idx="54">
                  <c:v>1.5E-5</c:v>
                </c:pt>
                <c:pt idx="55">
                  <c:v>1.4921259842519686E-5</c:v>
                </c:pt>
                <c:pt idx="56">
                  <c:v>1.488188976377953E-5</c:v>
                </c:pt>
                <c:pt idx="57">
                  <c:v>1.4803149606299212E-5</c:v>
                </c:pt>
                <c:pt idx="58">
                  <c:v>1.4803149606299212E-5</c:v>
                </c:pt>
                <c:pt idx="59">
                  <c:v>1.4803149606299212E-5</c:v>
                </c:pt>
                <c:pt idx="60">
                  <c:v>1.4803149606299212E-5</c:v>
                </c:pt>
                <c:pt idx="61">
                  <c:v>1.4842519685039371E-5</c:v>
                </c:pt>
                <c:pt idx="62">
                  <c:v>1.4921259842519686E-5</c:v>
                </c:pt>
                <c:pt idx="63">
                  <c:v>1.5E-5</c:v>
                </c:pt>
                <c:pt idx="64">
                  <c:v>1.5078740157480316E-5</c:v>
                </c:pt>
                <c:pt idx="65">
                  <c:v>1.5157480314960632E-5</c:v>
                </c:pt>
                <c:pt idx="66">
                  <c:v>1.5275590551181102E-5</c:v>
                </c:pt>
                <c:pt idx="67">
                  <c:v>1.5393700787401575E-5</c:v>
                </c:pt>
                <c:pt idx="68">
                  <c:v>1.5551181102362203E-5</c:v>
                </c:pt>
                <c:pt idx="69">
                  <c:v>1.5708661417322834E-5</c:v>
                </c:pt>
                <c:pt idx="70">
                  <c:v>1.5905511811023624E-5</c:v>
                </c:pt>
                <c:pt idx="71">
                  <c:v>1.6141732283464569E-5</c:v>
                </c:pt>
                <c:pt idx="72">
                  <c:v>1.6456692913385828E-5</c:v>
                </c:pt>
                <c:pt idx="73">
                  <c:v>1.6771653543307087E-5</c:v>
                </c:pt>
                <c:pt idx="74">
                  <c:v>1.716535433070866E-5</c:v>
                </c:pt>
                <c:pt idx="75">
                  <c:v>1.7677165354330709E-5</c:v>
                </c:pt>
                <c:pt idx="76">
                  <c:v>1.8228346456692913E-5</c:v>
                </c:pt>
                <c:pt idx="77">
                  <c:v>1.889763779527559E-5</c:v>
                </c:pt>
                <c:pt idx="78">
                  <c:v>1.9685039370078743E-5</c:v>
                </c:pt>
                <c:pt idx="79">
                  <c:v>2.0551181102362206E-5</c:v>
                </c:pt>
                <c:pt idx="80">
                  <c:v>2.1496062992125986E-5</c:v>
                </c:pt>
                <c:pt idx="81">
                  <c:v>2.2559055118110236E-5</c:v>
                </c:pt>
                <c:pt idx="82">
                  <c:v>2.3740157480314962E-5</c:v>
                </c:pt>
                <c:pt idx="83">
                  <c:v>2.4960629921259846E-5</c:v>
                </c:pt>
                <c:pt idx="84">
                  <c:v>2.6220472440944882E-5</c:v>
                </c:pt>
                <c:pt idx="85">
                  <c:v>2.751968503937008E-5</c:v>
                </c:pt>
                <c:pt idx="86">
                  <c:v>2.877952755905512E-5</c:v>
                </c:pt>
                <c:pt idx="87">
                  <c:v>3.0039370078740159E-5</c:v>
                </c:pt>
                <c:pt idx="88">
                  <c:v>3.1181102362204723E-5</c:v>
                </c:pt>
                <c:pt idx="89">
                  <c:v>3.2204724409448821E-5</c:v>
                </c:pt>
                <c:pt idx="90">
                  <c:v>3.3031496062992125E-5</c:v>
                </c:pt>
                <c:pt idx="91">
                  <c:v>3.3700787401574802E-5</c:v>
                </c:pt>
                <c:pt idx="92">
                  <c:v>3.413385826771654E-5</c:v>
                </c:pt>
                <c:pt idx="93">
                  <c:v>3.4370078740157486E-5</c:v>
                </c:pt>
                <c:pt idx="94">
                  <c:v>3.4409448818897638E-5</c:v>
                </c:pt>
                <c:pt idx="95">
                  <c:v>3.4212598425196851E-5</c:v>
                </c:pt>
                <c:pt idx="96">
                  <c:v>3.3897637795275595E-5</c:v>
                </c:pt>
                <c:pt idx="97">
                  <c:v>3.3425196850393705E-5</c:v>
                </c:pt>
                <c:pt idx="98">
                  <c:v>3.2874015748031498E-5</c:v>
                </c:pt>
                <c:pt idx="99">
                  <c:v>3.2244094488188979E-5</c:v>
                </c:pt>
                <c:pt idx="100">
                  <c:v>3.1535433070866144E-5</c:v>
                </c:pt>
                <c:pt idx="101">
                  <c:v>3.0826771653543309E-5</c:v>
                </c:pt>
                <c:pt idx="102">
                  <c:v>3.0078740157480318E-5</c:v>
                </c:pt>
                <c:pt idx="103">
                  <c:v>2.9370078740157483E-5</c:v>
                </c:pt>
                <c:pt idx="104">
                  <c:v>2.8661417322834644E-5</c:v>
                </c:pt>
                <c:pt idx="105">
                  <c:v>2.7952755905511812E-5</c:v>
                </c:pt>
                <c:pt idx="106">
                  <c:v>2.724409448818898E-5</c:v>
                </c:pt>
                <c:pt idx="107">
                  <c:v>2.6574803149606303E-5</c:v>
                </c:pt>
                <c:pt idx="108">
                  <c:v>2.5944881889763778E-5</c:v>
                </c:pt>
                <c:pt idx="109">
                  <c:v>2.5354330708661419E-5</c:v>
                </c:pt>
                <c:pt idx="110">
                  <c:v>2.4763779527559056E-5</c:v>
                </c:pt>
                <c:pt idx="111">
                  <c:v>2.4212598425196855E-5</c:v>
                </c:pt>
                <c:pt idx="112">
                  <c:v>2.3700787401574803E-5</c:v>
                </c:pt>
                <c:pt idx="113">
                  <c:v>2.3188976377952757E-5</c:v>
                </c:pt>
                <c:pt idx="114">
                  <c:v>2.2716535433070871E-5</c:v>
                </c:pt>
                <c:pt idx="115">
                  <c:v>2.2283464566929136E-5</c:v>
                </c:pt>
                <c:pt idx="116">
                  <c:v>2.1850393700787401E-5</c:v>
                </c:pt>
                <c:pt idx="117">
                  <c:v>2.1456692913385828E-5</c:v>
                </c:pt>
                <c:pt idx="118">
                  <c:v>2.1062992125984251E-5</c:v>
                </c:pt>
                <c:pt idx="119">
                  <c:v>2.0708661417322837E-5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ED8-44F2-B14A-7866E1E1F2D1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P6_UB!$A$7:$A$126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P6_UB!$H$7:$H$126</c:f>
              <c:numCache>
                <c:formatCode>0.00E+00</c:formatCode>
                <c:ptCount val="120"/>
                <c:pt idx="0">
                  <c:v>1.0708661417322836E-8</c:v>
                </c:pt>
                <c:pt idx="1">
                  <c:v>4.2913385826771657E-8</c:v>
                </c:pt>
                <c:pt idx="2">
                  <c:v>9.7244094488188978E-8</c:v>
                </c:pt>
                <c:pt idx="3">
                  <c:v>1.7401574803149607E-7</c:v>
                </c:pt>
                <c:pt idx="4">
                  <c:v>2.7440944881889763E-7</c:v>
                </c:pt>
                <c:pt idx="5">
                  <c:v>3.9763779527559059E-7</c:v>
                </c:pt>
                <c:pt idx="6">
                  <c:v>5.511811023622047E-7</c:v>
                </c:pt>
                <c:pt idx="7">
                  <c:v>7.2440944881889766E-7</c:v>
                </c:pt>
                <c:pt idx="8">
                  <c:v>9.2913385826771665E-7</c:v>
                </c:pt>
                <c:pt idx="9">
                  <c:v>1.1653543307086615E-6</c:v>
                </c:pt>
                <c:pt idx="10">
                  <c:v>1.4330708661417326E-6</c:v>
                </c:pt>
                <c:pt idx="11">
                  <c:v>1.7401574803149605E-6</c:v>
                </c:pt>
                <c:pt idx="12">
                  <c:v>2.0826771653543309E-6</c:v>
                </c:pt>
                <c:pt idx="13">
                  <c:v>2.4645669291338586E-6</c:v>
                </c:pt>
                <c:pt idx="14">
                  <c:v>2.8937007874015749E-6</c:v>
                </c:pt>
                <c:pt idx="15">
                  <c:v>3.3661417322834651E-6</c:v>
                </c:pt>
                <c:pt idx="16">
                  <c:v>3.893700787401575E-6</c:v>
                </c:pt>
                <c:pt idx="17">
                  <c:v>4.4881889763779532E-6</c:v>
                </c:pt>
                <c:pt idx="18">
                  <c:v>5.1181102362204721E-6</c:v>
                </c:pt>
                <c:pt idx="19">
                  <c:v>5.8267716535433075E-6</c:v>
                </c:pt>
                <c:pt idx="20">
                  <c:v>6.6141732283464568E-6</c:v>
                </c:pt>
                <c:pt idx="21">
                  <c:v>7.5196850393700795E-6</c:v>
                </c:pt>
                <c:pt idx="22">
                  <c:v>8.5039370078740161E-6</c:v>
                </c:pt>
                <c:pt idx="23">
                  <c:v>9.5669291338582675E-6</c:v>
                </c:pt>
                <c:pt idx="24">
                  <c:v>1.078740157480315E-5</c:v>
                </c:pt>
                <c:pt idx="25">
                  <c:v>1.2125984251968505E-5</c:v>
                </c:pt>
                <c:pt idx="26">
                  <c:v>1.362204724409449E-5</c:v>
                </c:pt>
                <c:pt idx="27">
                  <c:v>1.5275590551181102E-5</c:v>
                </c:pt>
                <c:pt idx="28">
                  <c:v>1.7086614173228346E-5</c:v>
                </c:pt>
                <c:pt idx="29">
                  <c:v>1.9173228346456694E-5</c:v>
                </c:pt>
                <c:pt idx="30">
                  <c:v>2.1456692913385828E-5</c:v>
                </c:pt>
                <c:pt idx="31">
                  <c:v>2.4055118110236221E-5</c:v>
                </c:pt>
                <c:pt idx="32">
                  <c:v>2.6929133858267721E-5</c:v>
                </c:pt>
                <c:pt idx="33">
                  <c:v>3.0196850393700787E-5</c:v>
                </c:pt>
                <c:pt idx="34">
                  <c:v>3.3858267716535437E-5</c:v>
                </c:pt>
                <c:pt idx="35">
                  <c:v>3.7913385826771649E-5</c:v>
                </c:pt>
                <c:pt idx="36">
                  <c:v>4.2519685039370082E-5</c:v>
                </c:pt>
                <c:pt idx="37">
                  <c:v>4.7244094488188978E-5</c:v>
                </c:pt>
                <c:pt idx="38">
                  <c:v>5.2362204724409454E-5</c:v>
                </c:pt>
                <c:pt idx="39">
                  <c:v>5.7086614173228356E-5</c:v>
                </c:pt>
                <c:pt idx="40">
                  <c:v>6.1417322834645679E-5</c:v>
                </c:pt>
                <c:pt idx="41">
                  <c:v>6.4566929133858276E-5</c:v>
                </c:pt>
                <c:pt idx="42">
                  <c:v>6.6535433070866141E-5</c:v>
                </c:pt>
                <c:pt idx="43">
                  <c:v>6.6535433070866141E-5</c:v>
                </c:pt>
                <c:pt idx="44">
                  <c:v>6.5354330708661422E-5</c:v>
                </c:pt>
                <c:pt idx="45">
                  <c:v>6.2992125984251971E-5</c:v>
                </c:pt>
                <c:pt idx="46">
                  <c:v>6.0629921259842526E-5</c:v>
                </c:pt>
                <c:pt idx="47">
                  <c:v>5.7874015748031495E-5</c:v>
                </c:pt>
                <c:pt idx="48">
                  <c:v>5.5905511811023624E-5</c:v>
                </c:pt>
                <c:pt idx="49">
                  <c:v>5.3937007874015745E-5</c:v>
                </c:pt>
                <c:pt idx="50">
                  <c:v>5.3149606299212606E-5</c:v>
                </c:pt>
                <c:pt idx="51">
                  <c:v>5.2362204724409454E-5</c:v>
                </c:pt>
                <c:pt idx="52">
                  <c:v>5.1968503937007874E-5</c:v>
                </c:pt>
                <c:pt idx="53">
                  <c:v>5.2362204724409454E-5</c:v>
                </c:pt>
                <c:pt idx="54">
                  <c:v>5.2362204724409454E-5</c:v>
                </c:pt>
                <c:pt idx="55">
                  <c:v>5.3149606299212606E-5</c:v>
                </c:pt>
                <c:pt idx="56">
                  <c:v>5.3543307086614173E-5</c:v>
                </c:pt>
                <c:pt idx="57">
                  <c:v>5.4330708661417325E-5</c:v>
                </c:pt>
                <c:pt idx="58">
                  <c:v>5.4724409448818898E-5</c:v>
                </c:pt>
                <c:pt idx="59">
                  <c:v>5.5511811023622051E-5</c:v>
                </c:pt>
                <c:pt idx="60">
                  <c:v>5.6299212598425204E-5</c:v>
                </c:pt>
                <c:pt idx="61">
                  <c:v>5.669291338582677E-5</c:v>
                </c:pt>
                <c:pt idx="62">
                  <c:v>5.7480314960629922E-5</c:v>
                </c:pt>
                <c:pt idx="63">
                  <c:v>5.8267716535433075E-5</c:v>
                </c:pt>
                <c:pt idx="64">
                  <c:v>5.8661417322834648E-5</c:v>
                </c:pt>
                <c:pt idx="65">
                  <c:v>5.9448818897637794E-5</c:v>
                </c:pt>
                <c:pt idx="66">
                  <c:v>5.9842519685039374E-5</c:v>
                </c:pt>
                <c:pt idx="67">
                  <c:v>6.0236220472440947E-5</c:v>
                </c:pt>
                <c:pt idx="68">
                  <c:v>6.1023622047244093E-5</c:v>
                </c:pt>
                <c:pt idx="69">
                  <c:v>6.1417322834645679E-5</c:v>
                </c:pt>
                <c:pt idx="70">
                  <c:v>6.1811023622047252E-5</c:v>
                </c:pt>
                <c:pt idx="71">
                  <c:v>6.1811023622047252E-5</c:v>
                </c:pt>
                <c:pt idx="72">
                  <c:v>6.2204724409448811E-5</c:v>
                </c:pt>
                <c:pt idx="73">
                  <c:v>6.2598425196850398E-5</c:v>
                </c:pt>
                <c:pt idx="74">
                  <c:v>6.2598425196850398E-5</c:v>
                </c:pt>
                <c:pt idx="75">
                  <c:v>6.2992125984251971E-5</c:v>
                </c:pt>
                <c:pt idx="76">
                  <c:v>6.3385826771653557E-5</c:v>
                </c:pt>
                <c:pt idx="77">
                  <c:v>6.3385826771653557E-5</c:v>
                </c:pt>
                <c:pt idx="78">
                  <c:v>6.3779527559055117E-5</c:v>
                </c:pt>
                <c:pt idx="79">
                  <c:v>6.4566929133858276E-5</c:v>
                </c:pt>
                <c:pt idx="80">
                  <c:v>6.4960629921259849E-5</c:v>
                </c:pt>
                <c:pt idx="81">
                  <c:v>6.5354330708661422E-5</c:v>
                </c:pt>
                <c:pt idx="82">
                  <c:v>6.5748031496062995E-5</c:v>
                </c:pt>
                <c:pt idx="83">
                  <c:v>6.6535433070866141E-5</c:v>
                </c:pt>
                <c:pt idx="84">
                  <c:v>6.6929133858267728E-5</c:v>
                </c:pt>
                <c:pt idx="85">
                  <c:v>6.7716535433070873E-5</c:v>
                </c:pt>
                <c:pt idx="86">
                  <c:v>6.8110236220472446E-5</c:v>
                </c:pt>
                <c:pt idx="87">
                  <c:v>6.8503937007874019E-5</c:v>
                </c:pt>
                <c:pt idx="88">
                  <c:v>6.8897637795275592E-5</c:v>
                </c:pt>
                <c:pt idx="89">
                  <c:v>6.8897637795275592E-5</c:v>
                </c:pt>
                <c:pt idx="90">
                  <c:v>6.8897637795275592E-5</c:v>
                </c:pt>
                <c:pt idx="91">
                  <c:v>6.8897637795275592E-5</c:v>
                </c:pt>
                <c:pt idx="92">
                  <c:v>6.8897637795275592E-5</c:v>
                </c:pt>
                <c:pt idx="93">
                  <c:v>6.8897637795275592E-5</c:v>
                </c:pt>
                <c:pt idx="94">
                  <c:v>6.8503937007874019E-5</c:v>
                </c:pt>
                <c:pt idx="95">
                  <c:v>6.8503937007874019E-5</c:v>
                </c:pt>
                <c:pt idx="96">
                  <c:v>6.8110236220472446E-5</c:v>
                </c:pt>
                <c:pt idx="97">
                  <c:v>6.7716535433070873E-5</c:v>
                </c:pt>
                <c:pt idx="98">
                  <c:v>6.7322834645669287E-5</c:v>
                </c:pt>
                <c:pt idx="99">
                  <c:v>6.6929133858267728E-5</c:v>
                </c:pt>
                <c:pt idx="100">
                  <c:v>6.6535433070866141E-5</c:v>
                </c:pt>
                <c:pt idx="101">
                  <c:v>6.6141732283464568E-5</c:v>
                </c:pt>
                <c:pt idx="102">
                  <c:v>6.5354330708661422E-5</c:v>
                </c:pt>
                <c:pt idx="103">
                  <c:v>6.4960629921259849E-5</c:v>
                </c:pt>
                <c:pt idx="104">
                  <c:v>6.4566929133858276E-5</c:v>
                </c:pt>
                <c:pt idx="105">
                  <c:v>6.4173228346456703E-5</c:v>
                </c:pt>
                <c:pt idx="106">
                  <c:v>6.3385826771653557E-5</c:v>
                </c:pt>
                <c:pt idx="107">
                  <c:v>6.2992125984251971E-5</c:v>
                </c:pt>
                <c:pt idx="108">
                  <c:v>6.2598425196850398E-5</c:v>
                </c:pt>
                <c:pt idx="109">
                  <c:v>6.1811023622047252E-5</c:v>
                </c:pt>
                <c:pt idx="110">
                  <c:v>6.1417322834645679E-5</c:v>
                </c:pt>
                <c:pt idx="111">
                  <c:v>6.1023622047244093E-5</c:v>
                </c:pt>
                <c:pt idx="112">
                  <c:v>6.0629921259842526E-5</c:v>
                </c:pt>
                <c:pt idx="113">
                  <c:v>5.9842519685039374E-5</c:v>
                </c:pt>
                <c:pt idx="114">
                  <c:v>5.9448818897637794E-5</c:v>
                </c:pt>
                <c:pt idx="115">
                  <c:v>5.9055118110236228E-5</c:v>
                </c:pt>
                <c:pt idx="116">
                  <c:v>5.8661417322834648E-5</c:v>
                </c:pt>
                <c:pt idx="117">
                  <c:v>5.8267716535433075E-5</c:v>
                </c:pt>
                <c:pt idx="118">
                  <c:v>5.7874015748031495E-5</c:v>
                </c:pt>
                <c:pt idx="119">
                  <c:v>5.7480314960629922E-5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ED8-44F2-B14A-7866E1E1F2D1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9ED8-44F2-B14A-7866E1E1F2D1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5.5551181102362203E-4</c:v>
                </c:pt>
                <c:pt idx="1">
                  <c:v>5.5551181102362203E-4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ED8-44F2-B14A-7866E1E1F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CE-4712-B542-FE3A8CA5B4D2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CE-4712-B542-FE3A8CA5B4D2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CE-4712-B542-FE3A8CA5B4D2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1440</c:v>
                </c:pt>
                <c:pt idx="1">
                  <c:v>1440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CE-4712-B542-FE3A8CA5B4D2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1800</c:v>
                </c:pt>
                <c:pt idx="1">
                  <c:v>1800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CE-4712-B542-FE3A8CA5B4D2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CE-4712-B542-FE3A8CA5B4D2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2CE-4712-B542-FE3A8CA5B4D2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2CE-4712-B542-FE3A8CA5B4D2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2CE-4712-B542-FE3A8CA5B4D2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2CE-4712-B542-FE3A8CA5B4D2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2CE-4712-B542-FE3A8CA5B4D2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2CE-4712-B542-FE3A8CA5B4D2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2CE-4712-B542-FE3A8CA5B4D2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2CE-4712-B542-FE3A8CA5B4D2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7.9577471545947689E-4</c:v>
                </c:pt>
                <c:pt idx="1">
                  <c:v>7.9577471545947689E-4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2CE-4712-B542-FE3A8CA5B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3143805" name="Chart 27">
          <a:extLst>
            <a:ext uri="{FF2B5EF4-FFF2-40B4-BE49-F238E27FC236}">
              <a16:creationId xmlns:a16="http://schemas.microsoft.com/office/drawing/2014/main" id="{90F27C40-208A-8B0C-3A77-715FBD615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143782" name="Chart 1">
          <a:extLst>
            <a:ext uri="{FF2B5EF4-FFF2-40B4-BE49-F238E27FC236}">
              <a16:creationId xmlns:a16="http://schemas.microsoft.com/office/drawing/2014/main" id="{102FB91C-826D-C194-E351-EC9F005C2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643074" name="Text Box 2">
          <a:extLst>
            <a:ext uri="{FF2B5EF4-FFF2-40B4-BE49-F238E27FC236}">
              <a16:creationId xmlns:a16="http://schemas.microsoft.com/office/drawing/2014/main" id="{107E2391-F807-0487-13D5-5A2E4F2D316E}"/>
            </a:ext>
          </a:extLst>
        </xdr:cNvPr>
        <xdr:cNvSpPr txBox="1">
          <a:spLocks noChangeArrowheads="1"/>
        </xdr:cNvSpPr>
      </xdr:nvSpPr>
      <xdr:spPr bwMode="auto">
        <a:xfrm>
          <a:off x="6997798" y="2729963"/>
          <a:ext cx="752023" cy="395406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643075" name="Text Box 3">
          <a:extLst>
            <a:ext uri="{FF2B5EF4-FFF2-40B4-BE49-F238E27FC236}">
              <a16:creationId xmlns:a16="http://schemas.microsoft.com/office/drawing/2014/main" id="{09483D94-BB71-F95E-14C6-D710AB746D75}"/>
            </a:ext>
          </a:extLst>
        </xdr:cNvPr>
        <xdr:cNvSpPr txBox="1">
          <a:spLocks noChangeArrowheads="1"/>
        </xdr:cNvSpPr>
      </xdr:nvSpPr>
      <xdr:spPr bwMode="auto">
        <a:xfrm>
          <a:off x="7203646" y="2388254"/>
          <a:ext cx="912590" cy="247149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43076" name="Text Box 4">
          <a:extLst>
            <a:ext uri="{FF2B5EF4-FFF2-40B4-BE49-F238E27FC236}">
              <a16:creationId xmlns:a16="http://schemas.microsoft.com/office/drawing/2014/main" id="{2C5A43DA-67A9-0212-F35B-607570A147FE}"/>
            </a:ext>
          </a:extLst>
        </xdr:cNvPr>
        <xdr:cNvSpPr txBox="1">
          <a:spLocks noChangeArrowheads="1"/>
        </xdr:cNvSpPr>
      </xdr:nvSpPr>
      <xdr:spPr bwMode="auto">
        <a:xfrm>
          <a:off x="7237168" y="1980420"/>
          <a:ext cx="910371" cy="254292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3143786" name="Chart 5">
          <a:extLst>
            <a:ext uri="{FF2B5EF4-FFF2-40B4-BE49-F238E27FC236}">
              <a16:creationId xmlns:a16="http://schemas.microsoft.com/office/drawing/2014/main" id="{AE0BE432-C12F-E268-6076-5F199078A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643078" name="Text Box 6">
          <a:extLst>
            <a:ext uri="{FF2B5EF4-FFF2-40B4-BE49-F238E27FC236}">
              <a16:creationId xmlns:a16="http://schemas.microsoft.com/office/drawing/2014/main" id="{77E4B467-7602-B452-D6E9-ADFE33884A85}"/>
            </a:ext>
          </a:extLst>
        </xdr:cNvPr>
        <xdr:cNvSpPr txBox="1">
          <a:spLocks noChangeArrowheads="1"/>
        </xdr:cNvSpPr>
      </xdr:nvSpPr>
      <xdr:spPr bwMode="auto">
        <a:xfrm>
          <a:off x="1276350" y="4143375"/>
          <a:ext cx="857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643079" name="Text Box 7">
          <a:extLst>
            <a:ext uri="{FF2B5EF4-FFF2-40B4-BE49-F238E27FC236}">
              <a16:creationId xmlns:a16="http://schemas.microsoft.com/office/drawing/2014/main" id="{000812F1-18FE-3C7A-0ADC-FB74A78844C3}"/>
            </a:ext>
          </a:extLst>
        </xdr:cNvPr>
        <xdr:cNvSpPr txBox="1">
          <a:spLocks noChangeArrowheads="1"/>
        </xdr:cNvSpPr>
      </xdr:nvSpPr>
      <xdr:spPr bwMode="auto">
        <a:xfrm>
          <a:off x="1514475" y="4143375"/>
          <a:ext cx="857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643080" name="Text Box 8">
          <a:extLst>
            <a:ext uri="{FF2B5EF4-FFF2-40B4-BE49-F238E27FC236}">
              <a16:creationId xmlns:a16="http://schemas.microsoft.com/office/drawing/2014/main" id="{EF5DB45E-3656-7D12-25A5-D88C13AE7229}"/>
            </a:ext>
          </a:extLst>
        </xdr:cNvPr>
        <xdr:cNvSpPr txBox="1">
          <a:spLocks noChangeArrowheads="1"/>
        </xdr:cNvSpPr>
      </xdr:nvSpPr>
      <xdr:spPr bwMode="auto">
        <a:xfrm>
          <a:off x="1914525" y="4143375"/>
          <a:ext cx="857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643082" name="Text Box 10">
          <a:extLst>
            <a:ext uri="{FF2B5EF4-FFF2-40B4-BE49-F238E27FC236}">
              <a16:creationId xmlns:a16="http://schemas.microsoft.com/office/drawing/2014/main" id="{4CA078A2-B087-A282-5A8E-C050AE480334}"/>
            </a:ext>
          </a:extLst>
        </xdr:cNvPr>
        <xdr:cNvSpPr txBox="1">
          <a:spLocks noChangeArrowheads="1"/>
        </xdr:cNvSpPr>
      </xdr:nvSpPr>
      <xdr:spPr bwMode="auto">
        <a:xfrm>
          <a:off x="3057525" y="4143375"/>
          <a:ext cx="1152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13</xdr:col>
      <xdr:colOff>380321</xdr:colOff>
      <xdr:row>9</xdr:row>
      <xdr:rowOff>160326</xdr:rowOff>
    </xdr:from>
    <xdr:to>
      <xdr:col>13</xdr:col>
      <xdr:colOff>573203</xdr:colOff>
      <xdr:row>13</xdr:row>
      <xdr:rowOff>55893</xdr:rowOff>
    </xdr:to>
    <xdr:sp macro="" textlink="">
      <xdr:nvSpPr>
        <xdr:cNvPr id="643083" name="Text Box 11">
          <a:extLst>
            <a:ext uri="{FF2B5EF4-FFF2-40B4-BE49-F238E27FC236}">
              <a16:creationId xmlns:a16="http://schemas.microsoft.com/office/drawing/2014/main" id="{68F7E080-050D-C2DA-444C-4F93E937D721}"/>
            </a:ext>
          </a:extLst>
        </xdr:cNvPr>
        <xdr:cNvSpPr txBox="1">
          <a:spLocks noChangeArrowheads="1"/>
        </xdr:cNvSpPr>
      </xdr:nvSpPr>
      <xdr:spPr bwMode="auto">
        <a:xfrm flipV="1">
          <a:off x="8511419" y="1623924"/>
          <a:ext cx="192882" cy="5460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1440 rpm</a:t>
          </a:r>
        </a:p>
      </xdr:txBody>
    </xdr:sp>
    <xdr:clientData/>
  </xdr:twoCellAnchor>
  <xdr:twoCellAnchor>
    <xdr:from>
      <xdr:col>13</xdr:col>
      <xdr:colOff>548833</xdr:colOff>
      <xdr:row>9</xdr:row>
      <xdr:rowOff>160675</xdr:rowOff>
    </xdr:from>
    <xdr:to>
      <xdr:col>14</xdr:col>
      <xdr:colOff>118410</xdr:colOff>
      <xdr:row>13</xdr:row>
      <xdr:rowOff>31839</xdr:rowOff>
    </xdr:to>
    <xdr:sp macro="" textlink="">
      <xdr:nvSpPr>
        <xdr:cNvPr id="643084" name="Text Box 12">
          <a:extLst>
            <a:ext uri="{FF2B5EF4-FFF2-40B4-BE49-F238E27FC236}">
              <a16:creationId xmlns:a16="http://schemas.microsoft.com/office/drawing/2014/main" id="{343AFC46-20E3-D33C-CA55-61F9FDEFB8FD}"/>
            </a:ext>
          </a:extLst>
        </xdr:cNvPr>
        <xdr:cNvSpPr txBox="1">
          <a:spLocks noChangeArrowheads="1"/>
        </xdr:cNvSpPr>
      </xdr:nvSpPr>
      <xdr:spPr bwMode="auto">
        <a:xfrm flipV="1">
          <a:off x="8679931" y="1624273"/>
          <a:ext cx="178247" cy="5216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1800 rpm</a:t>
          </a:r>
        </a:p>
      </xdr:txBody>
    </xdr:sp>
    <xdr:clientData/>
  </xdr:twoCellAnchor>
  <xdr:twoCellAnchor>
    <xdr:from>
      <xdr:col>14</xdr:col>
      <xdr:colOff>235739</xdr:colOff>
      <xdr:row>9</xdr:row>
      <xdr:rowOff>158444</xdr:rowOff>
    </xdr:from>
    <xdr:to>
      <xdr:col>14</xdr:col>
      <xdr:colOff>430254</xdr:colOff>
      <xdr:row>13</xdr:row>
      <xdr:rowOff>19886</xdr:rowOff>
    </xdr:to>
    <xdr:sp macro="" textlink="">
      <xdr:nvSpPr>
        <xdr:cNvPr id="643085" name="Text Box 13">
          <a:extLst>
            <a:ext uri="{FF2B5EF4-FFF2-40B4-BE49-F238E27FC236}">
              <a16:creationId xmlns:a16="http://schemas.microsoft.com/office/drawing/2014/main" id="{F009FF7D-E195-6FCB-5D22-D6ECA1801B72}"/>
            </a:ext>
          </a:extLst>
        </xdr:cNvPr>
        <xdr:cNvSpPr txBox="1">
          <a:spLocks noChangeArrowheads="1"/>
        </xdr:cNvSpPr>
      </xdr:nvSpPr>
      <xdr:spPr bwMode="auto">
        <a:xfrm flipH="1" flipV="1">
          <a:off x="8975507" y="1622042"/>
          <a:ext cx="194515" cy="511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2160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643086" name="Text Box 14">
          <a:extLst>
            <a:ext uri="{FF2B5EF4-FFF2-40B4-BE49-F238E27FC236}">
              <a16:creationId xmlns:a16="http://schemas.microsoft.com/office/drawing/2014/main" id="{D46D0755-972E-1FA5-A7F5-2A032874FE95}"/>
            </a:ext>
          </a:extLst>
        </xdr:cNvPr>
        <xdr:cNvSpPr txBox="1">
          <a:spLocks noChangeArrowheads="1"/>
        </xdr:cNvSpPr>
      </xdr:nvSpPr>
      <xdr:spPr bwMode="auto">
        <a:xfrm>
          <a:off x="7396884" y="1560952"/>
          <a:ext cx="932852" cy="284517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643087" name="Text Box 15">
          <a:extLst>
            <a:ext uri="{FF2B5EF4-FFF2-40B4-BE49-F238E27FC236}">
              <a16:creationId xmlns:a16="http://schemas.microsoft.com/office/drawing/2014/main" id="{48539CC9-E41F-FA68-9C50-B0AE0F74D361}"/>
            </a:ext>
          </a:extLst>
        </xdr:cNvPr>
        <xdr:cNvSpPr txBox="1">
          <a:spLocks noChangeArrowheads="1"/>
        </xdr:cNvSpPr>
      </xdr:nvSpPr>
      <xdr:spPr bwMode="auto">
        <a:xfrm>
          <a:off x="4829175" y="8039100"/>
          <a:ext cx="11525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643088" name="Text Box 16">
          <a:extLst>
            <a:ext uri="{FF2B5EF4-FFF2-40B4-BE49-F238E27FC236}">
              <a16:creationId xmlns:a16="http://schemas.microsoft.com/office/drawing/2014/main" id="{8BAAF23A-7A2D-9A89-23C3-E3EA076E53DF}"/>
            </a:ext>
          </a:extLst>
        </xdr:cNvPr>
        <xdr:cNvSpPr txBox="1">
          <a:spLocks noChangeArrowheads="1"/>
        </xdr:cNvSpPr>
      </xdr:nvSpPr>
      <xdr:spPr bwMode="auto">
        <a:xfrm>
          <a:off x="4819650" y="7820025"/>
          <a:ext cx="11525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643089" name="Text Box 17">
          <a:extLst>
            <a:ext uri="{FF2B5EF4-FFF2-40B4-BE49-F238E27FC236}">
              <a16:creationId xmlns:a16="http://schemas.microsoft.com/office/drawing/2014/main" id="{F1B3DFD1-3742-97EB-8BF0-D3AFB5AD0430}"/>
            </a:ext>
          </a:extLst>
        </xdr:cNvPr>
        <xdr:cNvSpPr txBox="1">
          <a:spLocks noChangeArrowheads="1"/>
        </xdr:cNvSpPr>
      </xdr:nvSpPr>
      <xdr:spPr bwMode="auto">
        <a:xfrm>
          <a:off x="4810125" y="7639050"/>
          <a:ext cx="6667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643090" name="Text Box 18">
          <a:extLst>
            <a:ext uri="{FF2B5EF4-FFF2-40B4-BE49-F238E27FC236}">
              <a16:creationId xmlns:a16="http://schemas.microsoft.com/office/drawing/2014/main" id="{208D6FB7-916E-BCF5-7672-2B6C3B45F2C8}"/>
            </a:ext>
          </a:extLst>
        </xdr:cNvPr>
        <xdr:cNvSpPr txBox="1">
          <a:spLocks noChangeArrowheads="1"/>
        </xdr:cNvSpPr>
      </xdr:nvSpPr>
      <xdr:spPr bwMode="auto">
        <a:xfrm>
          <a:off x="4819650" y="7477125"/>
          <a:ext cx="7239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643091" name="Text Box 19">
          <a:extLst>
            <a:ext uri="{FF2B5EF4-FFF2-40B4-BE49-F238E27FC236}">
              <a16:creationId xmlns:a16="http://schemas.microsoft.com/office/drawing/2014/main" id="{A8E349E7-1394-4D1F-E7DB-783C7006648B}"/>
            </a:ext>
          </a:extLst>
        </xdr:cNvPr>
        <xdr:cNvSpPr txBox="1">
          <a:spLocks noChangeArrowheads="1"/>
        </xdr:cNvSpPr>
      </xdr:nvSpPr>
      <xdr:spPr bwMode="auto">
        <a:xfrm>
          <a:off x="4838700" y="4143375"/>
          <a:ext cx="4286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643092" name="Text Box 20">
          <a:extLst>
            <a:ext uri="{FF2B5EF4-FFF2-40B4-BE49-F238E27FC236}">
              <a16:creationId xmlns:a16="http://schemas.microsoft.com/office/drawing/2014/main" id="{7F3D42C6-B2F0-0A64-82A4-89EDAFC28B07}"/>
            </a:ext>
          </a:extLst>
        </xdr:cNvPr>
        <xdr:cNvSpPr txBox="1">
          <a:spLocks noChangeArrowheads="1"/>
        </xdr:cNvSpPr>
      </xdr:nvSpPr>
      <xdr:spPr bwMode="auto">
        <a:xfrm>
          <a:off x="4848225" y="4143375"/>
          <a:ext cx="4286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3143801" name="Line 21">
          <a:extLst>
            <a:ext uri="{FF2B5EF4-FFF2-40B4-BE49-F238E27FC236}">
              <a16:creationId xmlns:a16="http://schemas.microsoft.com/office/drawing/2014/main" id="{A06751EA-341E-A111-3CB0-6E0BAD3B21E7}"/>
            </a:ext>
          </a:extLst>
        </xdr:cNvPr>
        <xdr:cNvSpPr>
          <a:spLocks noChangeShapeType="1"/>
        </xdr:cNvSpPr>
      </xdr:nvSpPr>
      <xdr:spPr bwMode="auto">
        <a:xfrm>
          <a:off x="7343775" y="8791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3143802" name="Line 22">
          <a:extLst>
            <a:ext uri="{FF2B5EF4-FFF2-40B4-BE49-F238E27FC236}">
              <a16:creationId xmlns:a16="http://schemas.microsoft.com/office/drawing/2014/main" id="{4E03582B-7E78-B8E2-C103-F871D9B2B489}"/>
            </a:ext>
          </a:extLst>
        </xdr:cNvPr>
        <xdr:cNvSpPr>
          <a:spLocks noChangeShapeType="1"/>
        </xdr:cNvSpPr>
      </xdr:nvSpPr>
      <xdr:spPr bwMode="auto">
        <a:xfrm>
          <a:off x="7343775" y="8782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3143803" name="Line 23">
          <a:extLst>
            <a:ext uri="{FF2B5EF4-FFF2-40B4-BE49-F238E27FC236}">
              <a16:creationId xmlns:a16="http://schemas.microsoft.com/office/drawing/2014/main" id="{24AFA9E7-D0CA-B9C7-8738-8E75E8185F9A}"/>
            </a:ext>
          </a:extLst>
        </xdr:cNvPr>
        <xdr:cNvSpPr>
          <a:spLocks noChangeShapeType="1"/>
        </xdr:cNvSpPr>
      </xdr:nvSpPr>
      <xdr:spPr bwMode="auto">
        <a:xfrm>
          <a:off x="1219200" y="993457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3143804" name="Line 24">
          <a:extLst>
            <a:ext uri="{FF2B5EF4-FFF2-40B4-BE49-F238E27FC236}">
              <a16:creationId xmlns:a16="http://schemas.microsoft.com/office/drawing/2014/main" id="{CFFC2F58-7E0C-F1EE-A963-1998C8CF4B6A}"/>
            </a:ext>
          </a:extLst>
        </xdr:cNvPr>
        <xdr:cNvSpPr>
          <a:spLocks noChangeShapeType="1"/>
        </xdr:cNvSpPr>
      </xdr:nvSpPr>
      <xdr:spPr bwMode="auto">
        <a:xfrm>
          <a:off x="1219200" y="10106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643100" name="Text Box 28">
          <a:extLst>
            <a:ext uri="{FF2B5EF4-FFF2-40B4-BE49-F238E27FC236}">
              <a16:creationId xmlns:a16="http://schemas.microsoft.com/office/drawing/2014/main" id="{18D9976D-7C89-3911-A065-D477B48E7BAF}"/>
            </a:ext>
          </a:extLst>
        </xdr:cNvPr>
        <xdr:cNvSpPr txBox="1">
          <a:spLocks noChangeArrowheads="1"/>
        </xdr:cNvSpPr>
      </xdr:nvSpPr>
      <xdr:spPr bwMode="auto">
        <a:xfrm>
          <a:off x="1276350" y="6210300"/>
          <a:ext cx="857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643101" name="Text Box 29">
          <a:extLst>
            <a:ext uri="{FF2B5EF4-FFF2-40B4-BE49-F238E27FC236}">
              <a16:creationId xmlns:a16="http://schemas.microsoft.com/office/drawing/2014/main" id="{440FFE52-EF6E-5FE8-4BF0-14B5C5251761}"/>
            </a:ext>
          </a:extLst>
        </xdr:cNvPr>
        <xdr:cNvSpPr txBox="1">
          <a:spLocks noChangeArrowheads="1"/>
        </xdr:cNvSpPr>
      </xdr:nvSpPr>
      <xdr:spPr bwMode="auto">
        <a:xfrm>
          <a:off x="1419225" y="5629275"/>
          <a:ext cx="857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643102" name="Text Box 30">
          <a:extLst>
            <a:ext uri="{FF2B5EF4-FFF2-40B4-BE49-F238E27FC236}">
              <a16:creationId xmlns:a16="http://schemas.microsoft.com/office/drawing/2014/main" id="{AFD6FC9C-C21F-C684-89BE-46A671946E72}"/>
            </a:ext>
          </a:extLst>
        </xdr:cNvPr>
        <xdr:cNvSpPr txBox="1">
          <a:spLocks noChangeArrowheads="1"/>
        </xdr:cNvSpPr>
      </xdr:nvSpPr>
      <xdr:spPr bwMode="auto">
        <a:xfrm>
          <a:off x="1914525" y="5200650"/>
          <a:ext cx="857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643103" name="Text Box 31">
          <a:extLst>
            <a:ext uri="{FF2B5EF4-FFF2-40B4-BE49-F238E27FC236}">
              <a16:creationId xmlns:a16="http://schemas.microsoft.com/office/drawing/2014/main" id="{577D3F9B-6C51-0867-5991-BC84692475DA}"/>
            </a:ext>
          </a:extLst>
        </xdr:cNvPr>
        <xdr:cNvSpPr txBox="1">
          <a:spLocks noChangeArrowheads="1"/>
        </xdr:cNvSpPr>
      </xdr:nvSpPr>
      <xdr:spPr bwMode="auto">
        <a:xfrm>
          <a:off x="3171825" y="5314950"/>
          <a:ext cx="115252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643104" name="Text Box 32">
          <a:extLst>
            <a:ext uri="{FF2B5EF4-FFF2-40B4-BE49-F238E27FC236}">
              <a16:creationId xmlns:a16="http://schemas.microsoft.com/office/drawing/2014/main" id="{7A9CD890-E51A-D434-0B20-B5D68DFE9F09}"/>
            </a:ext>
          </a:extLst>
        </xdr:cNvPr>
        <xdr:cNvSpPr txBox="1">
          <a:spLocks noChangeArrowheads="1"/>
        </xdr:cNvSpPr>
      </xdr:nvSpPr>
      <xdr:spPr bwMode="auto">
        <a:xfrm>
          <a:off x="4829175" y="7219950"/>
          <a:ext cx="4286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643105" name="Text Box 33">
          <a:extLst>
            <a:ext uri="{FF2B5EF4-FFF2-40B4-BE49-F238E27FC236}">
              <a16:creationId xmlns:a16="http://schemas.microsoft.com/office/drawing/2014/main" id="{BC35878D-CE9D-2918-2257-DBCDF77782AE}"/>
            </a:ext>
          </a:extLst>
        </xdr:cNvPr>
        <xdr:cNvSpPr txBox="1">
          <a:spLocks noChangeArrowheads="1"/>
        </xdr:cNvSpPr>
      </xdr:nvSpPr>
      <xdr:spPr bwMode="auto">
        <a:xfrm>
          <a:off x="4838700" y="7000875"/>
          <a:ext cx="4286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643107" name="Text Box 35">
          <a:extLst>
            <a:ext uri="{FF2B5EF4-FFF2-40B4-BE49-F238E27FC236}">
              <a16:creationId xmlns:a16="http://schemas.microsoft.com/office/drawing/2014/main" id="{DB14B391-5F2E-EE40-C799-74B4580A0A49}"/>
            </a:ext>
          </a:extLst>
        </xdr:cNvPr>
        <xdr:cNvSpPr txBox="1">
          <a:spLocks noChangeArrowheads="1"/>
        </xdr:cNvSpPr>
      </xdr:nvSpPr>
      <xdr:spPr bwMode="auto">
        <a:xfrm>
          <a:off x="4267200" y="21240750"/>
          <a:ext cx="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143816" name="Line 43">
          <a:extLst>
            <a:ext uri="{FF2B5EF4-FFF2-40B4-BE49-F238E27FC236}">
              <a16:creationId xmlns:a16="http://schemas.microsoft.com/office/drawing/2014/main" id="{30397C14-EB92-78BC-AA86-A0454B6DF304}"/>
            </a:ext>
          </a:extLst>
        </xdr:cNvPr>
        <xdr:cNvSpPr>
          <a:spLocks noChangeShapeType="1"/>
        </xdr:cNvSpPr>
      </xdr:nvSpPr>
      <xdr:spPr bwMode="auto">
        <a:xfrm>
          <a:off x="3638550" y="912495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143817" name="Line 44">
          <a:extLst>
            <a:ext uri="{FF2B5EF4-FFF2-40B4-BE49-F238E27FC236}">
              <a16:creationId xmlns:a16="http://schemas.microsoft.com/office/drawing/2014/main" id="{A331970B-5A73-AEB2-F545-B98FDA057CAA}"/>
            </a:ext>
          </a:extLst>
        </xdr:cNvPr>
        <xdr:cNvSpPr>
          <a:spLocks noChangeShapeType="1"/>
        </xdr:cNvSpPr>
      </xdr:nvSpPr>
      <xdr:spPr bwMode="auto">
        <a:xfrm>
          <a:off x="3810000" y="89058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143818" name="Line 45">
          <a:extLst>
            <a:ext uri="{FF2B5EF4-FFF2-40B4-BE49-F238E27FC236}">
              <a16:creationId xmlns:a16="http://schemas.microsoft.com/office/drawing/2014/main" id="{1CF76EF8-D6C6-D83A-7A00-411382AA9783}"/>
            </a:ext>
          </a:extLst>
        </xdr:cNvPr>
        <xdr:cNvSpPr>
          <a:spLocks noChangeShapeType="1"/>
        </xdr:cNvSpPr>
      </xdr:nvSpPr>
      <xdr:spPr bwMode="auto">
        <a:xfrm>
          <a:off x="3810000" y="87153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143819" name="Line 46">
          <a:extLst>
            <a:ext uri="{FF2B5EF4-FFF2-40B4-BE49-F238E27FC236}">
              <a16:creationId xmlns:a16="http://schemas.microsoft.com/office/drawing/2014/main" id="{A9D76A24-C841-084C-16F8-718FC90C384F}"/>
            </a:ext>
          </a:extLst>
        </xdr:cNvPr>
        <xdr:cNvSpPr>
          <a:spLocks noChangeShapeType="1"/>
        </xdr:cNvSpPr>
      </xdr:nvSpPr>
      <xdr:spPr bwMode="auto">
        <a:xfrm>
          <a:off x="3829050" y="853440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143820" name="Line 47">
          <a:extLst>
            <a:ext uri="{FF2B5EF4-FFF2-40B4-BE49-F238E27FC236}">
              <a16:creationId xmlns:a16="http://schemas.microsoft.com/office/drawing/2014/main" id="{A37F2EB2-383D-272F-3E8F-0328C1EEF417}"/>
            </a:ext>
          </a:extLst>
        </xdr:cNvPr>
        <xdr:cNvSpPr>
          <a:spLocks noChangeShapeType="1"/>
        </xdr:cNvSpPr>
      </xdr:nvSpPr>
      <xdr:spPr bwMode="auto">
        <a:xfrm>
          <a:off x="3867150" y="82962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143821" name="Line 48">
          <a:extLst>
            <a:ext uri="{FF2B5EF4-FFF2-40B4-BE49-F238E27FC236}">
              <a16:creationId xmlns:a16="http://schemas.microsoft.com/office/drawing/2014/main" id="{9A2598B3-92CA-CF5B-38B8-76ED05088AC7}"/>
            </a:ext>
          </a:extLst>
        </xdr:cNvPr>
        <xdr:cNvSpPr>
          <a:spLocks noChangeShapeType="1"/>
        </xdr:cNvSpPr>
      </xdr:nvSpPr>
      <xdr:spPr bwMode="auto">
        <a:xfrm>
          <a:off x="3914775" y="80867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143822" name="Text Box 52">
          <a:extLst>
            <a:ext uri="{FF2B5EF4-FFF2-40B4-BE49-F238E27FC236}">
              <a16:creationId xmlns:a16="http://schemas.microsoft.com/office/drawing/2014/main" id="{0C64AE3A-C9C1-960B-E455-2012ACDA45A7}"/>
            </a:ext>
          </a:extLst>
        </xdr:cNvPr>
        <xdr:cNvSpPr txBox="1">
          <a:spLocks noChangeArrowheads="1"/>
        </xdr:cNvSpPr>
      </xdr:nvSpPr>
      <xdr:spPr bwMode="auto">
        <a:xfrm>
          <a:off x="2400300" y="8886825"/>
          <a:ext cx="2286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3143823" name="Text Box 54">
          <a:extLst>
            <a:ext uri="{FF2B5EF4-FFF2-40B4-BE49-F238E27FC236}">
              <a16:creationId xmlns:a16="http://schemas.microsoft.com/office/drawing/2014/main" id="{4A8406FF-B330-867A-8CD5-B1941B64BC5E}"/>
            </a:ext>
          </a:extLst>
        </xdr:cNvPr>
        <xdr:cNvSpPr txBox="1">
          <a:spLocks noChangeArrowheads="1"/>
        </xdr:cNvSpPr>
      </xdr:nvSpPr>
      <xdr:spPr bwMode="auto">
        <a:xfrm>
          <a:off x="1905000" y="8943975"/>
          <a:ext cx="1905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3143824" name="Text Box 56">
          <a:extLst>
            <a:ext uri="{FF2B5EF4-FFF2-40B4-BE49-F238E27FC236}">
              <a16:creationId xmlns:a16="http://schemas.microsoft.com/office/drawing/2014/main" id="{EC83424B-74FF-3ABF-618C-E0C58A990AFC}"/>
            </a:ext>
          </a:extLst>
        </xdr:cNvPr>
        <xdr:cNvSpPr txBox="1">
          <a:spLocks noChangeArrowheads="1"/>
        </xdr:cNvSpPr>
      </xdr:nvSpPr>
      <xdr:spPr bwMode="auto">
        <a:xfrm>
          <a:off x="2628900" y="4276725"/>
          <a:ext cx="3905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136195</xdr:colOff>
      <xdr:row>13</xdr:row>
      <xdr:rowOff>11079</xdr:rowOff>
    </xdr:from>
    <xdr:to>
      <xdr:col>18</xdr:col>
      <xdr:colOff>451593</xdr:colOff>
      <xdr:row>14</xdr:row>
      <xdr:rowOff>147197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3B4753-DB87-A423-2AD2-105D4B6B995E}"/>
            </a:ext>
          </a:extLst>
        </xdr:cNvPr>
        <xdr:cNvSpPr txBox="1"/>
      </xdr:nvSpPr>
      <xdr:spPr>
        <a:xfrm>
          <a:off x="10141586" y="2164557"/>
          <a:ext cx="1541224" cy="301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3.81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151557</xdr:colOff>
      <xdr:row>15</xdr:row>
      <xdr:rowOff>33826</xdr:rowOff>
    </xdr:from>
    <xdr:to>
      <xdr:col>19</xdr:col>
      <xdr:colOff>77238</xdr:colOff>
      <xdr:row>17</xdr:row>
      <xdr:rowOff>11772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F74C1B-0877-DAB3-FCE4-8D4247AD8D2E}"/>
            </a:ext>
          </a:extLst>
        </xdr:cNvPr>
        <xdr:cNvSpPr txBox="1"/>
      </xdr:nvSpPr>
      <xdr:spPr>
        <a:xfrm>
          <a:off x="10717337" y="2473155"/>
          <a:ext cx="1152316" cy="303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203AB4DA-BDF9-4FA8-B187-1B11268C2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1814126-B274-4B90-9342-F89848606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63586387-68D7-40DC-B582-A98047F7BA77}"/>
            </a:ext>
          </a:extLst>
        </xdr:cNvPr>
        <xdr:cNvSpPr txBox="1">
          <a:spLocks noChangeArrowheads="1"/>
        </xdr:cNvSpPr>
      </xdr:nvSpPr>
      <xdr:spPr bwMode="auto">
        <a:xfrm>
          <a:off x="7003660" y="2741686"/>
          <a:ext cx="753488" cy="39760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17F96656-6160-40F3-813C-6064214DD52E}"/>
            </a:ext>
          </a:extLst>
        </xdr:cNvPr>
        <xdr:cNvSpPr txBox="1">
          <a:spLocks noChangeArrowheads="1"/>
        </xdr:cNvSpPr>
      </xdr:nvSpPr>
      <xdr:spPr bwMode="auto">
        <a:xfrm>
          <a:off x="7209508" y="2398512"/>
          <a:ext cx="914055" cy="24861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A8F0A0D1-6AFB-48C3-A030-E974EF5DE4DD}"/>
            </a:ext>
          </a:extLst>
        </xdr:cNvPr>
        <xdr:cNvSpPr txBox="1">
          <a:spLocks noChangeArrowheads="1"/>
        </xdr:cNvSpPr>
      </xdr:nvSpPr>
      <xdr:spPr bwMode="auto">
        <a:xfrm>
          <a:off x="7243030" y="1989212"/>
          <a:ext cx="913301" cy="2550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76023CD1-0356-4315-A2A6-5B14C54D5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05B47EED-344E-4BFD-9E62-9DF7871A0AB0}"/>
            </a:ext>
          </a:extLst>
        </xdr:cNvPr>
        <xdr:cNvSpPr txBox="1">
          <a:spLocks noChangeArrowheads="1"/>
        </xdr:cNvSpPr>
      </xdr:nvSpPr>
      <xdr:spPr bwMode="auto">
        <a:xfrm>
          <a:off x="6972300" y="5829300"/>
          <a:ext cx="85634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02C5EAF4-60EA-4044-840A-F095B948477E}"/>
            </a:ext>
          </a:extLst>
        </xdr:cNvPr>
        <xdr:cNvSpPr txBox="1">
          <a:spLocks noChangeArrowheads="1"/>
        </xdr:cNvSpPr>
      </xdr:nvSpPr>
      <xdr:spPr bwMode="auto">
        <a:xfrm>
          <a:off x="7211695" y="5829300"/>
          <a:ext cx="71965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8688B26C-5401-46AF-A651-6608A47B5021}"/>
            </a:ext>
          </a:extLst>
        </xdr:cNvPr>
        <xdr:cNvSpPr txBox="1">
          <a:spLocks noChangeArrowheads="1"/>
        </xdr:cNvSpPr>
      </xdr:nvSpPr>
      <xdr:spPr bwMode="auto">
        <a:xfrm>
          <a:off x="7611745" y="5829300"/>
          <a:ext cx="85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307504DB-503B-4E10-8C23-9942C810D99D}"/>
            </a:ext>
          </a:extLst>
        </xdr:cNvPr>
        <xdr:cNvSpPr txBox="1">
          <a:spLocks noChangeArrowheads="1"/>
        </xdr:cNvSpPr>
      </xdr:nvSpPr>
      <xdr:spPr bwMode="auto">
        <a:xfrm>
          <a:off x="8756650" y="5829300"/>
          <a:ext cx="100441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13</xdr:col>
      <xdr:colOff>380688</xdr:colOff>
      <xdr:row>9</xdr:row>
      <xdr:rowOff>138685</xdr:rowOff>
    </xdr:from>
    <xdr:to>
      <xdr:col>13</xdr:col>
      <xdr:colOff>573570</xdr:colOff>
      <xdr:row>13</xdr:row>
      <xdr:rowOff>36452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1D564A43-09D2-428D-A9E5-8A16E4DC94C2}"/>
            </a:ext>
          </a:extLst>
        </xdr:cNvPr>
        <xdr:cNvSpPr txBox="1">
          <a:spLocks noChangeArrowheads="1"/>
        </xdr:cNvSpPr>
      </xdr:nvSpPr>
      <xdr:spPr bwMode="auto">
        <a:xfrm flipV="1">
          <a:off x="8537096" y="1582474"/>
          <a:ext cx="192882" cy="5394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1440 rpm</a:t>
          </a:r>
        </a:p>
      </xdr:txBody>
    </xdr:sp>
    <xdr:clientData/>
  </xdr:twoCellAnchor>
  <xdr:twoCellAnchor>
    <xdr:from>
      <xdr:col>13</xdr:col>
      <xdr:colOff>558493</xdr:colOff>
      <xdr:row>9</xdr:row>
      <xdr:rowOff>145514</xdr:rowOff>
    </xdr:from>
    <xdr:to>
      <xdr:col>14</xdr:col>
      <xdr:colOff>128070</xdr:colOff>
      <xdr:row>13</xdr:row>
      <xdr:rowOff>18878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880EC844-DD31-449B-BC76-8FDCEB933150}"/>
            </a:ext>
          </a:extLst>
        </xdr:cNvPr>
        <xdr:cNvSpPr txBox="1">
          <a:spLocks noChangeArrowheads="1"/>
        </xdr:cNvSpPr>
      </xdr:nvSpPr>
      <xdr:spPr bwMode="auto">
        <a:xfrm flipV="1">
          <a:off x="8714901" y="1589303"/>
          <a:ext cx="181182" cy="5150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1800 rpm</a:t>
          </a:r>
        </a:p>
      </xdr:txBody>
    </xdr:sp>
    <xdr:clientData/>
  </xdr:twoCellAnchor>
  <xdr:twoCellAnchor>
    <xdr:from>
      <xdr:col>14</xdr:col>
      <xdr:colOff>221067</xdr:colOff>
      <xdr:row>9</xdr:row>
      <xdr:rowOff>137537</xdr:rowOff>
    </xdr:from>
    <xdr:to>
      <xdr:col>14</xdr:col>
      <xdr:colOff>415582</xdr:colOff>
      <xdr:row>13</xdr:row>
      <xdr:rowOff>1179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D4D37C59-7E41-4D7B-B50B-9A93469C08AA}"/>
            </a:ext>
          </a:extLst>
        </xdr:cNvPr>
        <xdr:cNvSpPr txBox="1">
          <a:spLocks noChangeArrowheads="1"/>
        </xdr:cNvSpPr>
      </xdr:nvSpPr>
      <xdr:spPr bwMode="auto">
        <a:xfrm flipH="1" flipV="1">
          <a:off x="8989080" y="1581326"/>
          <a:ext cx="194515" cy="5053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2160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1E918AD0-6DDB-4C72-9311-05FABBDD5276}"/>
            </a:ext>
          </a:extLst>
        </xdr:cNvPr>
        <xdr:cNvSpPr txBox="1">
          <a:spLocks noChangeArrowheads="1"/>
        </xdr:cNvSpPr>
      </xdr:nvSpPr>
      <xdr:spPr bwMode="auto">
        <a:xfrm>
          <a:off x="7402746" y="1567546"/>
          <a:ext cx="935782" cy="2859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856CFA5C-10F7-473B-AD66-5163FE0E24A8}"/>
            </a:ext>
          </a:extLst>
        </xdr:cNvPr>
        <xdr:cNvSpPr txBox="1">
          <a:spLocks noChangeArrowheads="1"/>
        </xdr:cNvSpPr>
      </xdr:nvSpPr>
      <xdr:spPr bwMode="auto">
        <a:xfrm>
          <a:off x="10362565" y="10239375"/>
          <a:ext cx="1225777" cy="224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2C867DDE-EEFA-4297-ABB5-4E23C45DD927}"/>
            </a:ext>
          </a:extLst>
        </xdr:cNvPr>
        <xdr:cNvSpPr txBox="1">
          <a:spLocks noChangeArrowheads="1"/>
        </xdr:cNvSpPr>
      </xdr:nvSpPr>
      <xdr:spPr bwMode="auto">
        <a:xfrm>
          <a:off x="10370820" y="9976485"/>
          <a:ext cx="1220337" cy="275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4FD39CFD-4098-482B-A34D-0351B743ACEF}"/>
            </a:ext>
          </a:extLst>
        </xdr:cNvPr>
        <xdr:cNvSpPr txBox="1">
          <a:spLocks noChangeArrowheads="1"/>
        </xdr:cNvSpPr>
      </xdr:nvSpPr>
      <xdr:spPr bwMode="auto">
        <a:xfrm>
          <a:off x="10368915" y="9777730"/>
          <a:ext cx="613015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8FED9510-A09E-4BBB-A45C-63CB81E355B9}"/>
            </a:ext>
          </a:extLst>
        </xdr:cNvPr>
        <xdr:cNvSpPr txBox="1">
          <a:spLocks noChangeArrowheads="1"/>
        </xdr:cNvSpPr>
      </xdr:nvSpPr>
      <xdr:spPr bwMode="auto">
        <a:xfrm>
          <a:off x="10370820" y="9604375"/>
          <a:ext cx="869406" cy="256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82B27D1F-F019-4708-AE31-698278875910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5980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AF487379-BAE3-4FC1-AFE4-D7E1D139E75D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6001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49D28312-138C-4522-BDBF-53FE3B1CA3CE}"/>
            </a:ext>
          </a:extLst>
        </xdr:cNvPr>
        <xdr:cNvSpPr>
          <a:spLocks noChangeShapeType="1"/>
        </xdr:cNvSpPr>
      </xdr:nvSpPr>
      <xdr:spPr bwMode="auto">
        <a:xfrm>
          <a:off x="13039725" y="9953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58DEE8E5-0A13-4671-85C6-A047884F1463}"/>
            </a:ext>
          </a:extLst>
        </xdr:cNvPr>
        <xdr:cNvSpPr>
          <a:spLocks noChangeShapeType="1"/>
        </xdr:cNvSpPr>
      </xdr:nvSpPr>
      <xdr:spPr bwMode="auto">
        <a:xfrm>
          <a:off x="13039725" y="9944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65C023EE-869B-4DBC-A2A4-454BCA707B14}"/>
            </a:ext>
          </a:extLst>
        </xdr:cNvPr>
        <xdr:cNvSpPr>
          <a:spLocks noChangeShapeType="1"/>
        </xdr:cNvSpPr>
      </xdr:nvSpPr>
      <xdr:spPr bwMode="auto">
        <a:xfrm>
          <a:off x="6915150" y="11249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81391EA2-F885-4424-8CDE-594541878F62}"/>
            </a:ext>
          </a:extLst>
        </xdr:cNvPr>
        <xdr:cNvSpPr>
          <a:spLocks noChangeShapeType="1"/>
        </xdr:cNvSpPr>
      </xdr:nvSpPr>
      <xdr:spPr bwMode="auto">
        <a:xfrm>
          <a:off x="6915150" y="114395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26" name="Text Box 28">
          <a:extLst>
            <a:ext uri="{FF2B5EF4-FFF2-40B4-BE49-F238E27FC236}">
              <a16:creationId xmlns:a16="http://schemas.microsoft.com/office/drawing/2014/main" id="{C97D72CD-9B6A-4F08-B511-AF5FBDE4595A}"/>
            </a:ext>
          </a:extLst>
        </xdr:cNvPr>
        <xdr:cNvSpPr txBox="1">
          <a:spLocks noChangeArrowheads="1"/>
        </xdr:cNvSpPr>
      </xdr:nvSpPr>
      <xdr:spPr bwMode="auto">
        <a:xfrm>
          <a:off x="6972300" y="8158480"/>
          <a:ext cx="856342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C335EB9F-C18B-4934-80CB-67E00B5EECCE}"/>
            </a:ext>
          </a:extLst>
        </xdr:cNvPr>
        <xdr:cNvSpPr txBox="1">
          <a:spLocks noChangeArrowheads="1"/>
        </xdr:cNvSpPr>
      </xdr:nvSpPr>
      <xdr:spPr bwMode="auto">
        <a:xfrm>
          <a:off x="7116445" y="7491730"/>
          <a:ext cx="819795" cy="28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048A22DD-B8C9-4042-974F-A0A3251DB220}"/>
            </a:ext>
          </a:extLst>
        </xdr:cNvPr>
        <xdr:cNvSpPr txBox="1">
          <a:spLocks noChangeArrowheads="1"/>
        </xdr:cNvSpPr>
      </xdr:nvSpPr>
      <xdr:spPr bwMode="auto">
        <a:xfrm>
          <a:off x="7611745" y="7005955"/>
          <a:ext cx="855792" cy="282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C8980BF3-A38C-4CA3-8BF5-C972177BB0E1}"/>
            </a:ext>
          </a:extLst>
        </xdr:cNvPr>
        <xdr:cNvSpPr txBox="1">
          <a:spLocks noChangeArrowheads="1"/>
        </xdr:cNvSpPr>
      </xdr:nvSpPr>
      <xdr:spPr bwMode="auto">
        <a:xfrm>
          <a:off x="8869045" y="7148830"/>
          <a:ext cx="1160689" cy="231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30" name="Text Box 32">
          <a:extLst>
            <a:ext uri="{FF2B5EF4-FFF2-40B4-BE49-F238E27FC236}">
              <a16:creationId xmlns:a16="http://schemas.microsoft.com/office/drawing/2014/main" id="{3A9991B7-F87D-4981-BC4A-6FADF6A076B4}"/>
            </a:ext>
          </a:extLst>
        </xdr:cNvPr>
        <xdr:cNvSpPr txBox="1">
          <a:spLocks noChangeArrowheads="1"/>
        </xdr:cNvSpPr>
      </xdr:nvSpPr>
      <xdr:spPr bwMode="auto">
        <a:xfrm>
          <a:off x="10362565" y="9307830"/>
          <a:ext cx="589977" cy="251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31" name="Text Box 33">
          <a:extLst>
            <a:ext uri="{FF2B5EF4-FFF2-40B4-BE49-F238E27FC236}">
              <a16:creationId xmlns:a16="http://schemas.microsoft.com/office/drawing/2014/main" id="{2D4F9D32-2623-489C-8521-34E2150A385C}"/>
            </a:ext>
          </a:extLst>
        </xdr:cNvPr>
        <xdr:cNvSpPr txBox="1">
          <a:spLocks noChangeArrowheads="1"/>
        </xdr:cNvSpPr>
      </xdr:nvSpPr>
      <xdr:spPr bwMode="auto">
        <a:xfrm>
          <a:off x="10368915" y="9067800"/>
          <a:ext cx="598005" cy="25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0F2F0972-09D4-41C5-A2FA-5EB90D89E4B4}"/>
            </a:ext>
          </a:extLst>
        </xdr:cNvPr>
        <xdr:cNvSpPr txBox="1">
          <a:spLocks noChangeArrowheads="1"/>
        </xdr:cNvSpPr>
      </xdr:nvSpPr>
      <xdr:spPr bwMode="auto">
        <a:xfrm>
          <a:off x="9963150" y="21859875"/>
          <a:ext cx="0" cy="37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3" name="Line 43">
          <a:extLst>
            <a:ext uri="{FF2B5EF4-FFF2-40B4-BE49-F238E27FC236}">
              <a16:creationId xmlns:a16="http://schemas.microsoft.com/office/drawing/2014/main" id="{1909F416-2D1F-40D4-895C-B3AC34CBA480}"/>
            </a:ext>
          </a:extLst>
        </xdr:cNvPr>
        <xdr:cNvSpPr>
          <a:spLocks noChangeShapeType="1"/>
        </xdr:cNvSpPr>
      </xdr:nvSpPr>
      <xdr:spPr bwMode="auto">
        <a:xfrm>
          <a:off x="9334500" y="1032510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4" name="Line 44">
          <a:extLst>
            <a:ext uri="{FF2B5EF4-FFF2-40B4-BE49-F238E27FC236}">
              <a16:creationId xmlns:a16="http://schemas.microsoft.com/office/drawing/2014/main" id="{3FB855FD-FF44-490B-8E15-77CC57CDD929}"/>
            </a:ext>
          </a:extLst>
        </xdr:cNvPr>
        <xdr:cNvSpPr>
          <a:spLocks noChangeShapeType="1"/>
        </xdr:cNvSpPr>
      </xdr:nvSpPr>
      <xdr:spPr bwMode="auto">
        <a:xfrm>
          <a:off x="9505950" y="100869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5" name="Line 45">
          <a:extLst>
            <a:ext uri="{FF2B5EF4-FFF2-40B4-BE49-F238E27FC236}">
              <a16:creationId xmlns:a16="http://schemas.microsoft.com/office/drawing/2014/main" id="{F020CB97-E732-4D2F-AD1A-493E507FC036}"/>
            </a:ext>
          </a:extLst>
        </xdr:cNvPr>
        <xdr:cNvSpPr>
          <a:spLocks noChangeShapeType="1"/>
        </xdr:cNvSpPr>
      </xdr:nvSpPr>
      <xdr:spPr bwMode="auto">
        <a:xfrm>
          <a:off x="9505950" y="987742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66261733-DDEC-4290-9524-BE7ADF0E28AD}"/>
            </a:ext>
          </a:extLst>
        </xdr:cNvPr>
        <xdr:cNvSpPr>
          <a:spLocks noChangeShapeType="1"/>
        </xdr:cNvSpPr>
      </xdr:nvSpPr>
      <xdr:spPr bwMode="auto">
        <a:xfrm>
          <a:off x="9525000" y="965835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7" name="Line 47">
          <a:extLst>
            <a:ext uri="{FF2B5EF4-FFF2-40B4-BE49-F238E27FC236}">
              <a16:creationId xmlns:a16="http://schemas.microsoft.com/office/drawing/2014/main" id="{105FDD34-6814-450E-9B50-02E262B82EB0}"/>
            </a:ext>
          </a:extLst>
        </xdr:cNvPr>
        <xdr:cNvSpPr>
          <a:spLocks noChangeShapeType="1"/>
        </xdr:cNvSpPr>
      </xdr:nvSpPr>
      <xdr:spPr bwMode="auto">
        <a:xfrm>
          <a:off x="9563100" y="94011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8" name="Line 48">
          <a:extLst>
            <a:ext uri="{FF2B5EF4-FFF2-40B4-BE49-F238E27FC236}">
              <a16:creationId xmlns:a16="http://schemas.microsoft.com/office/drawing/2014/main" id="{DDC945AB-642B-42B0-A651-7BF9D57AE2C7}"/>
            </a:ext>
          </a:extLst>
        </xdr:cNvPr>
        <xdr:cNvSpPr>
          <a:spLocks noChangeShapeType="1"/>
        </xdr:cNvSpPr>
      </xdr:nvSpPr>
      <xdr:spPr bwMode="auto">
        <a:xfrm>
          <a:off x="9610725" y="91535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9" name="Text Box 52">
          <a:extLst>
            <a:ext uri="{FF2B5EF4-FFF2-40B4-BE49-F238E27FC236}">
              <a16:creationId xmlns:a16="http://schemas.microsoft.com/office/drawing/2014/main" id="{13A620E1-030C-4D83-AC93-B8C83659031E}"/>
            </a:ext>
          </a:extLst>
        </xdr:cNvPr>
        <xdr:cNvSpPr txBox="1">
          <a:spLocks noChangeArrowheads="1"/>
        </xdr:cNvSpPr>
      </xdr:nvSpPr>
      <xdr:spPr bwMode="auto">
        <a:xfrm>
          <a:off x="8096250" y="100679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8692DFD5-1269-425D-BB8A-112FE9D155CA}"/>
            </a:ext>
          </a:extLst>
        </xdr:cNvPr>
        <xdr:cNvSpPr txBox="1">
          <a:spLocks noChangeArrowheads="1"/>
        </xdr:cNvSpPr>
      </xdr:nvSpPr>
      <xdr:spPr bwMode="auto">
        <a:xfrm>
          <a:off x="7600950" y="10125075"/>
          <a:ext cx="1905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1AA7D4CA-F756-4FAA-9A10-C43984F7E99A}"/>
            </a:ext>
          </a:extLst>
        </xdr:cNvPr>
        <xdr:cNvSpPr txBox="1">
          <a:spLocks noChangeArrowheads="1"/>
        </xdr:cNvSpPr>
      </xdr:nvSpPr>
      <xdr:spPr bwMode="auto">
        <a:xfrm>
          <a:off x="8324850" y="4829175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189338</xdr:colOff>
      <xdr:row>13</xdr:row>
      <xdr:rowOff>4007</xdr:rowOff>
    </xdr:from>
    <xdr:to>
      <xdr:col>18</xdr:col>
      <xdr:colOff>504736</xdr:colOff>
      <xdr:row>14</xdr:row>
      <xdr:rowOff>137095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E306E79-0101-4F65-85BE-43614857A88C}"/>
            </a:ext>
          </a:extLst>
        </xdr:cNvPr>
        <xdr:cNvSpPr txBox="1"/>
      </xdr:nvSpPr>
      <xdr:spPr>
        <a:xfrm>
          <a:off x="10125104" y="2093554"/>
          <a:ext cx="1529835" cy="293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3.81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166345</xdr:colOff>
      <xdr:row>15</xdr:row>
      <xdr:rowOff>19039</xdr:rowOff>
    </xdr:from>
    <xdr:to>
      <xdr:col>19</xdr:col>
      <xdr:colOff>100110</xdr:colOff>
      <xdr:row>16</xdr:row>
      <xdr:rowOff>157720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2B97126-5401-44AB-A911-89B3594D88A8}"/>
            </a:ext>
          </a:extLst>
        </xdr:cNvPr>
        <xdr:cNvSpPr txBox="1"/>
      </xdr:nvSpPr>
      <xdr:spPr>
        <a:xfrm>
          <a:off x="10709329" y="2430055"/>
          <a:ext cx="1160109" cy="2994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71B85165-A1B1-47FD-9EED-0358DEB6D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8D38514-A936-4297-8CEF-ABBDDB02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748F1092-2693-4DDA-9812-A40FD38659DF}"/>
            </a:ext>
          </a:extLst>
        </xdr:cNvPr>
        <xdr:cNvSpPr txBox="1">
          <a:spLocks noChangeArrowheads="1"/>
        </xdr:cNvSpPr>
      </xdr:nvSpPr>
      <xdr:spPr bwMode="auto">
        <a:xfrm>
          <a:off x="7003660" y="2741686"/>
          <a:ext cx="753488" cy="39760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0045A945-9A5E-4121-A0B8-9A6D83790A2B}"/>
            </a:ext>
          </a:extLst>
        </xdr:cNvPr>
        <xdr:cNvSpPr txBox="1">
          <a:spLocks noChangeArrowheads="1"/>
        </xdr:cNvSpPr>
      </xdr:nvSpPr>
      <xdr:spPr bwMode="auto">
        <a:xfrm>
          <a:off x="7209508" y="2398512"/>
          <a:ext cx="914055" cy="24861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7DC9EF59-06C7-48C6-AF33-A9BA05A3C03C}"/>
            </a:ext>
          </a:extLst>
        </xdr:cNvPr>
        <xdr:cNvSpPr txBox="1">
          <a:spLocks noChangeArrowheads="1"/>
        </xdr:cNvSpPr>
      </xdr:nvSpPr>
      <xdr:spPr bwMode="auto">
        <a:xfrm>
          <a:off x="7243030" y="1989212"/>
          <a:ext cx="913301" cy="2550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1260F88D-D9F0-4061-B1B1-68AE06905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4F8C2DD4-61DD-4082-9FA9-310F20A2000C}"/>
            </a:ext>
          </a:extLst>
        </xdr:cNvPr>
        <xdr:cNvSpPr txBox="1">
          <a:spLocks noChangeArrowheads="1"/>
        </xdr:cNvSpPr>
      </xdr:nvSpPr>
      <xdr:spPr bwMode="auto">
        <a:xfrm>
          <a:off x="6972300" y="5829300"/>
          <a:ext cx="85634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44CE7C33-BF34-4F4D-8374-7031267B5551}"/>
            </a:ext>
          </a:extLst>
        </xdr:cNvPr>
        <xdr:cNvSpPr txBox="1">
          <a:spLocks noChangeArrowheads="1"/>
        </xdr:cNvSpPr>
      </xdr:nvSpPr>
      <xdr:spPr bwMode="auto">
        <a:xfrm>
          <a:off x="7211695" y="5829300"/>
          <a:ext cx="71965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F7180892-06D3-4007-9839-C5AC8DDF3572}"/>
            </a:ext>
          </a:extLst>
        </xdr:cNvPr>
        <xdr:cNvSpPr txBox="1">
          <a:spLocks noChangeArrowheads="1"/>
        </xdr:cNvSpPr>
      </xdr:nvSpPr>
      <xdr:spPr bwMode="auto">
        <a:xfrm>
          <a:off x="7611745" y="5829300"/>
          <a:ext cx="85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8FC3FD30-ED55-416C-904A-EB008471A518}"/>
            </a:ext>
          </a:extLst>
        </xdr:cNvPr>
        <xdr:cNvSpPr txBox="1">
          <a:spLocks noChangeArrowheads="1"/>
        </xdr:cNvSpPr>
      </xdr:nvSpPr>
      <xdr:spPr bwMode="auto">
        <a:xfrm>
          <a:off x="8756650" y="5829300"/>
          <a:ext cx="100441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13</xdr:col>
      <xdr:colOff>397446</xdr:colOff>
      <xdr:row>9</xdr:row>
      <xdr:rowOff>145988</xdr:rowOff>
    </xdr:from>
    <xdr:to>
      <xdr:col>13</xdr:col>
      <xdr:colOff>590328</xdr:colOff>
      <xdr:row>13</xdr:row>
      <xdr:rowOff>40891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8C07C892-12F9-4846-AB49-55A5CAE36EA4}"/>
            </a:ext>
          </a:extLst>
        </xdr:cNvPr>
        <xdr:cNvSpPr txBox="1">
          <a:spLocks noChangeArrowheads="1"/>
        </xdr:cNvSpPr>
      </xdr:nvSpPr>
      <xdr:spPr bwMode="auto">
        <a:xfrm flipV="1">
          <a:off x="8534517" y="1615559"/>
          <a:ext cx="192882" cy="5480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1440 rpm</a:t>
          </a:r>
        </a:p>
      </xdr:txBody>
    </xdr:sp>
    <xdr:clientData/>
  </xdr:twoCellAnchor>
  <xdr:twoCellAnchor>
    <xdr:from>
      <xdr:col>13</xdr:col>
      <xdr:colOff>564366</xdr:colOff>
      <xdr:row>9</xdr:row>
      <xdr:rowOff>149524</xdr:rowOff>
    </xdr:from>
    <xdr:to>
      <xdr:col>14</xdr:col>
      <xdr:colOff>133943</xdr:colOff>
      <xdr:row>13</xdr:row>
      <xdr:rowOff>20024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1FCFC995-4159-4E28-AF2C-F4A002C148B1}"/>
            </a:ext>
          </a:extLst>
        </xdr:cNvPr>
        <xdr:cNvSpPr txBox="1">
          <a:spLocks noChangeArrowheads="1"/>
        </xdr:cNvSpPr>
      </xdr:nvSpPr>
      <xdr:spPr bwMode="auto">
        <a:xfrm flipV="1">
          <a:off x="8701437" y="1619095"/>
          <a:ext cx="179177" cy="5236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1800 rpm</a:t>
          </a:r>
        </a:p>
      </xdr:txBody>
    </xdr:sp>
    <xdr:clientData/>
  </xdr:twoCellAnchor>
  <xdr:twoCellAnchor>
    <xdr:from>
      <xdr:col>14</xdr:col>
      <xdr:colOff>225650</xdr:colOff>
      <xdr:row>9</xdr:row>
      <xdr:rowOff>145701</xdr:rowOff>
    </xdr:from>
    <xdr:to>
      <xdr:col>14</xdr:col>
      <xdr:colOff>420165</xdr:colOff>
      <xdr:row>13</xdr:row>
      <xdr:rowOff>6479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7414347E-0257-4D54-AE9C-6FDB5C20A006}"/>
            </a:ext>
          </a:extLst>
        </xdr:cNvPr>
        <xdr:cNvSpPr txBox="1">
          <a:spLocks noChangeArrowheads="1"/>
        </xdr:cNvSpPr>
      </xdr:nvSpPr>
      <xdr:spPr bwMode="auto">
        <a:xfrm flipH="1" flipV="1">
          <a:off x="8972321" y="1615272"/>
          <a:ext cx="194515" cy="5139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2160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F29AD651-A525-4798-A38C-9D917897719C}"/>
            </a:ext>
          </a:extLst>
        </xdr:cNvPr>
        <xdr:cNvSpPr txBox="1">
          <a:spLocks noChangeArrowheads="1"/>
        </xdr:cNvSpPr>
      </xdr:nvSpPr>
      <xdr:spPr bwMode="auto">
        <a:xfrm>
          <a:off x="7402746" y="1567546"/>
          <a:ext cx="935782" cy="2859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683707A3-BD51-42D4-A75A-B9486EA936D1}"/>
            </a:ext>
          </a:extLst>
        </xdr:cNvPr>
        <xdr:cNvSpPr txBox="1">
          <a:spLocks noChangeArrowheads="1"/>
        </xdr:cNvSpPr>
      </xdr:nvSpPr>
      <xdr:spPr bwMode="auto">
        <a:xfrm>
          <a:off x="10362565" y="10239375"/>
          <a:ext cx="1225777" cy="224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353F2A6B-FC9B-4B8D-8ECF-A3A988893DC4}"/>
            </a:ext>
          </a:extLst>
        </xdr:cNvPr>
        <xdr:cNvSpPr txBox="1">
          <a:spLocks noChangeArrowheads="1"/>
        </xdr:cNvSpPr>
      </xdr:nvSpPr>
      <xdr:spPr bwMode="auto">
        <a:xfrm>
          <a:off x="10370820" y="9976485"/>
          <a:ext cx="1220337" cy="275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8F4664B2-8E46-4930-AC2D-B2D899B98D24}"/>
            </a:ext>
          </a:extLst>
        </xdr:cNvPr>
        <xdr:cNvSpPr txBox="1">
          <a:spLocks noChangeArrowheads="1"/>
        </xdr:cNvSpPr>
      </xdr:nvSpPr>
      <xdr:spPr bwMode="auto">
        <a:xfrm>
          <a:off x="10368915" y="9777730"/>
          <a:ext cx="613015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CD06FA32-3387-4E54-9790-7F6ACCAC8087}"/>
            </a:ext>
          </a:extLst>
        </xdr:cNvPr>
        <xdr:cNvSpPr txBox="1">
          <a:spLocks noChangeArrowheads="1"/>
        </xdr:cNvSpPr>
      </xdr:nvSpPr>
      <xdr:spPr bwMode="auto">
        <a:xfrm>
          <a:off x="10370820" y="9604375"/>
          <a:ext cx="869406" cy="256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94E21C01-7D0C-4E40-B9A1-CCDE3EBBF096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5980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D9D3A1A-DDD9-48D3-8453-140127339CBB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6001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5F1B1B55-BB3F-4B23-9A41-EA0AB427E3B0}"/>
            </a:ext>
          </a:extLst>
        </xdr:cNvPr>
        <xdr:cNvSpPr>
          <a:spLocks noChangeShapeType="1"/>
        </xdr:cNvSpPr>
      </xdr:nvSpPr>
      <xdr:spPr bwMode="auto">
        <a:xfrm>
          <a:off x="13039725" y="9953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FE8C5B3D-F321-479F-AB0D-23132B124526}"/>
            </a:ext>
          </a:extLst>
        </xdr:cNvPr>
        <xdr:cNvSpPr>
          <a:spLocks noChangeShapeType="1"/>
        </xdr:cNvSpPr>
      </xdr:nvSpPr>
      <xdr:spPr bwMode="auto">
        <a:xfrm>
          <a:off x="13039725" y="9944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6299DB28-38A4-4976-82AC-332A323620EB}"/>
            </a:ext>
          </a:extLst>
        </xdr:cNvPr>
        <xdr:cNvSpPr>
          <a:spLocks noChangeShapeType="1"/>
        </xdr:cNvSpPr>
      </xdr:nvSpPr>
      <xdr:spPr bwMode="auto">
        <a:xfrm>
          <a:off x="6915150" y="11249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50A1FAC3-8ACD-4AD7-942B-B90B0F0507AA}"/>
            </a:ext>
          </a:extLst>
        </xdr:cNvPr>
        <xdr:cNvSpPr>
          <a:spLocks noChangeShapeType="1"/>
        </xdr:cNvSpPr>
      </xdr:nvSpPr>
      <xdr:spPr bwMode="auto">
        <a:xfrm>
          <a:off x="6915150" y="114395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26" name="Text Box 28">
          <a:extLst>
            <a:ext uri="{FF2B5EF4-FFF2-40B4-BE49-F238E27FC236}">
              <a16:creationId xmlns:a16="http://schemas.microsoft.com/office/drawing/2014/main" id="{E03B3F31-A5E1-4797-A4F8-E35B43662D8B}"/>
            </a:ext>
          </a:extLst>
        </xdr:cNvPr>
        <xdr:cNvSpPr txBox="1">
          <a:spLocks noChangeArrowheads="1"/>
        </xdr:cNvSpPr>
      </xdr:nvSpPr>
      <xdr:spPr bwMode="auto">
        <a:xfrm>
          <a:off x="6972300" y="8158480"/>
          <a:ext cx="856342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6437D40F-BD3E-4400-B459-A78EE92677EC}"/>
            </a:ext>
          </a:extLst>
        </xdr:cNvPr>
        <xdr:cNvSpPr txBox="1">
          <a:spLocks noChangeArrowheads="1"/>
        </xdr:cNvSpPr>
      </xdr:nvSpPr>
      <xdr:spPr bwMode="auto">
        <a:xfrm>
          <a:off x="7116445" y="7491730"/>
          <a:ext cx="819795" cy="28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32402C92-58AF-4E43-8C44-D6B70C130ACD}"/>
            </a:ext>
          </a:extLst>
        </xdr:cNvPr>
        <xdr:cNvSpPr txBox="1">
          <a:spLocks noChangeArrowheads="1"/>
        </xdr:cNvSpPr>
      </xdr:nvSpPr>
      <xdr:spPr bwMode="auto">
        <a:xfrm>
          <a:off x="7611745" y="7005955"/>
          <a:ext cx="855792" cy="282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E99A2C81-C316-46E2-A38B-700B9659A36F}"/>
            </a:ext>
          </a:extLst>
        </xdr:cNvPr>
        <xdr:cNvSpPr txBox="1">
          <a:spLocks noChangeArrowheads="1"/>
        </xdr:cNvSpPr>
      </xdr:nvSpPr>
      <xdr:spPr bwMode="auto">
        <a:xfrm>
          <a:off x="8869045" y="7148830"/>
          <a:ext cx="1160689" cy="231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30" name="Text Box 32">
          <a:extLst>
            <a:ext uri="{FF2B5EF4-FFF2-40B4-BE49-F238E27FC236}">
              <a16:creationId xmlns:a16="http://schemas.microsoft.com/office/drawing/2014/main" id="{5E3E1FE3-1BE5-4CE1-A9E1-79E990654C84}"/>
            </a:ext>
          </a:extLst>
        </xdr:cNvPr>
        <xdr:cNvSpPr txBox="1">
          <a:spLocks noChangeArrowheads="1"/>
        </xdr:cNvSpPr>
      </xdr:nvSpPr>
      <xdr:spPr bwMode="auto">
        <a:xfrm>
          <a:off x="10362565" y="9307830"/>
          <a:ext cx="589977" cy="251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31" name="Text Box 33">
          <a:extLst>
            <a:ext uri="{FF2B5EF4-FFF2-40B4-BE49-F238E27FC236}">
              <a16:creationId xmlns:a16="http://schemas.microsoft.com/office/drawing/2014/main" id="{57A3F056-DFC2-4B71-A762-13B94BA34B45}"/>
            </a:ext>
          </a:extLst>
        </xdr:cNvPr>
        <xdr:cNvSpPr txBox="1">
          <a:spLocks noChangeArrowheads="1"/>
        </xdr:cNvSpPr>
      </xdr:nvSpPr>
      <xdr:spPr bwMode="auto">
        <a:xfrm>
          <a:off x="10368915" y="9067800"/>
          <a:ext cx="598005" cy="25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5B154B6A-4D7F-4255-8605-8CAB50868858}"/>
            </a:ext>
          </a:extLst>
        </xdr:cNvPr>
        <xdr:cNvSpPr txBox="1">
          <a:spLocks noChangeArrowheads="1"/>
        </xdr:cNvSpPr>
      </xdr:nvSpPr>
      <xdr:spPr bwMode="auto">
        <a:xfrm>
          <a:off x="9963150" y="21859875"/>
          <a:ext cx="0" cy="37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3" name="Line 43">
          <a:extLst>
            <a:ext uri="{FF2B5EF4-FFF2-40B4-BE49-F238E27FC236}">
              <a16:creationId xmlns:a16="http://schemas.microsoft.com/office/drawing/2014/main" id="{A96B0646-535A-427A-9B57-6B9B104DC4A8}"/>
            </a:ext>
          </a:extLst>
        </xdr:cNvPr>
        <xdr:cNvSpPr>
          <a:spLocks noChangeShapeType="1"/>
        </xdr:cNvSpPr>
      </xdr:nvSpPr>
      <xdr:spPr bwMode="auto">
        <a:xfrm>
          <a:off x="9334500" y="1032510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4" name="Line 44">
          <a:extLst>
            <a:ext uri="{FF2B5EF4-FFF2-40B4-BE49-F238E27FC236}">
              <a16:creationId xmlns:a16="http://schemas.microsoft.com/office/drawing/2014/main" id="{8038EAC9-16D5-4EDB-8CE7-E1B5A3BBCB86}"/>
            </a:ext>
          </a:extLst>
        </xdr:cNvPr>
        <xdr:cNvSpPr>
          <a:spLocks noChangeShapeType="1"/>
        </xdr:cNvSpPr>
      </xdr:nvSpPr>
      <xdr:spPr bwMode="auto">
        <a:xfrm>
          <a:off x="9505950" y="100869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5" name="Line 45">
          <a:extLst>
            <a:ext uri="{FF2B5EF4-FFF2-40B4-BE49-F238E27FC236}">
              <a16:creationId xmlns:a16="http://schemas.microsoft.com/office/drawing/2014/main" id="{2B353A97-B26D-421B-9E01-B74FF5711A09}"/>
            </a:ext>
          </a:extLst>
        </xdr:cNvPr>
        <xdr:cNvSpPr>
          <a:spLocks noChangeShapeType="1"/>
        </xdr:cNvSpPr>
      </xdr:nvSpPr>
      <xdr:spPr bwMode="auto">
        <a:xfrm>
          <a:off x="9505950" y="987742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94D47332-102D-42A6-9E23-6A2D2CCA7080}"/>
            </a:ext>
          </a:extLst>
        </xdr:cNvPr>
        <xdr:cNvSpPr>
          <a:spLocks noChangeShapeType="1"/>
        </xdr:cNvSpPr>
      </xdr:nvSpPr>
      <xdr:spPr bwMode="auto">
        <a:xfrm>
          <a:off x="9525000" y="965835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7" name="Line 47">
          <a:extLst>
            <a:ext uri="{FF2B5EF4-FFF2-40B4-BE49-F238E27FC236}">
              <a16:creationId xmlns:a16="http://schemas.microsoft.com/office/drawing/2014/main" id="{9A5F0650-53A1-4C58-BE84-2F208936D6A0}"/>
            </a:ext>
          </a:extLst>
        </xdr:cNvPr>
        <xdr:cNvSpPr>
          <a:spLocks noChangeShapeType="1"/>
        </xdr:cNvSpPr>
      </xdr:nvSpPr>
      <xdr:spPr bwMode="auto">
        <a:xfrm>
          <a:off x="9563100" y="94011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8" name="Line 48">
          <a:extLst>
            <a:ext uri="{FF2B5EF4-FFF2-40B4-BE49-F238E27FC236}">
              <a16:creationId xmlns:a16="http://schemas.microsoft.com/office/drawing/2014/main" id="{DA59D3CF-D763-47F8-AEFB-5BB71786149E}"/>
            </a:ext>
          </a:extLst>
        </xdr:cNvPr>
        <xdr:cNvSpPr>
          <a:spLocks noChangeShapeType="1"/>
        </xdr:cNvSpPr>
      </xdr:nvSpPr>
      <xdr:spPr bwMode="auto">
        <a:xfrm>
          <a:off x="9610725" y="91535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9" name="Text Box 52">
          <a:extLst>
            <a:ext uri="{FF2B5EF4-FFF2-40B4-BE49-F238E27FC236}">
              <a16:creationId xmlns:a16="http://schemas.microsoft.com/office/drawing/2014/main" id="{8A5A433A-C628-4B12-899A-4FF38825F02C}"/>
            </a:ext>
          </a:extLst>
        </xdr:cNvPr>
        <xdr:cNvSpPr txBox="1">
          <a:spLocks noChangeArrowheads="1"/>
        </xdr:cNvSpPr>
      </xdr:nvSpPr>
      <xdr:spPr bwMode="auto">
        <a:xfrm>
          <a:off x="8096250" y="100679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CC014FF0-8162-4BD7-B7D6-7E6A41854555}"/>
            </a:ext>
          </a:extLst>
        </xdr:cNvPr>
        <xdr:cNvSpPr txBox="1">
          <a:spLocks noChangeArrowheads="1"/>
        </xdr:cNvSpPr>
      </xdr:nvSpPr>
      <xdr:spPr bwMode="auto">
        <a:xfrm>
          <a:off x="7600950" y="10125075"/>
          <a:ext cx="1905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99F1E03D-DF2B-4BE0-B670-7E5727E11660}"/>
            </a:ext>
          </a:extLst>
        </xdr:cNvPr>
        <xdr:cNvSpPr txBox="1">
          <a:spLocks noChangeArrowheads="1"/>
        </xdr:cNvSpPr>
      </xdr:nvSpPr>
      <xdr:spPr bwMode="auto">
        <a:xfrm>
          <a:off x="8324850" y="4829175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184916</xdr:colOff>
      <xdr:row>12</xdr:row>
      <xdr:rowOff>134636</xdr:rowOff>
    </xdr:from>
    <xdr:to>
      <xdr:col>18</xdr:col>
      <xdr:colOff>500314</xdr:colOff>
      <xdr:row>14</xdr:row>
      <xdr:rowOff>104438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6642344-5508-4FB4-93D9-C7852A54B97B}"/>
            </a:ext>
          </a:extLst>
        </xdr:cNvPr>
        <xdr:cNvSpPr txBox="1"/>
      </xdr:nvSpPr>
      <xdr:spPr>
        <a:xfrm>
          <a:off x="10150787" y="2094065"/>
          <a:ext cx="1534598" cy="2963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3.81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158803</xdr:colOff>
      <xdr:row>14</xdr:row>
      <xdr:rowOff>157019</xdr:rowOff>
    </xdr:from>
    <xdr:to>
      <xdr:col>19</xdr:col>
      <xdr:colOff>84484</xdr:colOff>
      <xdr:row>16</xdr:row>
      <xdr:rowOff>134966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5277177-4151-4793-8A1F-7B4C2623D5F8}"/>
            </a:ext>
          </a:extLst>
        </xdr:cNvPr>
        <xdr:cNvSpPr txBox="1"/>
      </xdr:nvSpPr>
      <xdr:spPr>
        <a:xfrm>
          <a:off x="10734274" y="2443019"/>
          <a:ext cx="1155767" cy="304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AE1F8667-6460-4B83-9127-7883866D3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7C74F1B-45FB-4134-940B-66BEF7F4A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36257B52-F61E-4D93-A429-164FAC5EB458}"/>
            </a:ext>
          </a:extLst>
        </xdr:cNvPr>
        <xdr:cNvSpPr txBox="1">
          <a:spLocks noChangeArrowheads="1"/>
        </xdr:cNvSpPr>
      </xdr:nvSpPr>
      <xdr:spPr bwMode="auto">
        <a:xfrm>
          <a:off x="7003660" y="2741686"/>
          <a:ext cx="753488" cy="39760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F88632C4-EE42-48AD-8B4C-B85808A8DDF9}"/>
            </a:ext>
          </a:extLst>
        </xdr:cNvPr>
        <xdr:cNvSpPr txBox="1">
          <a:spLocks noChangeArrowheads="1"/>
        </xdr:cNvSpPr>
      </xdr:nvSpPr>
      <xdr:spPr bwMode="auto">
        <a:xfrm>
          <a:off x="7209508" y="2398512"/>
          <a:ext cx="914055" cy="24861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3820654F-CDA4-40A7-AE97-F5AF2959A49A}"/>
            </a:ext>
          </a:extLst>
        </xdr:cNvPr>
        <xdr:cNvSpPr txBox="1">
          <a:spLocks noChangeArrowheads="1"/>
        </xdr:cNvSpPr>
      </xdr:nvSpPr>
      <xdr:spPr bwMode="auto">
        <a:xfrm>
          <a:off x="7243030" y="1989212"/>
          <a:ext cx="913301" cy="2550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98BF423D-CBD6-48A5-9159-5BE7DDA0A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B66F4F3A-850F-48E9-9F8C-D7FE989D3B22}"/>
            </a:ext>
          </a:extLst>
        </xdr:cNvPr>
        <xdr:cNvSpPr txBox="1">
          <a:spLocks noChangeArrowheads="1"/>
        </xdr:cNvSpPr>
      </xdr:nvSpPr>
      <xdr:spPr bwMode="auto">
        <a:xfrm>
          <a:off x="6972300" y="5829300"/>
          <a:ext cx="85634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FF9769C8-E6D7-4934-80A2-C2CBB04D428B}"/>
            </a:ext>
          </a:extLst>
        </xdr:cNvPr>
        <xdr:cNvSpPr txBox="1">
          <a:spLocks noChangeArrowheads="1"/>
        </xdr:cNvSpPr>
      </xdr:nvSpPr>
      <xdr:spPr bwMode="auto">
        <a:xfrm>
          <a:off x="7211695" y="5829300"/>
          <a:ext cx="71965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280664E2-9D44-4152-BD28-66E76B016BBE}"/>
            </a:ext>
          </a:extLst>
        </xdr:cNvPr>
        <xdr:cNvSpPr txBox="1">
          <a:spLocks noChangeArrowheads="1"/>
        </xdr:cNvSpPr>
      </xdr:nvSpPr>
      <xdr:spPr bwMode="auto">
        <a:xfrm>
          <a:off x="7611745" y="5829300"/>
          <a:ext cx="85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E3ED60F4-254B-4178-BF03-432EA4A2DB4C}"/>
            </a:ext>
          </a:extLst>
        </xdr:cNvPr>
        <xdr:cNvSpPr txBox="1">
          <a:spLocks noChangeArrowheads="1"/>
        </xdr:cNvSpPr>
      </xdr:nvSpPr>
      <xdr:spPr bwMode="auto">
        <a:xfrm>
          <a:off x="8756650" y="5829300"/>
          <a:ext cx="100441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13</xdr:col>
      <xdr:colOff>380688</xdr:colOff>
      <xdr:row>9</xdr:row>
      <xdr:rowOff>133671</xdr:rowOff>
    </xdr:from>
    <xdr:to>
      <xdr:col>13</xdr:col>
      <xdr:colOff>573570</xdr:colOff>
      <xdr:row>13</xdr:row>
      <xdr:rowOff>31438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93624D0B-DFFE-4795-9972-87DFE130C003}"/>
            </a:ext>
          </a:extLst>
        </xdr:cNvPr>
        <xdr:cNvSpPr txBox="1">
          <a:spLocks noChangeArrowheads="1"/>
        </xdr:cNvSpPr>
      </xdr:nvSpPr>
      <xdr:spPr bwMode="auto">
        <a:xfrm flipV="1">
          <a:off x="8537096" y="1577460"/>
          <a:ext cx="192882" cy="5394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1440 rpm</a:t>
          </a:r>
        </a:p>
      </xdr:txBody>
    </xdr:sp>
    <xdr:clientData/>
  </xdr:twoCellAnchor>
  <xdr:twoCellAnchor>
    <xdr:from>
      <xdr:col>13</xdr:col>
      <xdr:colOff>558493</xdr:colOff>
      <xdr:row>9</xdr:row>
      <xdr:rowOff>140501</xdr:rowOff>
    </xdr:from>
    <xdr:to>
      <xdr:col>14</xdr:col>
      <xdr:colOff>128070</xdr:colOff>
      <xdr:row>13</xdr:row>
      <xdr:rowOff>13865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F05FC198-5F01-41BC-9F81-098B9249E5C9}"/>
            </a:ext>
          </a:extLst>
        </xdr:cNvPr>
        <xdr:cNvSpPr txBox="1">
          <a:spLocks noChangeArrowheads="1"/>
        </xdr:cNvSpPr>
      </xdr:nvSpPr>
      <xdr:spPr bwMode="auto">
        <a:xfrm flipV="1">
          <a:off x="8714901" y="1584290"/>
          <a:ext cx="181182" cy="5150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1800 rpm</a:t>
          </a:r>
        </a:p>
      </xdr:txBody>
    </xdr:sp>
    <xdr:clientData/>
  </xdr:twoCellAnchor>
  <xdr:twoCellAnchor>
    <xdr:from>
      <xdr:col>14</xdr:col>
      <xdr:colOff>221066</xdr:colOff>
      <xdr:row>9</xdr:row>
      <xdr:rowOff>132523</xdr:rowOff>
    </xdr:from>
    <xdr:to>
      <xdr:col>14</xdr:col>
      <xdr:colOff>415581</xdr:colOff>
      <xdr:row>12</xdr:row>
      <xdr:rowOff>156586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282C21E0-655D-4CC7-BA01-BBD3E9C91C06}"/>
            </a:ext>
          </a:extLst>
        </xdr:cNvPr>
        <xdr:cNvSpPr txBox="1">
          <a:spLocks noChangeArrowheads="1"/>
        </xdr:cNvSpPr>
      </xdr:nvSpPr>
      <xdr:spPr bwMode="auto">
        <a:xfrm flipH="1" flipV="1">
          <a:off x="8989079" y="1576312"/>
          <a:ext cx="194515" cy="5053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2160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C30A54AE-2275-4ED5-83C8-4D2EADDEF5AC}"/>
            </a:ext>
          </a:extLst>
        </xdr:cNvPr>
        <xdr:cNvSpPr txBox="1">
          <a:spLocks noChangeArrowheads="1"/>
        </xdr:cNvSpPr>
      </xdr:nvSpPr>
      <xdr:spPr bwMode="auto">
        <a:xfrm>
          <a:off x="7402746" y="1567546"/>
          <a:ext cx="935782" cy="2859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AF1CCF20-08EA-4056-BB1E-92FD89AC7122}"/>
            </a:ext>
          </a:extLst>
        </xdr:cNvPr>
        <xdr:cNvSpPr txBox="1">
          <a:spLocks noChangeArrowheads="1"/>
        </xdr:cNvSpPr>
      </xdr:nvSpPr>
      <xdr:spPr bwMode="auto">
        <a:xfrm>
          <a:off x="10362565" y="10239375"/>
          <a:ext cx="1225777" cy="224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A3054680-9D34-4E5C-A246-620F3AEDA046}"/>
            </a:ext>
          </a:extLst>
        </xdr:cNvPr>
        <xdr:cNvSpPr txBox="1">
          <a:spLocks noChangeArrowheads="1"/>
        </xdr:cNvSpPr>
      </xdr:nvSpPr>
      <xdr:spPr bwMode="auto">
        <a:xfrm>
          <a:off x="10370820" y="9976485"/>
          <a:ext cx="1220337" cy="275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8C858396-00DE-4952-8406-DF65DBC2CBB6}"/>
            </a:ext>
          </a:extLst>
        </xdr:cNvPr>
        <xdr:cNvSpPr txBox="1">
          <a:spLocks noChangeArrowheads="1"/>
        </xdr:cNvSpPr>
      </xdr:nvSpPr>
      <xdr:spPr bwMode="auto">
        <a:xfrm>
          <a:off x="10368915" y="9777730"/>
          <a:ext cx="613015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A6029D26-F65B-4575-8647-C24DD0810759}"/>
            </a:ext>
          </a:extLst>
        </xdr:cNvPr>
        <xdr:cNvSpPr txBox="1">
          <a:spLocks noChangeArrowheads="1"/>
        </xdr:cNvSpPr>
      </xdr:nvSpPr>
      <xdr:spPr bwMode="auto">
        <a:xfrm>
          <a:off x="10370820" y="9604375"/>
          <a:ext cx="869406" cy="256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13CD1CE1-12E0-4406-BE30-D587749E33B3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5980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80BE5A88-0D65-45AD-B910-9F7B9A211244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6001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6CF4BCD9-C711-412C-96D6-7C831DBBAFA6}"/>
            </a:ext>
          </a:extLst>
        </xdr:cNvPr>
        <xdr:cNvSpPr>
          <a:spLocks noChangeShapeType="1"/>
        </xdr:cNvSpPr>
      </xdr:nvSpPr>
      <xdr:spPr bwMode="auto">
        <a:xfrm>
          <a:off x="13039725" y="9953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FD211C6C-090F-4293-8750-4744EB389ED8}"/>
            </a:ext>
          </a:extLst>
        </xdr:cNvPr>
        <xdr:cNvSpPr>
          <a:spLocks noChangeShapeType="1"/>
        </xdr:cNvSpPr>
      </xdr:nvSpPr>
      <xdr:spPr bwMode="auto">
        <a:xfrm>
          <a:off x="13039725" y="9944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4D21E3B7-6F21-4571-B13B-046DF19F0ECB}"/>
            </a:ext>
          </a:extLst>
        </xdr:cNvPr>
        <xdr:cNvSpPr>
          <a:spLocks noChangeShapeType="1"/>
        </xdr:cNvSpPr>
      </xdr:nvSpPr>
      <xdr:spPr bwMode="auto">
        <a:xfrm>
          <a:off x="6915150" y="11249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6C2027B1-72D5-4253-81A0-2D45EF65D17F}"/>
            </a:ext>
          </a:extLst>
        </xdr:cNvPr>
        <xdr:cNvSpPr>
          <a:spLocks noChangeShapeType="1"/>
        </xdr:cNvSpPr>
      </xdr:nvSpPr>
      <xdr:spPr bwMode="auto">
        <a:xfrm>
          <a:off x="6915150" y="114395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26" name="Text Box 28">
          <a:extLst>
            <a:ext uri="{FF2B5EF4-FFF2-40B4-BE49-F238E27FC236}">
              <a16:creationId xmlns:a16="http://schemas.microsoft.com/office/drawing/2014/main" id="{5C860948-67B4-4DFB-9901-013A4C0D7775}"/>
            </a:ext>
          </a:extLst>
        </xdr:cNvPr>
        <xdr:cNvSpPr txBox="1">
          <a:spLocks noChangeArrowheads="1"/>
        </xdr:cNvSpPr>
      </xdr:nvSpPr>
      <xdr:spPr bwMode="auto">
        <a:xfrm>
          <a:off x="6972300" y="8158480"/>
          <a:ext cx="856342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05425F0F-7203-4004-8A83-9ED7EEC41D24}"/>
            </a:ext>
          </a:extLst>
        </xdr:cNvPr>
        <xdr:cNvSpPr txBox="1">
          <a:spLocks noChangeArrowheads="1"/>
        </xdr:cNvSpPr>
      </xdr:nvSpPr>
      <xdr:spPr bwMode="auto">
        <a:xfrm>
          <a:off x="7116445" y="7491730"/>
          <a:ext cx="819795" cy="28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7C272252-F66A-4CC2-A6B4-7BDE04B7429D}"/>
            </a:ext>
          </a:extLst>
        </xdr:cNvPr>
        <xdr:cNvSpPr txBox="1">
          <a:spLocks noChangeArrowheads="1"/>
        </xdr:cNvSpPr>
      </xdr:nvSpPr>
      <xdr:spPr bwMode="auto">
        <a:xfrm>
          <a:off x="7611745" y="7005955"/>
          <a:ext cx="855792" cy="282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9C8BC766-95ED-4880-9DB3-0BE7C3541895}"/>
            </a:ext>
          </a:extLst>
        </xdr:cNvPr>
        <xdr:cNvSpPr txBox="1">
          <a:spLocks noChangeArrowheads="1"/>
        </xdr:cNvSpPr>
      </xdr:nvSpPr>
      <xdr:spPr bwMode="auto">
        <a:xfrm>
          <a:off x="8869045" y="7148830"/>
          <a:ext cx="1160689" cy="231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30" name="Text Box 32">
          <a:extLst>
            <a:ext uri="{FF2B5EF4-FFF2-40B4-BE49-F238E27FC236}">
              <a16:creationId xmlns:a16="http://schemas.microsoft.com/office/drawing/2014/main" id="{5A94682E-EC16-4CA7-84DF-03575E70E637}"/>
            </a:ext>
          </a:extLst>
        </xdr:cNvPr>
        <xdr:cNvSpPr txBox="1">
          <a:spLocks noChangeArrowheads="1"/>
        </xdr:cNvSpPr>
      </xdr:nvSpPr>
      <xdr:spPr bwMode="auto">
        <a:xfrm>
          <a:off x="10362565" y="9307830"/>
          <a:ext cx="589977" cy="251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31" name="Text Box 33">
          <a:extLst>
            <a:ext uri="{FF2B5EF4-FFF2-40B4-BE49-F238E27FC236}">
              <a16:creationId xmlns:a16="http://schemas.microsoft.com/office/drawing/2014/main" id="{639ABFB8-EE53-490C-B07D-17DAECC03EBA}"/>
            </a:ext>
          </a:extLst>
        </xdr:cNvPr>
        <xdr:cNvSpPr txBox="1">
          <a:spLocks noChangeArrowheads="1"/>
        </xdr:cNvSpPr>
      </xdr:nvSpPr>
      <xdr:spPr bwMode="auto">
        <a:xfrm>
          <a:off x="10368915" y="9067800"/>
          <a:ext cx="598005" cy="25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590679ED-D1CC-44A0-A49F-98E6EE79CFA1}"/>
            </a:ext>
          </a:extLst>
        </xdr:cNvPr>
        <xdr:cNvSpPr txBox="1">
          <a:spLocks noChangeArrowheads="1"/>
        </xdr:cNvSpPr>
      </xdr:nvSpPr>
      <xdr:spPr bwMode="auto">
        <a:xfrm>
          <a:off x="9963150" y="21859875"/>
          <a:ext cx="0" cy="37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3" name="Line 43">
          <a:extLst>
            <a:ext uri="{FF2B5EF4-FFF2-40B4-BE49-F238E27FC236}">
              <a16:creationId xmlns:a16="http://schemas.microsoft.com/office/drawing/2014/main" id="{7763C5F3-EFE6-4E05-AAD7-7CD9D44DA562}"/>
            </a:ext>
          </a:extLst>
        </xdr:cNvPr>
        <xdr:cNvSpPr>
          <a:spLocks noChangeShapeType="1"/>
        </xdr:cNvSpPr>
      </xdr:nvSpPr>
      <xdr:spPr bwMode="auto">
        <a:xfrm>
          <a:off x="9334500" y="1032510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4" name="Line 44">
          <a:extLst>
            <a:ext uri="{FF2B5EF4-FFF2-40B4-BE49-F238E27FC236}">
              <a16:creationId xmlns:a16="http://schemas.microsoft.com/office/drawing/2014/main" id="{43D7CC21-233C-4FC9-B6BC-579D3014E7BD}"/>
            </a:ext>
          </a:extLst>
        </xdr:cNvPr>
        <xdr:cNvSpPr>
          <a:spLocks noChangeShapeType="1"/>
        </xdr:cNvSpPr>
      </xdr:nvSpPr>
      <xdr:spPr bwMode="auto">
        <a:xfrm>
          <a:off x="9505950" y="100869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5" name="Line 45">
          <a:extLst>
            <a:ext uri="{FF2B5EF4-FFF2-40B4-BE49-F238E27FC236}">
              <a16:creationId xmlns:a16="http://schemas.microsoft.com/office/drawing/2014/main" id="{9D21DB34-CA9D-4FEF-8E6E-A7399AF36C88}"/>
            </a:ext>
          </a:extLst>
        </xdr:cNvPr>
        <xdr:cNvSpPr>
          <a:spLocks noChangeShapeType="1"/>
        </xdr:cNvSpPr>
      </xdr:nvSpPr>
      <xdr:spPr bwMode="auto">
        <a:xfrm>
          <a:off x="9505950" y="987742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7568D7BE-57BC-4FD4-8D0F-820158536E61}"/>
            </a:ext>
          </a:extLst>
        </xdr:cNvPr>
        <xdr:cNvSpPr>
          <a:spLocks noChangeShapeType="1"/>
        </xdr:cNvSpPr>
      </xdr:nvSpPr>
      <xdr:spPr bwMode="auto">
        <a:xfrm>
          <a:off x="9525000" y="965835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7" name="Line 47">
          <a:extLst>
            <a:ext uri="{FF2B5EF4-FFF2-40B4-BE49-F238E27FC236}">
              <a16:creationId xmlns:a16="http://schemas.microsoft.com/office/drawing/2014/main" id="{A92019AF-5E63-4F12-B387-5723704D791E}"/>
            </a:ext>
          </a:extLst>
        </xdr:cNvPr>
        <xdr:cNvSpPr>
          <a:spLocks noChangeShapeType="1"/>
        </xdr:cNvSpPr>
      </xdr:nvSpPr>
      <xdr:spPr bwMode="auto">
        <a:xfrm>
          <a:off x="9563100" y="94011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8" name="Line 48">
          <a:extLst>
            <a:ext uri="{FF2B5EF4-FFF2-40B4-BE49-F238E27FC236}">
              <a16:creationId xmlns:a16="http://schemas.microsoft.com/office/drawing/2014/main" id="{348C2C45-FD4C-4F3C-B83E-D65B73CDD248}"/>
            </a:ext>
          </a:extLst>
        </xdr:cNvPr>
        <xdr:cNvSpPr>
          <a:spLocks noChangeShapeType="1"/>
        </xdr:cNvSpPr>
      </xdr:nvSpPr>
      <xdr:spPr bwMode="auto">
        <a:xfrm>
          <a:off x="9610725" y="91535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9" name="Text Box 52">
          <a:extLst>
            <a:ext uri="{FF2B5EF4-FFF2-40B4-BE49-F238E27FC236}">
              <a16:creationId xmlns:a16="http://schemas.microsoft.com/office/drawing/2014/main" id="{3C0F0EAC-48B6-4553-980C-C3B7E21232B3}"/>
            </a:ext>
          </a:extLst>
        </xdr:cNvPr>
        <xdr:cNvSpPr txBox="1">
          <a:spLocks noChangeArrowheads="1"/>
        </xdr:cNvSpPr>
      </xdr:nvSpPr>
      <xdr:spPr bwMode="auto">
        <a:xfrm>
          <a:off x="8096250" y="100679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31C9F312-3CAC-4747-B91C-99B8E2499F4E}"/>
            </a:ext>
          </a:extLst>
        </xdr:cNvPr>
        <xdr:cNvSpPr txBox="1">
          <a:spLocks noChangeArrowheads="1"/>
        </xdr:cNvSpPr>
      </xdr:nvSpPr>
      <xdr:spPr bwMode="auto">
        <a:xfrm>
          <a:off x="7600950" y="10125075"/>
          <a:ext cx="1905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14E55A0B-38BA-499B-B4F4-A06C385D81E1}"/>
            </a:ext>
          </a:extLst>
        </xdr:cNvPr>
        <xdr:cNvSpPr txBox="1">
          <a:spLocks noChangeArrowheads="1"/>
        </xdr:cNvSpPr>
      </xdr:nvSpPr>
      <xdr:spPr bwMode="auto">
        <a:xfrm>
          <a:off x="8324850" y="4829175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151740</xdr:colOff>
      <xdr:row>12</xdr:row>
      <xdr:rowOff>152834</xdr:rowOff>
    </xdr:from>
    <xdr:to>
      <xdr:col>18</xdr:col>
      <xdr:colOff>467138</xdr:colOff>
      <xdr:row>14</xdr:row>
      <xdr:rowOff>125187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2AC5AEE3-4661-4B4C-890C-3EAA638915BD}"/>
            </a:ext>
          </a:extLst>
        </xdr:cNvPr>
        <xdr:cNvSpPr txBox="1"/>
      </xdr:nvSpPr>
      <xdr:spPr>
        <a:xfrm>
          <a:off x="10087506" y="2081647"/>
          <a:ext cx="1529835" cy="2938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3.81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114115</xdr:colOff>
      <xdr:row>15</xdr:row>
      <xdr:rowOff>25003</xdr:rowOff>
    </xdr:from>
    <xdr:to>
      <xdr:col>19</xdr:col>
      <xdr:colOff>39796</xdr:colOff>
      <xdr:row>17</xdr:row>
      <xdr:rowOff>2949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976FC6A-ED01-4328-9979-8811B11192AE}"/>
            </a:ext>
          </a:extLst>
        </xdr:cNvPr>
        <xdr:cNvSpPr txBox="1"/>
      </xdr:nvSpPr>
      <xdr:spPr>
        <a:xfrm>
          <a:off x="10716944" y="2431319"/>
          <a:ext cx="1158918" cy="2987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1B517EAA-A8E0-4FEC-BBD0-2D6870F313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BC4E30B-4E51-44C5-83A2-6460F444B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E5A7CB5F-15D1-409F-9917-2FAED2F75C65}"/>
            </a:ext>
          </a:extLst>
        </xdr:cNvPr>
        <xdr:cNvSpPr txBox="1">
          <a:spLocks noChangeArrowheads="1"/>
        </xdr:cNvSpPr>
      </xdr:nvSpPr>
      <xdr:spPr bwMode="auto">
        <a:xfrm>
          <a:off x="7003660" y="2741686"/>
          <a:ext cx="753488" cy="39760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9E686E4A-59DB-42D6-B0B2-7F004F1DA867}"/>
            </a:ext>
          </a:extLst>
        </xdr:cNvPr>
        <xdr:cNvSpPr txBox="1">
          <a:spLocks noChangeArrowheads="1"/>
        </xdr:cNvSpPr>
      </xdr:nvSpPr>
      <xdr:spPr bwMode="auto">
        <a:xfrm>
          <a:off x="7209508" y="2398512"/>
          <a:ext cx="914055" cy="24861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89D21A56-7FBB-44F6-938F-AB91F0E8367D}"/>
            </a:ext>
          </a:extLst>
        </xdr:cNvPr>
        <xdr:cNvSpPr txBox="1">
          <a:spLocks noChangeArrowheads="1"/>
        </xdr:cNvSpPr>
      </xdr:nvSpPr>
      <xdr:spPr bwMode="auto">
        <a:xfrm>
          <a:off x="7243030" y="1989212"/>
          <a:ext cx="913301" cy="2550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95EAE574-2478-4D72-ACE7-C159D2E15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29DC0277-FF2F-4C27-8B88-E9C5CD5DF38B}"/>
            </a:ext>
          </a:extLst>
        </xdr:cNvPr>
        <xdr:cNvSpPr txBox="1">
          <a:spLocks noChangeArrowheads="1"/>
        </xdr:cNvSpPr>
      </xdr:nvSpPr>
      <xdr:spPr bwMode="auto">
        <a:xfrm>
          <a:off x="6972300" y="5829300"/>
          <a:ext cx="85634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95002CCC-0129-4FBE-A962-2254E527B8FE}"/>
            </a:ext>
          </a:extLst>
        </xdr:cNvPr>
        <xdr:cNvSpPr txBox="1">
          <a:spLocks noChangeArrowheads="1"/>
        </xdr:cNvSpPr>
      </xdr:nvSpPr>
      <xdr:spPr bwMode="auto">
        <a:xfrm>
          <a:off x="7211695" y="5829300"/>
          <a:ext cx="71965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49A5C7B0-E9FA-4E74-A9BC-0547189952E7}"/>
            </a:ext>
          </a:extLst>
        </xdr:cNvPr>
        <xdr:cNvSpPr txBox="1">
          <a:spLocks noChangeArrowheads="1"/>
        </xdr:cNvSpPr>
      </xdr:nvSpPr>
      <xdr:spPr bwMode="auto">
        <a:xfrm>
          <a:off x="7611745" y="5829300"/>
          <a:ext cx="85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F368CC49-ACAF-422A-A12B-74F35BD808FA}"/>
            </a:ext>
          </a:extLst>
        </xdr:cNvPr>
        <xdr:cNvSpPr txBox="1">
          <a:spLocks noChangeArrowheads="1"/>
        </xdr:cNvSpPr>
      </xdr:nvSpPr>
      <xdr:spPr bwMode="auto">
        <a:xfrm>
          <a:off x="8756650" y="5829300"/>
          <a:ext cx="100441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13</xdr:col>
      <xdr:colOff>392004</xdr:colOff>
      <xdr:row>9</xdr:row>
      <xdr:rowOff>162318</xdr:rowOff>
    </xdr:from>
    <xdr:to>
      <xdr:col>13</xdr:col>
      <xdr:colOff>584886</xdr:colOff>
      <xdr:row>13</xdr:row>
      <xdr:rowOff>57221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7D21631D-16D8-4DAE-B019-294F6AFB7BDF}"/>
            </a:ext>
          </a:extLst>
        </xdr:cNvPr>
        <xdr:cNvSpPr txBox="1">
          <a:spLocks noChangeArrowheads="1"/>
        </xdr:cNvSpPr>
      </xdr:nvSpPr>
      <xdr:spPr bwMode="auto">
        <a:xfrm flipV="1">
          <a:off x="8529075" y="1631889"/>
          <a:ext cx="192882" cy="5480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1440 rpm</a:t>
          </a:r>
        </a:p>
      </xdr:txBody>
    </xdr:sp>
    <xdr:clientData/>
  </xdr:twoCellAnchor>
  <xdr:twoCellAnchor>
    <xdr:from>
      <xdr:col>13</xdr:col>
      <xdr:colOff>564366</xdr:colOff>
      <xdr:row>10</xdr:row>
      <xdr:rowOff>2567</xdr:rowOff>
    </xdr:from>
    <xdr:to>
      <xdr:col>14</xdr:col>
      <xdr:colOff>133943</xdr:colOff>
      <xdr:row>13</xdr:row>
      <xdr:rowOff>36353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F61337A-D9A2-47DC-8BF8-2D1A2D2489DB}"/>
            </a:ext>
          </a:extLst>
        </xdr:cNvPr>
        <xdr:cNvSpPr txBox="1">
          <a:spLocks noChangeArrowheads="1"/>
        </xdr:cNvSpPr>
      </xdr:nvSpPr>
      <xdr:spPr bwMode="auto">
        <a:xfrm flipV="1">
          <a:off x="8701437" y="1635424"/>
          <a:ext cx="179177" cy="5236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1800 rpm</a:t>
          </a:r>
        </a:p>
      </xdr:txBody>
    </xdr:sp>
    <xdr:clientData/>
  </xdr:twoCellAnchor>
  <xdr:twoCellAnchor>
    <xdr:from>
      <xdr:col>14</xdr:col>
      <xdr:colOff>231093</xdr:colOff>
      <xdr:row>10</xdr:row>
      <xdr:rowOff>4186</xdr:rowOff>
    </xdr:from>
    <xdr:to>
      <xdr:col>14</xdr:col>
      <xdr:colOff>425608</xdr:colOff>
      <xdr:row>13</xdr:row>
      <xdr:rowOff>28250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DA68CB6E-970D-44D2-8D67-A79ED93B8E0A}"/>
            </a:ext>
          </a:extLst>
        </xdr:cNvPr>
        <xdr:cNvSpPr txBox="1">
          <a:spLocks noChangeArrowheads="1"/>
        </xdr:cNvSpPr>
      </xdr:nvSpPr>
      <xdr:spPr bwMode="auto">
        <a:xfrm flipH="1" flipV="1">
          <a:off x="8977764" y="1637043"/>
          <a:ext cx="194515" cy="5139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2160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429653F1-12D5-4564-BF63-45A12BE10022}"/>
            </a:ext>
          </a:extLst>
        </xdr:cNvPr>
        <xdr:cNvSpPr txBox="1">
          <a:spLocks noChangeArrowheads="1"/>
        </xdr:cNvSpPr>
      </xdr:nvSpPr>
      <xdr:spPr bwMode="auto">
        <a:xfrm>
          <a:off x="7402746" y="1567546"/>
          <a:ext cx="935782" cy="2859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CEECFE76-2AF1-44B8-9B7D-69B555439399}"/>
            </a:ext>
          </a:extLst>
        </xdr:cNvPr>
        <xdr:cNvSpPr txBox="1">
          <a:spLocks noChangeArrowheads="1"/>
        </xdr:cNvSpPr>
      </xdr:nvSpPr>
      <xdr:spPr bwMode="auto">
        <a:xfrm>
          <a:off x="10362565" y="10239375"/>
          <a:ext cx="1225777" cy="224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1466B453-3A39-4587-B7F6-C01CA13F3C99}"/>
            </a:ext>
          </a:extLst>
        </xdr:cNvPr>
        <xdr:cNvSpPr txBox="1">
          <a:spLocks noChangeArrowheads="1"/>
        </xdr:cNvSpPr>
      </xdr:nvSpPr>
      <xdr:spPr bwMode="auto">
        <a:xfrm>
          <a:off x="10370820" y="9976485"/>
          <a:ext cx="1220337" cy="275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31300D7C-08B3-4925-B282-AF2440C1BA87}"/>
            </a:ext>
          </a:extLst>
        </xdr:cNvPr>
        <xdr:cNvSpPr txBox="1">
          <a:spLocks noChangeArrowheads="1"/>
        </xdr:cNvSpPr>
      </xdr:nvSpPr>
      <xdr:spPr bwMode="auto">
        <a:xfrm>
          <a:off x="10368915" y="9777730"/>
          <a:ext cx="613015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5EBB019D-B3D8-4D28-B11C-405059BBB90C}"/>
            </a:ext>
          </a:extLst>
        </xdr:cNvPr>
        <xdr:cNvSpPr txBox="1">
          <a:spLocks noChangeArrowheads="1"/>
        </xdr:cNvSpPr>
      </xdr:nvSpPr>
      <xdr:spPr bwMode="auto">
        <a:xfrm>
          <a:off x="10370820" y="9604375"/>
          <a:ext cx="869406" cy="256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44947F39-C050-4AB2-8F61-AA2B63A3E110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5980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7B032C9F-DF46-4778-95D7-AD2E70F6965F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6001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B9E7E4DB-0949-4D39-9728-1EE7BDB61286}"/>
            </a:ext>
          </a:extLst>
        </xdr:cNvPr>
        <xdr:cNvSpPr>
          <a:spLocks noChangeShapeType="1"/>
        </xdr:cNvSpPr>
      </xdr:nvSpPr>
      <xdr:spPr bwMode="auto">
        <a:xfrm>
          <a:off x="13039725" y="9953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7042B703-A195-4089-8549-9813AD3289CF}"/>
            </a:ext>
          </a:extLst>
        </xdr:cNvPr>
        <xdr:cNvSpPr>
          <a:spLocks noChangeShapeType="1"/>
        </xdr:cNvSpPr>
      </xdr:nvSpPr>
      <xdr:spPr bwMode="auto">
        <a:xfrm>
          <a:off x="13039725" y="9944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747FF9BB-2786-45D1-BD80-DF2520435BE3}"/>
            </a:ext>
          </a:extLst>
        </xdr:cNvPr>
        <xdr:cNvSpPr>
          <a:spLocks noChangeShapeType="1"/>
        </xdr:cNvSpPr>
      </xdr:nvSpPr>
      <xdr:spPr bwMode="auto">
        <a:xfrm>
          <a:off x="6915150" y="11249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EE595EBB-47A0-4436-8CD9-C1B28504D54D}"/>
            </a:ext>
          </a:extLst>
        </xdr:cNvPr>
        <xdr:cNvSpPr>
          <a:spLocks noChangeShapeType="1"/>
        </xdr:cNvSpPr>
      </xdr:nvSpPr>
      <xdr:spPr bwMode="auto">
        <a:xfrm>
          <a:off x="6915150" y="114395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26" name="Text Box 28">
          <a:extLst>
            <a:ext uri="{FF2B5EF4-FFF2-40B4-BE49-F238E27FC236}">
              <a16:creationId xmlns:a16="http://schemas.microsoft.com/office/drawing/2014/main" id="{C65A46AE-B8A1-42A0-86D5-C5FF5875FD2F}"/>
            </a:ext>
          </a:extLst>
        </xdr:cNvPr>
        <xdr:cNvSpPr txBox="1">
          <a:spLocks noChangeArrowheads="1"/>
        </xdr:cNvSpPr>
      </xdr:nvSpPr>
      <xdr:spPr bwMode="auto">
        <a:xfrm>
          <a:off x="6972300" y="8158480"/>
          <a:ext cx="856342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3A2181AF-6DDB-42C8-B7DD-FFD0300EED6D}"/>
            </a:ext>
          </a:extLst>
        </xdr:cNvPr>
        <xdr:cNvSpPr txBox="1">
          <a:spLocks noChangeArrowheads="1"/>
        </xdr:cNvSpPr>
      </xdr:nvSpPr>
      <xdr:spPr bwMode="auto">
        <a:xfrm>
          <a:off x="7116445" y="7491730"/>
          <a:ext cx="819795" cy="28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32C49ED7-95BB-485D-A459-E9377B46E5ED}"/>
            </a:ext>
          </a:extLst>
        </xdr:cNvPr>
        <xdr:cNvSpPr txBox="1">
          <a:spLocks noChangeArrowheads="1"/>
        </xdr:cNvSpPr>
      </xdr:nvSpPr>
      <xdr:spPr bwMode="auto">
        <a:xfrm>
          <a:off x="7611745" y="7005955"/>
          <a:ext cx="855792" cy="282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2CCC2693-22C1-47BB-ACED-DC5E8C15E37D}"/>
            </a:ext>
          </a:extLst>
        </xdr:cNvPr>
        <xdr:cNvSpPr txBox="1">
          <a:spLocks noChangeArrowheads="1"/>
        </xdr:cNvSpPr>
      </xdr:nvSpPr>
      <xdr:spPr bwMode="auto">
        <a:xfrm>
          <a:off x="8869045" y="7148830"/>
          <a:ext cx="1160689" cy="231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30" name="Text Box 32">
          <a:extLst>
            <a:ext uri="{FF2B5EF4-FFF2-40B4-BE49-F238E27FC236}">
              <a16:creationId xmlns:a16="http://schemas.microsoft.com/office/drawing/2014/main" id="{1A0816AC-3CD1-451E-B560-DBC184D56ABA}"/>
            </a:ext>
          </a:extLst>
        </xdr:cNvPr>
        <xdr:cNvSpPr txBox="1">
          <a:spLocks noChangeArrowheads="1"/>
        </xdr:cNvSpPr>
      </xdr:nvSpPr>
      <xdr:spPr bwMode="auto">
        <a:xfrm>
          <a:off x="10362565" y="9307830"/>
          <a:ext cx="589977" cy="251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31" name="Text Box 33">
          <a:extLst>
            <a:ext uri="{FF2B5EF4-FFF2-40B4-BE49-F238E27FC236}">
              <a16:creationId xmlns:a16="http://schemas.microsoft.com/office/drawing/2014/main" id="{6144599A-D2CF-4478-861D-125ED71CAA4C}"/>
            </a:ext>
          </a:extLst>
        </xdr:cNvPr>
        <xdr:cNvSpPr txBox="1">
          <a:spLocks noChangeArrowheads="1"/>
        </xdr:cNvSpPr>
      </xdr:nvSpPr>
      <xdr:spPr bwMode="auto">
        <a:xfrm>
          <a:off x="10368915" y="9067800"/>
          <a:ext cx="598005" cy="25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5CD4E38A-5A41-4F10-B413-9B799AB59B91}"/>
            </a:ext>
          </a:extLst>
        </xdr:cNvPr>
        <xdr:cNvSpPr txBox="1">
          <a:spLocks noChangeArrowheads="1"/>
        </xdr:cNvSpPr>
      </xdr:nvSpPr>
      <xdr:spPr bwMode="auto">
        <a:xfrm>
          <a:off x="9963150" y="21859875"/>
          <a:ext cx="0" cy="37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3" name="Line 43">
          <a:extLst>
            <a:ext uri="{FF2B5EF4-FFF2-40B4-BE49-F238E27FC236}">
              <a16:creationId xmlns:a16="http://schemas.microsoft.com/office/drawing/2014/main" id="{C2390973-0883-4666-927D-7C4597DC5BAD}"/>
            </a:ext>
          </a:extLst>
        </xdr:cNvPr>
        <xdr:cNvSpPr>
          <a:spLocks noChangeShapeType="1"/>
        </xdr:cNvSpPr>
      </xdr:nvSpPr>
      <xdr:spPr bwMode="auto">
        <a:xfrm>
          <a:off x="9334500" y="1032510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4" name="Line 44">
          <a:extLst>
            <a:ext uri="{FF2B5EF4-FFF2-40B4-BE49-F238E27FC236}">
              <a16:creationId xmlns:a16="http://schemas.microsoft.com/office/drawing/2014/main" id="{352B42ED-7535-4563-88CE-C52B49B0E317}"/>
            </a:ext>
          </a:extLst>
        </xdr:cNvPr>
        <xdr:cNvSpPr>
          <a:spLocks noChangeShapeType="1"/>
        </xdr:cNvSpPr>
      </xdr:nvSpPr>
      <xdr:spPr bwMode="auto">
        <a:xfrm>
          <a:off x="9505950" y="100869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5" name="Line 45">
          <a:extLst>
            <a:ext uri="{FF2B5EF4-FFF2-40B4-BE49-F238E27FC236}">
              <a16:creationId xmlns:a16="http://schemas.microsoft.com/office/drawing/2014/main" id="{F45C207E-A454-4E54-9145-D455B7094E3E}"/>
            </a:ext>
          </a:extLst>
        </xdr:cNvPr>
        <xdr:cNvSpPr>
          <a:spLocks noChangeShapeType="1"/>
        </xdr:cNvSpPr>
      </xdr:nvSpPr>
      <xdr:spPr bwMode="auto">
        <a:xfrm>
          <a:off x="9505950" y="987742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C50FE1A4-70AD-48B8-80B2-B9729671DB99}"/>
            </a:ext>
          </a:extLst>
        </xdr:cNvPr>
        <xdr:cNvSpPr>
          <a:spLocks noChangeShapeType="1"/>
        </xdr:cNvSpPr>
      </xdr:nvSpPr>
      <xdr:spPr bwMode="auto">
        <a:xfrm>
          <a:off x="9525000" y="965835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7" name="Line 47">
          <a:extLst>
            <a:ext uri="{FF2B5EF4-FFF2-40B4-BE49-F238E27FC236}">
              <a16:creationId xmlns:a16="http://schemas.microsoft.com/office/drawing/2014/main" id="{EE69DB47-80B4-42E4-BAB3-68DED7E57396}"/>
            </a:ext>
          </a:extLst>
        </xdr:cNvPr>
        <xdr:cNvSpPr>
          <a:spLocks noChangeShapeType="1"/>
        </xdr:cNvSpPr>
      </xdr:nvSpPr>
      <xdr:spPr bwMode="auto">
        <a:xfrm>
          <a:off x="9563100" y="94011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8" name="Line 48">
          <a:extLst>
            <a:ext uri="{FF2B5EF4-FFF2-40B4-BE49-F238E27FC236}">
              <a16:creationId xmlns:a16="http://schemas.microsoft.com/office/drawing/2014/main" id="{70C2EADD-94E3-4E9C-9372-F9D5118ADC1B}"/>
            </a:ext>
          </a:extLst>
        </xdr:cNvPr>
        <xdr:cNvSpPr>
          <a:spLocks noChangeShapeType="1"/>
        </xdr:cNvSpPr>
      </xdr:nvSpPr>
      <xdr:spPr bwMode="auto">
        <a:xfrm>
          <a:off x="9610725" y="91535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9" name="Text Box 52">
          <a:extLst>
            <a:ext uri="{FF2B5EF4-FFF2-40B4-BE49-F238E27FC236}">
              <a16:creationId xmlns:a16="http://schemas.microsoft.com/office/drawing/2014/main" id="{821EBBAF-3A0E-4E53-A5E2-388B29D4A5C6}"/>
            </a:ext>
          </a:extLst>
        </xdr:cNvPr>
        <xdr:cNvSpPr txBox="1">
          <a:spLocks noChangeArrowheads="1"/>
        </xdr:cNvSpPr>
      </xdr:nvSpPr>
      <xdr:spPr bwMode="auto">
        <a:xfrm>
          <a:off x="8096250" y="100679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A9F2A035-3DFB-4D7F-9585-BB2FF1E70924}"/>
            </a:ext>
          </a:extLst>
        </xdr:cNvPr>
        <xdr:cNvSpPr txBox="1">
          <a:spLocks noChangeArrowheads="1"/>
        </xdr:cNvSpPr>
      </xdr:nvSpPr>
      <xdr:spPr bwMode="auto">
        <a:xfrm>
          <a:off x="7600950" y="10125075"/>
          <a:ext cx="1905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76404663-C601-4AF6-94B5-2BA5FE92C951}"/>
            </a:ext>
          </a:extLst>
        </xdr:cNvPr>
        <xdr:cNvSpPr txBox="1">
          <a:spLocks noChangeArrowheads="1"/>
        </xdr:cNvSpPr>
      </xdr:nvSpPr>
      <xdr:spPr bwMode="auto">
        <a:xfrm>
          <a:off x="8324850" y="4829175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168587</xdr:colOff>
      <xdr:row>13</xdr:row>
      <xdr:rowOff>4008</xdr:rowOff>
    </xdr:from>
    <xdr:to>
      <xdr:col>18</xdr:col>
      <xdr:colOff>483985</xdr:colOff>
      <xdr:row>14</xdr:row>
      <xdr:rowOff>137095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D1007C1-4FA7-4D33-A6BD-179F25B8778A}"/>
            </a:ext>
          </a:extLst>
        </xdr:cNvPr>
        <xdr:cNvSpPr txBox="1"/>
      </xdr:nvSpPr>
      <xdr:spPr>
        <a:xfrm>
          <a:off x="10134458" y="2126722"/>
          <a:ext cx="1534598" cy="2963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3.81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89929</xdr:colOff>
      <xdr:row>15</xdr:row>
      <xdr:rowOff>45022</xdr:rowOff>
    </xdr:from>
    <xdr:to>
      <xdr:col>19</xdr:col>
      <xdr:colOff>15610</xdr:colOff>
      <xdr:row>17</xdr:row>
      <xdr:rowOff>20875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EAB559F-E954-40F9-9DD9-F4DA2E7B3C1B}"/>
            </a:ext>
          </a:extLst>
        </xdr:cNvPr>
        <xdr:cNvSpPr txBox="1"/>
      </xdr:nvSpPr>
      <xdr:spPr>
        <a:xfrm>
          <a:off x="10665400" y="2494308"/>
          <a:ext cx="1155767" cy="3024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E28E0779-8C88-43C8-A6E4-D2357BBC3E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975A447-CEDC-455B-A2A6-210A94939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20EFBFF4-6236-4627-BB2D-10F2A225D50E}"/>
            </a:ext>
          </a:extLst>
        </xdr:cNvPr>
        <xdr:cNvSpPr txBox="1">
          <a:spLocks noChangeArrowheads="1"/>
        </xdr:cNvSpPr>
      </xdr:nvSpPr>
      <xdr:spPr bwMode="auto">
        <a:xfrm>
          <a:off x="7003660" y="2741686"/>
          <a:ext cx="753488" cy="39760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08FDE3DE-D130-4B9D-A2F3-018601450E08}"/>
            </a:ext>
          </a:extLst>
        </xdr:cNvPr>
        <xdr:cNvSpPr txBox="1">
          <a:spLocks noChangeArrowheads="1"/>
        </xdr:cNvSpPr>
      </xdr:nvSpPr>
      <xdr:spPr bwMode="auto">
        <a:xfrm>
          <a:off x="7209508" y="2398512"/>
          <a:ext cx="914055" cy="24861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F56D4D16-25BB-47A6-A698-7718BF017147}"/>
            </a:ext>
          </a:extLst>
        </xdr:cNvPr>
        <xdr:cNvSpPr txBox="1">
          <a:spLocks noChangeArrowheads="1"/>
        </xdr:cNvSpPr>
      </xdr:nvSpPr>
      <xdr:spPr bwMode="auto">
        <a:xfrm>
          <a:off x="7243030" y="1989212"/>
          <a:ext cx="913301" cy="2550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5EA68BB4-D314-4535-832D-9FB4158B6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829B1214-4166-4CC9-8A16-C722933A87D1}"/>
            </a:ext>
          </a:extLst>
        </xdr:cNvPr>
        <xdr:cNvSpPr txBox="1">
          <a:spLocks noChangeArrowheads="1"/>
        </xdr:cNvSpPr>
      </xdr:nvSpPr>
      <xdr:spPr bwMode="auto">
        <a:xfrm>
          <a:off x="6972300" y="5829300"/>
          <a:ext cx="85634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427A4346-1FF0-4797-A844-269A6C033CBA}"/>
            </a:ext>
          </a:extLst>
        </xdr:cNvPr>
        <xdr:cNvSpPr txBox="1">
          <a:spLocks noChangeArrowheads="1"/>
        </xdr:cNvSpPr>
      </xdr:nvSpPr>
      <xdr:spPr bwMode="auto">
        <a:xfrm>
          <a:off x="7211695" y="5829300"/>
          <a:ext cx="71965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E6A9A7BF-4398-4C3F-BADE-F8C93E453020}"/>
            </a:ext>
          </a:extLst>
        </xdr:cNvPr>
        <xdr:cNvSpPr txBox="1">
          <a:spLocks noChangeArrowheads="1"/>
        </xdr:cNvSpPr>
      </xdr:nvSpPr>
      <xdr:spPr bwMode="auto">
        <a:xfrm>
          <a:off x="7611745" y="5829300"/>
          <a:ext cx="85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F180FB67-C0E4-42C8-9B68-A177A62D33B1}"/>
            </a:ext>
          </a:extLst>
        </xdr:cNvPr>
        <xdr:cNvSpPr txBox="1">
          <a:spLocks noChangeArrowheads="1"/>
        </xdr:cNvSpPr>
      </xdr:nvSpPr>
      <xdr:spPr bwMode="auto">
        <a:xfrm>
          <a:off x="8756650" y="5829300"/>
          <a:ext cx="100441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13</xdr:col>
      <xdr:colOff>375675</xdr:colOff>
      <xdr:row>10</xdr:row>
      <xdr:rowOff>53460</xdr:rowOff>
    </xdr:from>
    <xdr:to>
      <xdr:col>13</xdr:col>
      <xdr:colOff>568557</xdr:colOff>
      <xdr:row>13</xdr:row>
      <xdr:rowOff>111649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C7DE5A9E-0798-4C53-AF05-42803848743D}"/>
            </a:ext>
          </a:extLst>
        </xdr:cNvPr>
        <xdr:cNvSpPr txBox="1">
          <a:spLocks noChangeArrowheads="1"/>
        </xdr:cNvSpPr>
      </xdr:nvSpPr>
      <xdr:spPr bwMode="auto">
        <a:xfrm flipV="1">
          <a:off x="8510025" y="1672710"/>
          <a:ext cx="192882" cy="5439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1424 rpm</a:t>
          </a:r>
        </a:p>
      </xdr:txBody>
    </xdr:sp>
    <xdr:clientData/>
  </xdr:twoCellAnchor>
  <xdr:twoCellAnchor>
    <xdr:from>
      <xdr:col>13</xdr:col>
      <xdr:colOff>553480</xdr:colOff>
      <xdr:row>10</xdr:row>
      <xdr:rowOff>35224</xdr:rowOff>
    </xdr:from>
    <xdr:to>
      <xdr:col>14</xdr:col>
      <xdr:colOff>123057</xdr:colOff>
      <xdr:row>13</xdr:row>
      <xdr:rowOff>69010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1C666623-117F-45E6-B20D-991AF91C374A}"/>
            </a:ext>
          </a:extLst>
        </xdr:cNvPr>
        <xdr:cNvSpPr txBox="1">
          <a:spLocks noChangeArrowheads="1"/>
        </xdr:cNvSpPr>
      </xdr:nvSpPr>
      <xdr:spPr bwMode="auto">
        <a:xfrm flipV="1">
          <a:off x="8687830" y="1654474"/>
          <a:ext cx="179177" cy="5195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1780 rpm</a:t>
          </a:r>
        </a:p>
      </xdr:txBody>
    </xdr:sp>
    <xdr:clientData/>
  </xdr:twoCellAnchor>
  <xdr:twoCellAnchor>
    <xdr:from>
      <xdr:col>14</xdr:col>
      <xdr:colOff>231093</xdr:colOff>
      <xdr:row>10</xdr:row>
      <xdr:rowOff>42286</xdr:rowOff>
    </xdr:from>
    <xdr:to>
      <xdr:col>14</xdr:col>
      <xdr:colOff>425608</xdr:colOff>
      <xdr:row>13</xdr:row>
      <xdr:rowOff>66350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8BD78835-DDDF-4279-B407-5E45C096B6CF}"/>
            </a:ext>
          </a:extLst>
        </xdr:cNvPr>
        <xdr:cNvSpPr txBox="1">
          <a:spLocks noChangeArrowheads="1"/>
        </xdr:cNvSpPr>
      </xdr:nvSpPr>
      <xdr:spPr bwMode="auto">
        <a:xfrm flipH="1" flipV="1">
          <a:off x="8975043" y="1661536"/>
          <a:ext cx="194515" cy="5098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2136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578814AF-2AC9-4BA6-8B63-26732B51262D}"/>
            </a:ext>
          </a:extLst>
        </xdr:cNvPr>
        <xdr:cNvSpPr txBox="1">
          <a:spLocks noChangeArrowheads="1"/>
        </xdr:cNvSpPr>
      </xdr:nvSpPr>
      <xdr:spPr bwMode="auto">
        <a:xfrm>
          <a:off x="7402746" y="1567546"/>
          <a:ext cx="935782" cy="2859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F046B52F-ACEC-44C3-9429-302ACF5643E6}"/>
            </a:ext>
          </a:extLst>
        </xdr:cNvPr>
        <xdr:cNvSpPr txBox="1">
          <a:spLocks noChangeArrowheads="1"/>
        </xdr:cNvSpPr>
      </xdr:nvSpPr>
      <xdr:spPr bwMode="auto">
        <a:xfrm>
          <a:off x="10362565" y="10239375"/>
          <a:ext cx="1225777" cy="224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AAE0CC20-A9EF-4BB9-9A0E-9DCC8C9C9025}"/>
            </a:ext>
          </a:extLst>
        </xdr:cNvPr>
        <xdr:cNvSpPr txBox="1">
          <a:spLocks noChangeArrowheads="1"/>
        </xdr:cNvSpPr>
      </xdr:nvSpPr>
      <xdr:spPr bwMode="auto">
        <a:xfrm>
          <a:off x="10370820" y="9976485"/>
          <a:ext cx="1220337" cy="275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75708162-F48C-4163-B45B-BC4DE1266744}"/>
            </a:ext>
          </a:extLst>
        </xdr:cNvPr>
        <xdr:cNvSpPr txBox="1">
          <a:spLocks noChangeArrowheads="1"/>
        </xdr:cNvSpPr>
      </xdr:nvSpPr>
      <xdr:spPr bwMode="auto">
        <a:xfrm>
          <a:off x="10368915" y="9777730"/>
          <a:ext cx="613015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5FF8904D-04A9-4FDF-9267-1C0D91636621}"/>
            </a:ext>
          </a:extLst>
        </xdr:cNvPr>
        <xdr:cNvSpPr txBox="1">
          <a:spLocks noChangeArrowheads="1"/>
        </xdr:cNvSpPr>
      </xdr:nvSpPr>
      <xdr:spPr bwMode="auto">
        <a:xfrm>
          <a:off x="10370820" y="9604375"/>
          <a:ext cx="869406" cy="256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A7D140D3-DAA7-449D-8419-A993F94E0BB0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5980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545ACCB0-B3C8-4548-9BB6-ECCEF895371B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6001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CD7B8FFF-B8F5-4240-B033-50EE4820202A}"/>
            </a:ext>
          </a:extLst>
        </xdr:cNvPr>
        <xdr:cNvSpPr>
          <a:spLocks noChangeShapeType="1"/>
        </xdr:cNvSpPr>
      </xdr:nvSpPr>
      <xdr:spPr bwMode="auto">
        <a:xfrm>
          <a:off x="13039725" y="9953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7AEEB97F-4418-4D1C-85D1-42529DCD1902}"/>
            </a:ext>
          </a:extLst>
        </xdr:cNvPr>
        <xdr:cNvSpPr>
          <a:spLocks noChangeShapeType="1"/>
        </xdr:cNvSpPr>
      </xdr:nvSpPr>
      <xdr:spPr bwMode="auto">
        <a:xfrm>
          <a:off x="13039725" y="9944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0EFFB6FE-3378-4DB9-94A4-646AD822AE8D}"/>
            </a:ext>
          </a:extLst>
        </xdr:cNvPr>
        <xdr:cNvSpPr>
          <a:spLocks noChangeShapeType="1"/>
        </xdr:cNvSpPr>
      </xdr:nvSpPr>
      <xdr:spPr bwMode="auto">
        <a:xfrm>
          <a:off x="6915150" y="11249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A255D39E-A3CE-4149-B268-85441505D17A}"/>
            </a:ext>
          </a:extLst>
        </xdr:cNvPr>
        <xdr:cNvSpPr>
          <a:spLocks noChangeShapeType="1"/>
        </xdr:cNvSpPr>
      </xdr:nvSpPr>
      <xdr:spPr bwMode="auto">
        <a:xfrm>
          <a:off x="6915150" y="114395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26" name="Text Box 28">
          <a:extLst>
            <a:ext uri="{FF2B5EF4-FFF2-40B4-BE49-F238E27FC236}">
              <a16:creationId xmlns:a16="http://schemas.microsoft.com/office/drawing/2014/main" id="{4A5EB8E6-0449-4B2A-86D6-5FAB3A56F0FF}"/>
            </a:ext>
          </a:extLst>
        </xdr:cNvPr>
        <xdr:cNvSpPr txBox="1">
          <a:spLocks noChangeArrowheads="1"/>
        </xdr:cNvSpPr>
      </xdr:nvSpPr>
      <xdr:spPr bwMode="auto">
        <a:xfrm>
          <a:off x="6972300" y="8158480"/>
          <a:ext cx="856342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BBA2954E-BE75-477B-A2A2-ABE0A81098DF}"/>
            </a:ext>
          </a:extLst>
        </xdr:cNvPr>
        <xdr:cNvSpPr txBox="1">
          <a:spLocks noChangeArrowheads="1"/>
        </xdr:cNvSpPr>
      </xdr:nvSpPr>
      <xdr:spPr bwMode="auto">
        <a:xfrm>
          <a:off x="7116445" y="7491730"/>
          <a:ext cx="819795" cy="28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08690A3D-F454-430F-B961-0A80897EBAF4}"/>
            </a:ext>
          </a:extLst>
        </xdr:cNvPr>
        <xdr:cNvSpPr txBox="1">
          <a:spLocks noChangeArrowheads="1"/>
        </xdr:cNvSpPr>
      </xdr:nvSpPr>
      <xdr:spPr bwMode="auto">
        <a:xfrm>
          <a:off x="7611745" y="7005955"/>
          <a:ext cx="855792" cy="282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27AA88D9-C581-4D97-9423-C238D449A0F6}"/>
            </a:ext>
          </a:extLst>
        </xdr:cNvPr>
        <xdr:cNvSpPr txBox="1">
          <a:spLocks noChangeArrowheads="1"/>
        </xdr:cNvSpPr>
      </xdr:nvSpPr>
      <xdr:spPr bwMode="auto">
        <a:xfrm>
          <a:off x="8869045" y="7148830"/>
          <a:ext cx="1160689" cy="231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30" name="Text Box 32">
          <a:extLst>
            <a:ext uri="{FF2B5EF4-FFF2-40B4-BE49-F238E27FC236}">
              <a16:creationId xmlns:a16="http://schemas.microsoft.com/office/drawing/2014/main" id="{BFD2F32E-4EFB-44D5-8731-D284207EC794}"/>
            </a:ext>
          </a:extLst>
        </xdr:cNvPr>
        <xdr:cNvSpPr txBox="1">
          <a:spLocks noChangeArrowheads="1"/>
        </xdr:cNvSpPr>
      </xdr:nvSpPr>
      <xdr:spPr bwMode="auto">
        <a:xfrm>
          <a:off x="10362565" y="9307830"/>
          <a:ext cx="589977" cy="251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31" name="Text Box 33">
          <a:extLst>
            <a:ext uri="{FF2B5EF4-FFF2-40B4-BE49-F238E27FC236}">
              <a16:creationId xmlns:a16="http://schemas.microsoft.com/office/drawing/2014/main" id="{358E7E0D-E746-4AE3-81A9-C089944A7255}"/>
            </a:ext>
          </a:extLst>
        </xdr:cNvPr>
        <xdr:cNvSpPr txBox="1">
          <a:spLocks noChangeArrowheads="1"/>
        </xdr:cNvSpPr>
      </xdr:nvSpPr>
      <xdr:spPr bwMode="auto">
        <a:xfrm>
          <a:off x="10368915" y="9067800"/>
          <a:ext cx="598005" cy="25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A402DB80-8153-456F-B0C1-1F9524B7798B}"/>
            </a:ext>
          </a:extLst>
        </xdr:cNvPr>
        <xdr:cNvSpPr txBox="1">
          <a:spLocks noChangeArrowheads="1"/>
        </xdr:cNvSpPr>
      </xdr:nvSpPr>
      <xdr:spPr bwMode="auto">
        <a:xfrm>
          <a:off x="9963150" y="21859875"/>
          <a:ext cx="0" cy="37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3" name="Line 43">
          <a:extLst>
            <a:ext uri="{FF2B5EF4-FFF2-40B4-BE49-F238E27FC236}">
              <a16:creationId xmlns:a16="http://schemas.microsoft.com/office/drawing/2014/main" id="{612AC337-C40A-4A62-9B1C-1EB164182079}"/>
            </a:ext>
          </a:extLst>
        </xdr:cNvPr>
        <xdr:cNvSpPr>
          <a:spLocks noChangeShapeType="1"/>
        </xdr:cNvSpPr>
      </xdr:nvSpPr>
      <xdr:spPr bwMode="auto">
        <a:xfrm>
          <a:off x="9334500" y="1032510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4" name="Line 44">
          <a:extLst>
            <a:ext uri="{FF2B5EF4-FFF2-40B4-BE49-F238E27FC236}">
              <a16:creationId xmlns:a16="http://schemas.microsoft.com/office/drawing/2014/main" id="{07CBED17-2506-4B3D-872F-C0357E751E8F}"/>
            </a:ext>
          </a:extLst>
        </xdr:cNvPr>
        <xdr:cNvSpPr>
          <a:spLocks noChangeShapeType="1"/>
        </xdr:cNvSpPr>
      </xdr:nvSpPr>
      <xdr:spPr bwMode="auto">
        <a:xfrm>
          <a:off x="9505950" y="100869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5" name="Line 45">
          <a:extLst>
            <a:ext uri="{FF2B5EF4-FFF2-40B4-BE49-F238E27FC236}">
              <a16:creationId xmlns:a16="http://schemas.microsoft.com/office/drawing/2014/main" id="{C47CDB61-F51B-415B-BF4B-5B7D0140EB62}"/>
            </a:ext>
          </a:extLst>
        </xdr:cNvPr>
        <xdr:cNvSpPr>
          <a:spLocks noChangeShapeType="1"/>
        </xdr:cNvSpPr>
      </xdr:nvSpPr>
      <xdr:spPr bwMode="auto">
        <a:xfrm>
          <a:off x="9505950" y="987742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6C9A3974-3E7D-4DD9-BDEF-B39F95B0C197}"/>
            </a:ext>
          </a:extLst>
        </xdr:cNvPr>
        <xdr:cNvSpPr>
          <a:spLocks noChangeShapeType="1"/>
        </xdr:cNvSpPr>
      </xdr:nvSpPr>
      <xdr:spPr bwMode="auto">
        <a:xfrm>
          <a:off x="9525000" y="965835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7" name="Line 47">
          <a:extLst>
            <a:ext uri="{FF2B5EF4-FFF2-40B4-BE49-F238E27FC236}">
              <a16:creationId xmlns:a16="http://schemas.microsoft.com/office/drawing/2014/main" id="{1F5440CB-59B7-4025-BCF0-3F3A07E973E2}"/>
            </a:ext>
          </a:extLst>
        </xdr:cNvPr>
        <xdr:cNvSpPr>
          <a:spLocks noChangeShapeType="1"/>
        </xdr:cNvSpPr>
      </xdr:nvSpPr>
      <xdr:spPr bwMode="auto">
        <a:xfrm>
          <a:off x="9563100" y="94011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8" name="Line 48">
          <a:extLst>
            <a:ext uri="{FF2B5EF4-FFF2-40B4-BE49-F238E27FC236}">
              <a16:creationId xmlns:a16="http://schemas.microsoft.com/office/drawing/2014/main" id="{287C8B24-399A-4C32-AA41-7A8A61E0DA14}"/>
            </a:ext>
          </a:extLst>
        </xdr:cNvPr>
        <xdr:cNvSpPr>
          <a:spLocks noChangeShapeType="1"/>
        </xdr:cNvSpPr>
      </xdr:nvSpPr>
      <xdr:spPr bwMode="auto">
        <a:xfrm>
          <a:off x="9610725" y="91535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9" name="Text Box 52">
          <a:extLst>
            <a:ext uri="{FF2B5EF4-FFF2-40B4-BE49-F238E27FC236}">
              <a16:creationId xmlns:a16="http://schemas.microsoft.com/office/drawing/2014/main" id="{49B730CA-8CEF-4DF3-A510-2112456150C2}"/>
            </a:ext>
          </a:extLst>
        </xdr:cNvPr>
        <xdr:cNvSpPr txBox="1">
          <a:spLocks noChangeArrowheads="1"/>
        </xdr:cNvSpPr>
      </xdr:nvSpPr>
      <xdr:spPr bwMode="auto">
        <a:xfrm>
          <a:off x="8096250" y="100679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1B4010F1-6061-4501-B7C6-473BA2C61CD4}"/>
            </a:ext>
          </a:extLst>
        </xdr:cNvPr>
        <xdr:cNvSpPr txBox="1">
          <a:spLocks noChangeArrowheads="1"/>
        </xdr:cNvSpPr>
      </xdr:nvSpPr>
      <xdr:spPr bwMode="auto">
        <a:xfrm>
          <a:off x="7600950" y="10125075"/>
          <a:ext cx="1905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E240A14B-37DF-4230-8BA0-888F6AF5B364}"/>
            </a:ext>
          </a:extLst>
        </xdr:cNvPr>
        <xdr:cNvSpPr txBox="1">
          <a:spLocks noChangeArrowheads="1"/>
        </xdr:cNvSpPr>
      </xdr:nvSpPr>
      <xdr:spPr bwMode="auto">
        <a:xfrm>
          <a:off x="8324850" y="4829175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201244</xdr:colOff>
      <xdr:row>17</xdr:row>
      <xdr:rowOff>4008</xdr:rowOff>
    </xdr:from>
    <xdr:to>
      <xdr:col>18</xdr:col>
      <xdr:colOff>516642</xdr:colOff>
      <xdr:row>18</xdr:row>
      <xdr:rowOff>137095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683418D-095A-4D5B-8F73-4EE95EAEB8E5}"/>
            </a:ext>
          </a:extLst>
        </xdr:cNvPr>
        <xdr:cNvSpPr txBox="1"/>
      </xdr:nvSpPr>
      <xdr:spPr>
        <a:xfrm>
          <a:off x="10164394" y="2756733"/>
          <a:ext cx="1534598" cy="295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0.7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157929</xdr:colOff>
      <xdr:row>13</xdr:row>
      <xdr:rowOff>148776</xdr:rowOff>
    </xdr:from>
    <xdr:to>
      <xdr:col>19</xdr:col>
      <xdr:colOff>91694</xdr:colOff>
      <xdr:row>15</xdr:row>
      <xdr:rowOff>126722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EFD15F4-BC51-4FEA-87F8-E15BC1C586EA}"/>
            </a:ext>
          </a:extLst>
        </xdr:cNvPr>
        <xdr:cNvSpPr txBox="1"/>
      </xdr:nvSpPr>
      <xdr:spPr>
        <a:xfrm>
          <a:off x="10753670" y="2283690"/>
          <a:ext cx="1162162" cy="3063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EF8BF4B5-A85B-4E5C-99E4-A7D5CBEC9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CDE81F7-771F-42E8-9E98-FFDF8F8B0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92AF4225-07B3-4322-832D-2DEDC342871D}"/>
            </a:ext>
          </a:extLst>
        </xdr:cNvPr>
        <xdr:cNvSpPr txBox="1">
          <a:spLocks noChangeArrowheads="1"/>
        </xdr:cNvSpPr>
      </xdr:nvSpPr>
      <xdr:spPr bwMode="auto">
        <a:xfrm>
          <a:off x="7003660" y="2741686"/>
          <a:ext cx="753488" cy="39760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E62025A5-B0E7-41FD-9E4D-2271CF3EF257}"/>
            </a:ext>
          </a:extLst>
        </xdr:cNvPr>
        <xdr:cNvSpPr txBox="1">
          <a:spLocks noChangeArrowheads="1"/>
        </xdr:cNvSpPr>
      </xdr:nvSpPr>
      <xdr:spPr bwMode="auto">
        <a:xfrm>
          <a:off x="7209508" y="2398512"/>
          <a:ext cx="914055" cy="24861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5E7D9AF3-576B-4D06-A1E3-D433ACEE859A}"/>
            </a:ext>
          </a:extLst>
        </xdr:cNvPr>
        <xdr:cNvSpPr txBox="1">
          <a:spLocks noChangeArrowheads="1"/>
        </xdr:cNvSpPr>
      </xdr:nvSpPr>
      <xdr:spPr bwMode="auto">
        <a:xfrm>
          <a:off x="7243030" y="1989212"/>
          <a:ext cx="913301" cy="2550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5CC0D878-CAF8-4A2C-B676-91DADBF6E5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AC5C40F9-6AD5-4D67-8C91-8E25A15DAC3F}"/>
            </a:ext>
          </a:extLst>
        </xdr:cNvPr>
        <xdr:cNvSpPr txBox="1">
          <a:spLocks noChangeArrowheads="1"/>
        </xdr:cNvSpPr>
      </xdr:nvSpPr>
      <xdr:spPr bwMode="auto">
        <a:xfrm>
          <a:off x="6972300" y="5829300"/>
          <a:ext cx="85634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85527BFE-9FBB-4E35-8B47-A52FC16F7D8B}"/>
            </a:ext>
          </a:extLst>
        </xdr:cNvPr>
        <xdr:cNvSpPr txBox="1">
          <a:spLocks noChangeArrowheads="1"/>
        </xdr:cNvSpPr>
      </xdr:nvSpPr>
      <xdr:spPr bwMode="auto">
        <a:xfrm>
          <a:off x="7211695" y="5829300"/>
          <a:ext cx="71965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75B27744-CB83-4EB5-9902-D9277109CB81}"/>
            </a:ext>
          </a:extLst>
        </xdr:cNvPr>
        <xdr:cNvSpPr txBox="1">
          <a:spLocks noChangeArrowheads="1"/>
        </xdr:cNvSpPr>
      </xdr:nvSpPr>
      <xdr:spPr bwMode="auto">
        <a:xfrm>
          <a:off x="7611745" y="5829300"/>
          <a:ext cx="85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92CE1438-F703-4FF8-A1DF-CE1314337296}"/>
            </a:ext>
          </a:extLst>
        </xdr:cNvPr>
        <xdr:cNvSpPr txBox="1">
          <a:spLocks noChangeArrowheads="1"/>
        </xdr:cNvSpPr>
      </xdr:nvSpPr>
      <xdr:spPr bwMode="auto">
        <a:xfrm>
          <a:off x="8756650" y="5829300"/>
          <a:ext cx="100441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13</xdr:col>
      <xdr:colOff>402889</xdr:colOff>
      <xdr:row>9</xdr:row>
      <xdr:rowOff>118775</xdr:rowOff>
    </xdr:from>
    <xdr:to>
      <xdr:col>13</xdr:col>
      <xdr:colOff>595771</xdr:colOff>
      <xdr:row>13</xdr:row>
      <xdr:rowOff>13678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6A1EEDD6-5B12-4F98-983B-C3025019DE4C}"/>
            </a:ext>
          </a:extLst>
        </xdr:cNvPr>
        <xdr:cNvSpPr txBox="1">
          <a:spLocks noChangeArrowheads="1"/>
        </xdr:cNvSpPr>
      </xdr:nvSpPr>
      <xdr:spPr bwMode="auto">
        <a:xfrm flipV="1">
          <a:off x="8539960" y="1588346"/>
          <a:ext cx="192882" cy="5480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1440 rpm</a:t>
          </a:r>
        </a:p>
      </xdr:txBody>
    </xdr:sp>
    <xdr:clientData/>
  </xdr:twoCellAnchor>
  <xdr:twoCellAnchor>
    <xdr:from>
      <xdr:col>13</xdr:col>
      <xdr:colOff>569809</xdr:colOff>
      <xdr:row>9</xdr:row>
      <xdr:rowOff>122310</xdr:rowOff>
    </xdr:from>
    <xdr:to>
      <xdr:col>14</xdr:col>
      <xdr:colOff>139386</xdr:colOff>
      <xdr:row>12</xdr:row>
      <xdr:rowOff>156095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C81CCDF5-9D75-4C86-BC6C-9D03486DE076}"/>
            </a:ext>
          </a:extLst>
        </xdr:cNvPr>
        <xdr:cNvSpPr txBox="1">
          <a:spLocks noChangeArrowheads="1"/>
        </xdr:cNvSpPr>
      </xdr:nvSpPr>
      <xdr:spPr bwMode="auto">
        <a:xfrm flipV="1">
          <a:off x="8706880" y="1591881"/>
          <a:ext cx="179177" cy="5236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1800 rpm</a:t>
          </a:r>
        </a:p>
      </xdr:txBody>
    </xdr:sp>
    <xdr:clientData/>
  </xdr:twoCellAnchor>
  <xdr:twoCellAnchor>
    <xdr:from>
      <xdr:col>14</xdr:col>
      <xdr:colOff>198436</xdr:colOff>
      <xdr:row>9</xdr:row>
      <xdr:rowOff>123929</xdr:rowOff>
    </xdr:from>
    <xdr:to>
      <xdr:col>14</xdr:col>
      <xdr:colOff>392951</xdr:colOff>
      <xdr:row>12</xdr:row>
      <xdr:rowOff>147992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343EB9D4-E676-463B-9251-DC54D6C99A5F}"/>
            </a:ext>
          </a:extLst>
        </xdr:cNvPr>
        <xdr:cNvSpPr txBox="1">
          <a:spLocks noChangeArrowheads="1"/>
        </xdr:cNvSpPr>
      </xdr:nvSpPr>
      <xdr:spPr bwMode="auto">
        <a:xfrm flipH="1" flipV="1">
          <a:off x="8945107" y="1593500"/>
          <a:ext cx="194515" cy="5139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2160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B029C948-2E94-42EB-BB58-499736744396}"/>
            </a:ext>
          </a:extLst>
        </xdr:cNvPr>
        <xdr:cNvSpPr txBox="1">
          <a:spLocks noChangeArrowheads="1"/>
        </xdr:cNvSpPr>
      </xdr:nvSpPr>
      <xdr:spPr bwMode="auto">
        <a:xfrm>
          <a:off x="7402746" y="1567546"/>
          <a:ext cx="935782" cy="2859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EF858EDF-DA0D-493C-ADCD-F48D31F7F509}"/>
            </a:ext>
          </a:extLst>
        </xdr:cNvPr>
        <xdr:cNvSpPr txBox="1">
          <a:spLocks noChangeArrowheads="1"/>
        </xdr:cNvSpPr>
      </xdr:nvSpPr>
      <xdr:spPr bwMode="auto">
        <a:xfrm>
          <a:off x="10362565" y="10239375"/>
          <a:ext cx="1225777" cy="224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1AF53F99-684A-4649-90B1-B9B9F4A60FEF}"/>
            </a:ext>
          </a:extLst>
        </xdr:cNvPr>
        <xdr:cNvSpPr txBox="1">
          <a:spLocks noChangeArrowheads="1"/>
        </xdr:cNvSpPr>
      </xdr:nvSpPr>
      <xdr:spPr bwMode="auto">
        <a:xfrm>
          <a:off x="10370820" y="9976485"/>
          <a:ext cx="1220337" cy="275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F104B614-C077-4652-9BF4-A84B7195DB39}"/>
            </a:ext>
          </a:extLst>
        </xdr:cNvPr>
        <xdr:cNvSpPr txBox="1">
          <a:spLocks noChangeArrowheads="1"/>
        </xdr:cNvSpPr>
      </xdr:nvSpPr>
      <xdr:spPr bwMode="auto">
        <a:xfrm>
          <a:off x="10368915" y="9777730"/>
          <a:ext cx="613015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82AF9387-1BD5-412C-B5AB-CE5F85BF858E}"/>
            </a:ext>
          </a:extLst>
        </xdr:cNvPr>
        <xdr:cNvSpPr txBox="1">
          <a:spLocks noChangeArrowheads="1"/>
        </xdr:cNvSpPr>
      </xdr:nvSpPr>
      <xdr:spPr bwMode="auto">
        <a:xfrm>
          <a:off x="10370820" y="9604375"/>
          <a:ext cx="869406" cy="256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2406444F-0F35-4F25-A125-0B2AC756A9F2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5980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1256237B-0277-4A12-B35E-4DEB0D225174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6001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E1EFE4D6-9F69-48D4-8C78-BA3BEE89FAC2}"/>
            </a:ext>
          </a:extLst>
        </xdr:cNvPr>
        <xdr:cNvSpPr>
          <a:spLocks noChangeShapeType="1"/>
        </xdr:cNvSpPr>
      </xdr:nvSpPr>
      <xdr:spPr bwMode="auto">
        <a:xfrm>
          <a:off x="13039725" y="9953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CA7ECCC9-1473-49FD-8BC1-EE62001262AE}"/>
            </a:ext>
          </a:extLst>
        </xdr:cNvPr>
        <xdr:cNvSpPr>
          <a:spLocks noChangeShapeType="1"/>
        </xdr:cNvSpPr>
      </xdr:nvSpPr>
      <xdr:spPr bwMode="auto">
        <a:xfrm>
          <a:off x="13039725" y="9944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6E49F684-EA80-4FE3-8925-F6E1FAEEA777}"/>
            </a:ext>
          </a:extLst>
        </xdr:cNvPr>
        <xdr:cNvSpPr>
          <a:spLocks noChangeShapeType="1"/>
        </xdr:cNvSpPr>
      </xdr:nvSpPr>
      <xdr:spPr bwMode="auto">
        <a:xfrm>
          <a:off x="6915150" y="11249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AE955B7C-5466-4E42-8D0D-BF3F250C4E9B}"/>
            </a:ext>
          </a:extLst>
        </xdr:cNvPr>
        <xdr:cNvSpPr>
          <a:spLocks noChangeShapeType="1"/>
        </xdr:cNvSpPr>
      </xdr:nvSpPr>
      <xdr:spPr bwMode="auto">
        <a:xfrm>
          <a:off x="6915150" y="114395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26" name="Text Box 28">
          <a:extLst>
            <a:ext uri="{FF2B5EF4-FFF2-40B4-BE49-F238E27FC236}">
              <a16:creationId xmlns:a16="http://schemas.microsoft.com/office/drawing/2014/main" id="{5AE5E361-1862-4D61-B003-7E64810C2001}"/>
            </a:ext>
          </a:extLst>
        </xdr:cNvPr>
        <xdr:cNvSpPr txBox="1">
          <a:spLocks noChangeArrowheads="1"/>
        </xdr:cNvSpPr>
      </xdr:nvSpPr>
      <xdr:spPr bwMode="auto">
        <a:xfrm>
          <a:off x="6972300" y="8158480"/>
          <a:ext cx="856342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D02CAF84-AB6B-4A2B-AF7C-E541280393AD}"/>
            </a:ext>
          </a:extLst>
        </xdr:cNvPr>
        <xdr:cNvSpPr txBox="1">
          <a:spLocks noChangeArrowheads="1"/>
        </xdr:cNvSpPr>
      </xdr:nvSpPr>
      <xdr:spPr bwMode="auto">
        <a:xfrm>
          <a:off x="7116445" y="7491730"/>
          <a:ext cx="819795" cy="28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51B97C9D-8EE7-45E8-8FA1-44A0B5034D1A}"/>
            </a:ext>
          </a:extLst>
        </xdr:cNvPr>
        <xdr:cNvSpPr txBox="1">
          <a:spLocks noChangeArrowheads="1"/>
        </xdr:cNvSpPr>
      </xdr:nvSpPr>
      <xdr:spPr bwMode="auto">
        <a:xfrm>
          <a:off x="7611745" y="7005955"/>
          <a:ext cx="855792" cy="282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19F72E1F-64E6-4195-9DFF-86AB6CD9081A}"/>
            </a:ext>
          </a:extLst>
        </xdr:cNvPr>
        <xdr:cNvSpPr txBox="1">
          <a:spLocks noChangeArrowheads="1"/>
        </xdr:cNvSpPr>
      </xdr:nvSpPr>
      <xdr:spPr bwMode="auto">
        <a:xfrm>
          <a:off x="8869045" y="7148830"/>
          <a:ext cx="1160689" cy="231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30" name="Text Box 32">
          <a:extLst>
            <a:ext uri="{FF2B5EF4-FFF2-40B4-BE49-F238E27FC236}">
              <a16:creationId xmlns:a16="http://schemas.microsoft.com/office/drawing/2014/main" id="{D449F7A0-DCD6-4821-8F3E-244C7481B7F4}"/>
            </a:ext>
          </a:extLst>
        </xdr:cNvPr>
        <xdr:cNvSpPr txBox="1">
          <a:spLocks noChangeArrowheads="1"/>
        </xdr:cNvSpPr>
      </xdr:nvSpPr>
      <xdr:spPr bwMode="auto">
        <a:xfrm>
          <a:off x="10362565" y="9307830"/>
          <a:ext cx="589977" cy="251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31" name="Text Box 33">
          <a:extLst>
            <a:ext uri="{FF2B5EF4-FFF2-40B4-BE49-F238E27FC236}">
              <a16:creationId xmlns:a16="http://schemas.microsoft.com/office/drawing/2014/main" id="{3C0CE4AE-23AD-4994-9FEE-6DB4AA527EE7}"/>
            </a:ext>
          </a:extLst>
        </xdr:cNvPr>
        <xdr:cNvSpPr txBox="1">
          <a:spLocks noChangeArrowheads="1"/>
        </xdr:cNvSpPr>
      </xdr:nvSpPr>
      <xdr:spPr bwMode="auto">
        <a:xfrm>
          <a:off x="10368915" y="9067800"/>
          <a:ext cx="598005" cy="25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BD25562D-9BDB-4F21-B8F1-F57EDC3882E6}"/>
            </a:ext>
          </a:extLst>
        </xdr:cNvPr>
        <xdr:cNvSpPr txBox="1">
          <a:spLocks noChangeArrowheads="1"/>
        </xdr:cNvSpPr>
      </xdr:nvSpPr>
      <xdr:spPr bwMode="auto">
        <a:xfrm>
          <a:off x="9963150" y="21859875"/>
          <a:ext cx="0" cy="37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3" name="Line 43">
          <a:extLst>
            <a:ext uri="{FF2B5EF4-FFF2-40B4-BE49-F238E27FC236}">
              <a16:creationId xmlns:a16="http://schemas.microsoft.com/office/drawing/2014/main" id="{041744B1-E693-468F-87F0-4134FDD8F711}"/>
            </a:ext>
          </a:extLst>
        </xdr:cNvPr>
        <xdr:cNvSpPr>
          <a:spLocks noChangeShapeType="1"/>
        </xdr:cNvSpPr>
      </xdr:nvSpPr>
      <xdr:spPr bwMode="auto">
        <a:xfrm>
          <a:off x="9334500" y="1032510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4" name="Line 44">
          <a:extLst>
            <a:ext uri="{FF2B5EF4-FFF2-40B4-BE49-F238E27FC236}">
              <a16:creationId xmlns:a16="http://schemas.microsoft.com/office/drawing/2014/main" id="{FF0C9B6B-BF68-4FFC-91A7-3F5D104F16E4}"/>
            </a:ext>
          </a:extLst>
        </xdr:cNvPr>
        <xdr:cNvSpPr>
          <a:spLocks noChangeShapeType="1"/>
        </xdr:cNvSpPr>
      </xdr:nvSpPr>
      <xdr:spPr bwMode="auto">
        <a:xfrm>
          <a:off x="9505950" y="100869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5" name="Line 45">
          <a:extLst>
            <a:ext uri="{FF2B5EF4-FFF2-40B4-BE49-F238E27FC236}">
              <a16:creationId xmlns:a16="http://schemas.microsoft.com/office/drawing/2014/main" id="{041D9B7F-2DDB-4F42-AD1F-5C05B074EF3F}"/>
            </a:ext>
          </a:extLst>
        </xdr:cNvPr>
        <xdr:cNvSpPr>
          <a:spLocks noChangeShapeType="1"/>
        </xdr:cNvSpPr>
      </xdr:nvSpPr>
      <xdr:spPr bwMode="auto">
        <a:xfrm>
          <a:off x="9505950" y="987742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9925744F-3546-4317-8BE5-FDEAFC79B11A}"/>
            </a:ext>
          </a:extLst>
        </xdr:cNvPr>
        <xdr:cNvSpPr>
          <a:spLocks noChangeShapeType="1"/>
        </xdr:cNvSpPr>
      </xdr:nvSpPr>
      <xdr:spPr bwMode="auto">
        <a:xfrm>
          <a:off x="9525000" y="965835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7" name="Line 47">
          <a:extLst>
            <a:ext uri="{FF2B5EF4-FFF2-40B4-BE49-F238E27FC236}">
              <a16:creationId xmlns:a16="http://schemas.microsoft.com/office/drawing/2014/main" id="{2335BF52-123C-4C7E-8F5D-B70D555EB14A}"/>
            </a:ext>
          </a:extLst>
        </xdr:cNvPr>
        <xdr:cNvSpPr>
          <a:spLocks noChangeShapeType="1"/>
        </xdr:cNvSpPr>
      </xdr:nvSpPr>
      <xdr:spPr bwMode="auto">
        <a:xfrm>
          <a:off x="9563100" y="94011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8" name="Line 48">
          <a:extLst>
            <a:ext uri="{FF2B5EF4-FFF2-40B4-BE49-F238E27FC236}">
              <a16:creationId xmlns:a16="http://schemas.microsoft.com/office/drawing/2014/main" id="{EDEA9C7D-BF02-450D-BDC7-9A933C0E847D}"/>
            </a:ext>
          </a:extLst>
        </xdr:cNvPr>
        <xdr:cNvSpPr>
          <a:spLocks noChangeShapeType="1"/>
        </xdr:cNvSpPr>
      </xdr:nvSpPr>
      <xdr:spPr bwMode="auto">
        <a:xfrm>
          <a:off x="9610725" y="91535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9" name="Text Box 52">
          <a:extLst>
            <a:ext uri="{FF2B5EF4-FFF2-40B4-BE49-F238E27FC236}">
              <a16:creationId xmlns:a16="http://schemas.microsoft.com/office/drawing/2014/main" id="{BE7EE2B5-BD0B-4049-AC5D-E5CD7645AB7D}"/>
            </a:ext>
          </a:extLst>
        </xdr:cNvPr>
        <xdr:cNvSpPr txBox="1">
          <a:spLocks noChangeArrowheads="1"/>
        </xdr:cNvSpPr>
      </xdr:nvSpPr>
      <xdr:spPr bwMode="auto">
        <a:xfrm>
          <a:off x="8096250" y="100679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9B7C004C-50BD-43F8-B0A5-E35BB1B780F8}"/>
            </a:ext>
          </a:extLst>
        </xdr:cNvPr>
        <xdr:cNvSpPr txBox="1">
          <a:spLocks noChangeArrowheads="1"/>
        </xdr:cNvSpPr>
      </xdr:nvSpPr>
      <xdr:spPr bwMode="auto">
        <a:xfrm>
          <a:off x="7600950" y="10125075"/>
          <a:ext cx="1905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14615F26-FCF8-4D9E-AE46-CDE0758604A0}"/>
            </a:ext>
          </a:extLst>
        </xdr:cNvPr>
        <xdr:cNvSpPr txBox="1">
          <a:spLocks noChangeArrowheads="1"/>
        </xdr:cNvSpPr>
      </xdr:nvSpPr>
      <xdr:spPr bwMode="auto">
        <a:xfrm>
          <a:off x="8324850" y="4829175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168587</xdr:colOff>
      <xdr:row>13</xdr:row>
      <xdr:rowOff>4008</xdr:rowOff>
    </xdr:from>
    <xdr:to>
      <xdr:col>18</xdr:col>
      <xdr:colOff>483985</xdr:colOff>
      <xdr:row>14</xdr:row>
      <xdr:rowOff>137095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1B08538-C774-49EF-AB12-10C0F3EA69F3}"/>
            </a:ext>
          </a:extLst>
        </xdr:cNvPr>
        <xdr:cNvSpPr txBox="1"/>
      </xdr:nvSpPr>
      <xdr:spPr>
        <a:xfrm>
          <a:off x="10134458" y="2126722"/>
          <a:ext cx="1534598" cy="2963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3.81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87836</xdr:colOff>
      <xdr:row>15</xdr:row>
      <xdr:rowOff>35602</xdr:rowOff>
    </xdr:from>
    <xdr:to>
      <xdr:col>19</xdr:col>
      <xdr:colOff>13517</xdr:colOff>
      <xdr:row>17</xdr:row>
      <xdr:rowOff>13549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7EA49F5-6499-46D0-B9CB-9241443A0A14}"/>
            </a:ext>
          </a:extLst>
        </xdr:cNvPr>
        <xdr:cNvSpPr txBox="1"/>
      </xdr:nvSpPr>
      <xdr:spPr>
        <a:xfrm>
          <a:off x="10663307" y="2484888"/>
          <a:ext cx="1155767" cy="304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5CF6ACC1-E7F7-4C89-AA9F-0FDBCF12FA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7C82CEA-E94A-4BE2-B112-CB711071E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869A79E2-8D33-45DC-8F29-7B8C3052449D}"/>
            </a:ext>
          </a:extLst>
        </xdr:cNvPr>
        <xdr:cNvSpPr txBox="1">
          <a:spLocks noChangeArrowheads="1"/>
        </xdr:cNvSpPr>
      </xdr:nvSpPr>
      <xdr:spPr bwMode="auto">
        <a:xfrm>
          <a:off x="7003660" y="2741686"/>
          <a:ext cx="753488" cy="39760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41BD6211-64EC-4A69-A781-22A90DEA16C2}"/>
            </a:ext>
          </a:extLst>
        </xdr:cNvPr>
        <xdr:cNvSpPr txBox="1">
          <a:spLocks noChangeArrowheads="1"/>
        </xdr:cNvSpPr>
      </xdr:nvSpPr>
      <xdr:spPr bwMode="auto">
        <a:xfrm>
          <a:off x="7209508" y="2398512"/>
          <a:ext cx="914055" cy="24861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B71280-1E1F-43AA-AA37-6750D9091F8E}"/>
            </a:ext>
          </a:extLst>
        </xdr:cNvPr>
        <xdr:cNvSpPr txBox="1">
          <a:spLocks noChangeArrowheads="1"/>
        </xdr:cNvSpPr>
      </xdr:nvSpPr>
      <xdr:spPr bwMode="auto">
        <a:xfrm>
          <a:off x="7243030" y="1989212"/>
          <a:ext cx="913301" cy="2550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8BABD575-3943-45BC-A5F4-B26B3D7D1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AB5135E5-1C78-402C-B6D7-289E83EDCAFC}"/>
            </a:ext>
          </a:extLst>
        </xdr:cNvPr>
        <xdr:cNvSpPr txBox="1">
          <a:spLocks noChangeArrowheads="1"/>
        </xdr:cNvSpPr>
      </xdr:nvSpPr>
      <xdr:spPr bwMode="auto">
        <a:xfrm>
          <a:off x="6972300" y="5829300"/>
          <a:ext cx="85634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D182A5A2-7E3F-4391-90A4-EC0F98AA2355}"/>
            </a:ext>
          </a:extLst>
        </xdr:cNvPr>
        <xdr:cNvSpPr txBox="1">
          <a:spLocks noChangeArrowheads="1"/>
        </xdr:cNvSpPr>
      </xdr:nvSpPr>
      <xdr:spPr bwMode="auto">
        <a:xfrm>
          <a:off x="7211695" y="5829300"/>
          <a:ext cx="71965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9FFF7151-D24C-4EF3-AFD2-E7A981911CAC}"/>
            </a:ext>
          </a:extLst>
        </xdr:cNvPr>
        <xdr:cNvSpPr txBox="1">
          <a:spLocks noChangeArrowheads="1"/>
        </xdr:cNvSpPr>
      </xdr:nvSpPr>
      <xdr:spPr bwMode="auto">
        <a:xfrm>
          <a:off x="7611745" y="5829300"/>
          <a:ext cx="85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B3FB7501-A757-46DB-86B5-F52F1C869DB2}"/>
            </a:ext>
          </a:extLst>
        </xdr:cNvPr>
        <xdr:cNvSpPr txBox="1">
          <a:spLocks noChangeArrowheads="1"/>
        </xdr:cNvSpPr>
      </xdr:nvSpPr>
      <xdr:spPr bwMode="auto">
        <a:xfrm>
          <a:off x="8756650" y="5829300"/>
          <a:ext cx="100441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13</xdr:col>
      <xdr:colOff>391887</xdr:colOff>
      <xdr:row>9</xdr:row>
      <xdr:rowOff>138577</xdr:rowOff>
    </xdr:from>
    <xdr:to>
      <xdr:col>13</xdr:col>
      <xdr:colOff>584769</xdr:colOff>
      <xdr:row>13</xdr:row>
      <xdr:rowOff>34638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CF139E05-9334-4F5E-97E7-FCA4707DEA40}"/>
            </a:ext>
          </a:extLst>
        </xdr:cNvPr>
        <xdr:cNvSpPr txBox="1">
          <a:spLocks noChangeArrowheads="1"/>
        </xdr:cNvSpPr>
      </xdr:nvSpPr>
      <xdr:spPr bwMode="auto">
        <a:xfrm flipV="1">
          <a:off x="8518536" y="1597726"/>
          <a:ext cx="192882" cy="54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1440 rpm</a:t>
          </a:r>
        </a:p>
      </xdr:txBody>
    </xdr:sp>
    <xdr:clientData/>
  </xdr:twoCellAnchor>
  <xdr:twoCellAnchor>
    <xdr:from>
      <xdr:col>13</xdr:col>
      <xdr:colOff>557533</xdr:colOff>
      <xdr:row>9</xdr:row>
      <xdr:rowOff>140607</xdr:rowOff>
    </xdr:from>
    <xdr:to>
      <xdr:col>14</xdr:col>
      <xdr:colOff>127110</xdr:colOff>
      <xdr:row>13</xdr:row>
      <xdr:rowOff>12265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B947B080-B77B-497A-A7BD-57007C6DB512}"/>
            </a:ext>
          </a:extLst>
        </xdr:cNvPr>
        <xdr:cNvSpPr txBox="1">
          <a:spLocks noChangeArrowheads="1"/>
        </xdr:cNvSpPr>
      </xdr:nvSpPr>
      <xdr:spPr bwMode="auto">
        <a:xfrm flipV="1">
          <a:off x="8684182" y="1599756"/>
          <a:ext cx="177556" cy="5201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1800 rpm</a:t>
          </a:r>
        </a:p>
      </xdr:txBody>
    </xdr:sp>
    <xdr:clientData/>
  </xdr:twoCellAnchor>
  <xdr:twoCellAnchor>
    <xdr:from>
      <xdr:col>14</xdr:col>
      <xdr:colOff>214881</xdr:colOff>
      <xdr:row>9</xdr:row>
      <xdr:rowOff>131457</xdr:rowOff>
    </xdr:from>
    <xdr:to>
      <xdr:col>14</xdr:col>
      <xdr:colOff>409396</xdr:colOff>
      <xdr:row>12</xdr:row>
      <xdr:rowOff>155521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EEF9113D-0C4B-47BE-A8F9-472E935CFB7D}"/>
            </a:ext>
          </a:extLst>
        </xdr:cNvPr>
        <xdr:cNvSpPr txBox="1">
          <a:spLocks noChangeArrowheads="1"/>
        </xdr:cNvSpPr>
      </xdr:nvSpPr>
      <xdr:spPr bwMode="auto">
        <a:xfrm flipH="1" flipV="1">
          <a:off x="8949509" y="1590606"/>
          <a:ext cx="194515" cy="5104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2160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D51DE31F-B0D1-4D37-A589-B6E5182370C7}"/>
            </a:ext>
          </a:extLst>
        </xdr:cNvPr>
        <xdr:cNvSpPr txBox="1">
          <a:spLocks noChangeArrowheads="1"/>
        </xdr:cNvSpPr>
      </xdr:nvSpPr>
      <xdr:spPr bwMode="auto">
        <a:xfrm>
          <a:off x="7402746" y="1567546"/>
          <a:ext cx="935782" cy="2859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7BD8BE08-5389-44B9-8B6B-4E52F9164697}"/>
            </a:ext>
          </a:extLst>
        </xdr:cNvPr>
        <xdr:cNvSpPr txBox="1">
          <a:spLocks noChangeArrowheads="1"/>
        </xdr:cNvSpPr>
      </xdr:nvSpPr>
      <xdr:spPr bwMode="auto">
        <a:xfrm>
          <a:off x="10362565" y="10239375"/>
          <a:ext cx="1225777" cy="224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14E129A9-F52C-455D-A372-F452F252EC09}"/>
            </a:ext>
          </a:extLst>
        </xdr:cNvPr>
        <xdr:cNvSpPr txBox="1">
          <a:spLocks noChangeArrowheads="1"/>
        </xdr:cNvSpPr>
      </xdr:nvSpPr>
      <xdr:spPr bwMode="auto">
        <a:xfrm>
          <a:off x="10370820" y="9976485"/>
          <a:ext cx="1220337" cy="275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90B9A6F6-A3A2-4224-8AFE-63262724C7C3}"/>
            </a:ext>
          </a:extLst>
        </xdr:cNvPr>
        <xdr:cNvSpPr txBox="1">
          <a:spLocks noChangeArrowheads="1"/>
        </xdr:cNvSpPr>
      </xdr:nvSpPr>
      <xdr:spPr bwMode="auto">
        <a:xfrm>
          <a:off x="10368915" y="9777730"/>
          <a:ext cx="613015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CD9F560B-7795-40FE-87A0-7262755F45BA}"/>
            </a:ext>
          </a:extLst>
        </xdr:cNvPr>
        <xdr:cNvSpPr txBox="1">
          <a:spLocks noChangeArrowheads="1"/>
        </xdr:cNvSpPr>
      </xdr:nvSpPr>
      <xdr:spPr bwMode="auto">
        <a:xfrm>
          <a:off x="10370820" y="9604375"/>
          <a:ext cx="869406" cy="256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DFE77F82-1C19-4E34-B556-D562028C1D11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5980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EB1E6F59-088C-4687-8320-654FDB534887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6001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658185B5-43E0-4003-A938-86C8FF246F0B}"/>
            </a:ext>
          </a:extLst>
        </xdr:cNvPr>
        <xdr:cNvSpPr>
          <a:spLocks noChangeShapeType="1"/>
        </xdr:cNvSpPr>
      </xdr:nvSpPr>
      <xdr:spPr bwMode="auto">
        <a:xfrm>
          <a:off x="13039725" y="9953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E56CA27C-0D4A-4A9D-8C42-B0719E89A3BC}"/>
            </a:ext>
          </a:extLst>
        </xdr:cNvPr>
        <xdr:cNvSpPr>
          <a:spLocks noChangeShapeType="1"/>
        </xdr:cNvSpPr>
      </xdr:nvSpPr>
      <xdr:spPr bwMode="auto">
        <a:xfrm>
          <a:off x="13039725" y="9944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179F3E65-C46E-4E3A-995D-02D2A7F20650}"/>
            </a:ext>
          </a:extLst>
        </xdr:cNvPr>
        <xdr:cNvSpPr>
          <a:spLocks noChangeShapeType="1"/>
        </xdr:cNvSpPr>
      </xdr:nvSpPr>
      <xdr:spPr bwMode="auto">
        <a:xfrm>
          <a:off x="6915150" y="11249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FB5E4B4B-B69B-4955-90D8-EEB68A404C03}"/>
            </a:ext>
          </a:extLst>
        </xdr:cNvPr>
        <xdr:cNvSpPr>
          <a:spLocks noChangeShapeType="1"/>
        </xdr:cNvSpPr>
      </xdr:nvSpPr>
      <xdr:spPr bwMode="auto">
        <a:xfrm>
          <a:off x="6915150" y="114395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26" name="Text Box 28">
          <a:extLst>
            <a:ext uri="{FF2B5EF4-FFF2-40B4-BE49-F238E27FC236}">
              <a16:creationId xmlns:a16="http://schemas.microsoft.com/office/drawing/2014/main" id="{BA2B5D09-5A5A-41F3-B29D-0A25C7D4699E}"/>
            </a:ext>
          </a:extLst>
        </xdr:cNvPr>
        <xdr:cNvSpPr txBox="1">
          <a:spLocks noChangeArrowheads="1"/>
        </xdr:cNvSpPr>
      </xdr:nvSpPr>
      <xdr:spPr bwMode="auto">
        <a:xfrm>
          <a:off x="6972300" y="8158480"/>
          <a:ext cx="856342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FF7DE121-A865-4713-9FA8-89DBD9A74852}"/>
            </a:ext>
          </a:extLst>
        </xdr:cNvPr>
        <xdr:cNvSpPr txBox="1">
          <a:spLocks noChangeArrowheads="1"/>
        </xdr:cNvSpPr>
      </xdr:nvSpPr>
      <xdr:spPr bwMode="auto">
        <a:xfrm>
          <a:off x="7116445" y="7491730"/>
          <a:ext cx="819795" cy="28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4B888EE5-5EA7-443E-9458-580E753DBBD4}"/>
            </a:ext>
          </a:extLst>
        </xdr:cNvPr>
        <xdr:cNvSpPr txBox="1">
          <a:spLocks noChangeArrowheads="1"/>
        </xdr:cNvSpPr>
      </xdr:nvSpPr>
      <xdr:spPr bwMode="auto">
        <a:xfrm>
          <a:off x="7611745" y="7005955"/>
          <a:ext cx="855792" cy="282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128B388C-A4EE-465F-B0A2-AC9222254845}"/>
            </a:ext>
          </a:extLst>
        </xdr:cNvPr>
        <xdr:cNvSpPr txBox="1">
          <a:spLocks noChangeArrowheads="1"/>
        </xdr:cNvSpPr>
      </xdr:nvSpPr>
      <xdr:spPr bwMode="auto">
        <a:xfrm>
          <a:off x="8869045" y="7148830"/>
          <a:ext cx="1160689" cy="231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30" name="Text Box 32">
          <a:extLst>
            <a:ext uri="{FF2B5EF4-FFF2-40B4-BE49-F238E27FC236}">
              <a16:creationId xmlns:a16="http://schemas.microsoft.com/office/drawing/2014/main" id="{D6F61663-0C26-4197-9E96-867EE92B2A38}"/>
            </a:ext>
          </a:extLst>
        </xdr:cNvPr>
        <xdr:cNvSpPr txBox="1">
          <a:spLocks noChangeArrowheads="1"/>
        </xdr:cNvSpPr>
      </xdr:nvSpPr>
      <xdr:spPr bwMode="auto">
        <a:xfrm>
          <a:off x="10362565" y="9307830"/>
          <a:ext cx="589977" cy="251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31" name="Text Box 33">
          <a:extLst>
            <a:ext uri="{FF2B5EF4-FFF2-40B4-BE49-F238E27FC236}">
              <a16:creationId xmlns:a16="http://schemas.microsoft.com/office/drawing/2014/main" id="{B0ADF401-2A7B-4721-8FCA-748753E495E3}"/>
            </a:ext>
          </a:extLst>
        </xdr:cNvPr>
        <xdr:cNvSpPr txBox="1">
          <a:spLocks noChangeArrowheads="1"/>
        </xdr:cNvSpPr>
      </xdr:nvSpPr>
      <xdr:spPr bwMode="auto">
        <a:xfrm>
          <a:off x="10368915" y="9067800"/>
          <a:ext cx="598005" cy="25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21BC0A7B-C070-4AC7-AA95-4BBA480A17F0}"/>
            </a:ext>
          </a:extLst>
        </xdr:cNvPr>
        <xdr:cNvSpPr txBox="1">
          <a:spLocks noChangeArrowheads="1"/>
        </xdr:cNvSpPr>
      </xdr:nvSpPr>
      <xdr:spPr bwMode="auto">
        <a:xfrm>
          <a:off x="9963150" y="21859875"/>
          <a:ext cx="0" cy="37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3" name="Line 43">
          <a:extLst>
            <a:ext uri="{FF2B5EF4-FFF2-40B4-BE49-F238E27FC236}">
              <a16:creationId xmlns:a16="http://schemas.microsoft.com/office/drawing/2014/main" id="{4B3CF37A-6DFF-4608-8E74-C9D4C280625C}"/>
            </a:ext>
          </a:extLst>
        </xdr:cNvPr>
        <xdr:cNvSpPr>
          <a:spLocks noChangeShapeType="1"/>
        </xdr:cNvSpPr>
      </xdr:nvSpPr>
      <xdr:spPr bwMode="auto">
        <a:xfrm>
          <a:off x="9334500" y="1032510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4" name="Line 44">
          <a:extLst>
            <a:ext uri="{FF2B5EF4-FFF2-40B4-BE49-F238E27FC236}">
              <a16:creationId xmlns:a16="http://schemas.microsoft.com/office/drawing/2014/main" id="{5A89B159-CDAD-4C12-854F-8A2E3DD2F15C}"/>
            </a:ext>
          </a:extLst>
        </xdr:cNvPr>
        <xdr:cNvSpPr>
          <a:spLocks noChangeShapeType="1"/>
        </xdr:cNvSpPr>
      </xdr:nvSpPr>
      <xdr:spPr bwMode="auto">
        <a:xfrm>
          <a:off x="9505950" y="100869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5" name="Line 45">
          <a:extLst>
            <a:ext uri="{FF2B5EF4-FFF2-40B4-BE49-F238E27FC236}">
              <a16:creationId xmlns:a16="http://schemas.microsoft.com/office/drawing/2014/main" id="{8E86DFD3-9376-4D5B-8B21-2C6BB96374A7}"/>
            </a:ext>
          </a:extLst>
        </xdr:cNvPr>
        <xdr:cNvSpPr>
          <a:spLocks noChangeShapeType="1"/>
        </xdr:cNvSpPr>
      </xdr:nvSpPr>
      <xdr:spPr bwMode="auto">
        <a:xfrm>
          <a:off x="9505950" y="987742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3A8F4AC3-DC10-4AD8-A9F6-DA86D9F331D1}"/>
            </a:ext>
          </a:extLst>
        </xdr:cNvPr>
        <xdr:cNvSpPr>
          <a:spLocks noChangeShapeType="1"/>
        </xdr:cNvSpPr>
      </xdr:nvSpPr>
      <xdr:spPr bwMode="auto">
        <a:xfrm>
          <a:off x="9525000" y="965835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7" name="Line 47">
          <a:extLst>
            <a:ext uri="{FF2B5EF4-FFF2-40B4-BE49-F238E27FC236}">
              <a16:creationId xmlns:a16="http://schemas.microsoft.com/office/drawing/2014/main" id="{C904C2A9-5359-47F8-A8F4-FCC8445B34B5}"/>
            </a:ext>
          </a:extLst>
        </xdr:cNvPr>
        <xdr:cNvSpPr>
          <a:spLocks noChangeShapeType="1"/>
        </xdr:cNvSpPr>
      </xdr:nvSpPr>
      <xdr:spPr bwMode="auto">
        <a:xfrm>
          <a:off x="9563100" y="94011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8" name="Line 48">
          <a:extLst>
            <a:ext uri="{FF2B5EF4-FFF2-40B4-BE49-F238E27FC236}">
              <a16:creationId xmlns:a16="http://schemas.microsoft.com/office/drawing/2014/main" id="{BA97D9A4-50AF-4EF9-9EA4-AAA0E59DE3EE}"/>
            </a:ext>
          </a:extLst>
        </xdr:cNvPr>
        <xdr:cNvSpPr>
          <a:spLocks noChangeShapeType="1"/>
        </xdr:cNvSpPr>
      </xdr:nvSpPr>
      <xdr:spPr bwMode="auto">
        <a:xfrm>
          <a:off x="9610725" y="91535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9" name="Text Box 52">
          <a:extLst>
            <a:ext uri="{FF2B5EF4-FFF2-40B4-BE49-F238E27FC236}">
              <a16:creationId xmlns:a16="http://schemas.microsoft.com/office/drawing/2014/main" id="{8E4010A1-B839-4709-A1E9-9D706339A37F}"/>
            </a:ext>
          </a:extLst>
        </xdr:cNvPr>
        <xdr:cNvSpPr txBox="1">
          <a:spLocks noChangeArrowheads="1"/>
        </xdr:cNvSpPr>
      </xdr:nvSpPr>
      <xdr:spPr bwMode="auto">
        <a:xfrm>
          <a:off x="8096250" y="100679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53F33A30-A78D-4974-828A-3C9A01D1BE69}"/>
            </a:ext>
          </a:extLst>
        </xdr:cNvPr>
        <xdr:cNvSpPr txBox="1">
          <a:spLocks noChangeArrowheads="1"/>
        </xdr:cNvSpPr>
      </xdr:nvSpPr>
      <xdr:spPr bwMode="auto">
        <a:xfrm>
          <a:off x="7600950" y="10125075"/>
          <a:ext cx="1905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950977F0-B9AD-414B-BCA9-C2551FD576BD}"/>
            </a:ext>
          </a:extLst>
        </xdr:cNvPr>
        <xdr:cNvSpPr txBox="1">
          <a:spLocks noChangeArrowheads="1"/>
        </xdr:cNvSpPr>
      </xdr:nvSpPr>
      <xdr:spPr bwMode="auto">
        <a:xfrm>
          <a:off x="8324850" y="4829175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168818</xdr:colOff>
      <xdr:row>12</xdr:row>
      <xdr:rowOff>158029</xdr:rowOff>
    </xdr:from>
    <xdr:to>
      <xdr:col>18</xdr:col>
      <xdr:colOff>484216</xdr:colOff>
      <xdr:row>14</xdr:row>
      <xdr:rowOff>128989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2F00952-C774-4FAF-BF41-826B7FEF799C}"/>
            </a:ext>
          </a:extLst>
        </xdr:cNvPr>
        <xdr:cNvSpPr txBox="1"/>
      </xdr:nvSpPr>
      <xdr:spPr>
        <a:xfrm>
          <a:off x="10119403" y="2103561"/>
          <a:ext cx="1531356" cy="295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3.81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108280</xdr:colOff>
      <xdr:row>15</xdr:row>
      <xdr:rowOff>41856</xdr:rowOff>
    </xdr:from>
    <xdr:to>
      <xdr:col>19</xdr:col>
      <xdr:colOff>33961</xdr:colOff>
      <xdr:row>17</xdr:row>
      <xdr:rowOff>19802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4DABCB1-534F-4597-AD4C-43DDE08673EA}"/>
            </a:ext>
          </a:extLst>
        </xdr:cNvPr>
        <xdr:cNvSpPr txBox="1"/>
      </xdr:nvSpPr>
      <xdr:spPr>
        <a:xfrm>
          <a:off x="10666844" y="2473771"/>
          <a:ext cx="1153798" cy="302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FDB76-982C-45FC-B385-16768B6AEB5E}">
  <sheetPr codeName="Sheet2"/>
  <dimension ref="A1:M41"/>
  <sheetViews>
    <sheetView showGridLines="0" topLeftCell="A10" zoomScale="115" zoomScaleNormal="115" workbookViewId="0">
      <selection activeCell="H26" sqref="H26"/>
    </sheetView>
  </sheetViews>
  <sheetFormatPr defaultRowHeight="12.75" x14ac:dyDescent="0.2"/>
  <cols>
    <col min="2" max="3" width="9.5703125" bestFit="1" customWidth="1"/>
    <col min="5" max="5" width="9.5703125" bestFit="1" customWidth="1"/>
    <col min="8" max="8" width="10.5703125" customWidth="1"/>
    <col min="11" max="11" width="9.28515625" bestFit="1" customWidth="1"/>
  </cols>
  <sheetData>
    <row r="1" spans="1:13" x14ac:dyDescent="0.2">
      <c r="A1" s="10" t="s">
        <v>3</v>
      </c>
      <c r="B1" s="10"/>
      <c r="C1" s="10"/>
      <c r="D1" s="10"/>
      <c r="E1" s="10"/>
      <c r="F1" s="10"/>
      <c r="G1" s="11" t="s">
        <v>6</v>
      </c>
      <c r="H1" s="10"/>
      <c r="I1" s="10"/>
      <c r="J1" s="10"/>
      <c r="K1" s="10"/>
      <c r="L1" s="10"/>
      <c r="M1" s="10"/>
    </row>
    <row r="2" spans="1:13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2">
      <c r="A3" s="12" t="s">
        <v>4</v>
      </c>
      <c r="B3" s="13" t="s">
        <v>5</v>
      </c>
      <c r="C3" s="13"/>
      <c r="D3" s="13"/>
      <c r="E3" s="10"/>
      <c r="F3" s="10"/>
      <c r="G3" s="10" t="s">
        <v>4</v>
      </c>
      <c r="H3" s="10"/>
      <c r="I3" s="10"/>
      <c r="J3" s="10"/>
      <c r="K3" s="10" t="s">
        <v>5</v>
      </c>
      <c r="L3" s="10"/>
      <c r="M3" s="10"/>
    </row>
    <row r="4" spans="1:13" x14ac:dyDescent="0.2">
      <c r="A4" s="3">
        <v>100</v>
      </c>
      <c r="B4" s="3">
        <v>9.2999999999999992E-3</v>
      </c>
      <c r="C4" s="3">
        <v>3.3E-3</v>
      </c>
      <c r="D4" s="3">
        <v>1.1999999999999999E-3</v>
      </c>
      <c r="E4" s="10"/>
      <c r="F4" s="10"/>
      <c r="G4" s="19">
        <f>0.8*H4</f>
        <v>1440</v>
      </c>
      <c r="H4" s="7">
        <v>1800</v>
      </c>
      <c r="I4" s="19">
        <f>1.2*H4</f>
        <v>2160</v>
      </c>
      <c r="J4" s="7"/>
      <c r="K4" s="7">
        <v>1.0000000000000001E-9</v>
      </c>
      <c r="L4" s="10"/>
      <c r="M4" s="10"/>
    </row>
    <row r="5" spans="1:13" x14ac:dyDescent="0.2">
      <c r="A5" s="3">
        <v>10000</v>
      </c>
      <c r="B5" s="3">
        <v>1E-4</v>
      </c>
      <c r="C5" s="3">
        <v>3.3000000000000003E-5</v>
      </c>
      <c r="D5" s="3">
        <v>1.0000000000000001E-5</v>
      </c>
      <c r="E5" s="10"/>
      <c r="F5" s="10"/>
      <c r="G5" s="19">
        <f>0.8*H5</f>
        <v>1440</v>
      </c>
      <c r="H5" s="7">
        <v>1800</v>
      </c>
      <c r="I5" s="19">
        <f>1.2*H5</f>
        <v>2160</v>
      </c>
      <c r="J5" s="7"/>
      <c r="K5" s="7">
        <v>0.01</v>
      </c>
      <c r="L5" s="10"/>
      <c r="M5" s="10"/>
    </row>
    <row r="6" spans="1:13" x14ac:dyDescent="0.2">
      <c r="A6" s="3">
        <v>100000</v>
      </c>
      <c r="B6" s="3">
        <v>1.1E-5</v>
      </c>
      <c r="C6" s="3">
        <v>3.3299999999999999E-6</v>
      </c>
      <c r="D6" s="3">
        <v>8.9999999999999996E-7</v>
      </c>
      <c r="E6" s="10"/>
      <c r="F6" s="10"/>
      <c r="G6" s="19"/>
      <c r="H6" s="7">
        <v>1800</v>
      </c>
      <c r="I6" s="19"/>
      <c r="J6" s="7"/>
      <c r="K6" s="7"/>
      <c r="L6" s="10"/>
      <c r="M6" s="10"/>
    </row>
    <row r="7" spans="1:13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2">
      <c r="A8" s="12" t="s">
        <v>4</v>
      </c>
      <c r="B8" s="14" t="s">
        <v>5</v>
      </c>
      <c r="C8" s="10"/>
      <c r="D8" s="10"/>
      <c r="E8" s="10"/>
      <c r="F8" s="10"/>
      <c r="G8" s="10" t="s">
        <v>14</v>
      </c>
      <c r="H8" s="10"/>
      <c r="I8" s="10"/>
      <c r="J8" s="10"/>
      <c r="K8" s="10"/>
      <c r="L8" s="10"/>
      <c r="M8" s="10"/>
    </row>
    <row r="9" spans="1:13" x14ac:dyDescent="0.2">
      <c r="A9" s="3">
        <v>100</v>
      </c>
      <c r="B9" s="3">
        <v>0.1</v>
      </c>
      <c r="C9" s="10"/>
      <c r="D9" s="10"/>
      <c r="E9" s="10"/>
      <c r="F9" s="10"/>
      <c r="G9" s="10">
        <v>1E-4</v>
      </c>
      <c r="H9" s="24">
        <f>L13</f>
        <v>7.9577471545947689E-4</v>
      </c>
      <c r="I9" s="10" t="s">
        <v>19</v>
      </c>
      <c r="J9" s="24">
        <f>L12</f>
        <v>2.021267777267071E-2</v>
      </c>
      <c r="K9" s="10" t="s">
        <v>23</v>
      </c>
      <c r="L9" s="10"/>
      <c r="M9" s="10"/>
    </row>
    <row r="10" spans="1:13" x14ac:dyDescent="0.2">
      <c r="A10" s="3">
        <v>2300</v>
      </c>
      <c r="B10" s="3">
        <v>5.5000000000000003E-4</v>
      </c>
      <c r="C10" s="10"/>
      <c r="D10" s="10"/>
      <c r="E10" s="10"/>
      <c r="F10" s="10"/>
      <c r="G10" s="10">
        <v>100000</v>
      </c>
      <c r="H10" s="24">
        <f>L13</f>
        <v>7.9577471545947689E-4</v>
      </c>
      <c r="I10" s="10" t="s">
        <v>19</v>
      </c>
      <c r="J10" s="24">
        <f>L12</f>
        <v>2.021267777267071E-2</v>
      </c>
      <c r="K10" s="10" t="s">
        <v>23</v>
      </c>
      <c r="L10" s="10"/>
      <c r="M10" s="10"/>
    </row>
    <row r="11" spans="1:13" x14ac:dyDescent="0.2">
      <c r="A11" s="3">
        <v>10000</v>
      </c>
      <c r="B11" s="3">
        <v>1.2999999999999999E-4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2">
      <c r="A12" s="12">
        <v>100000</v>
      </c>
      <c r="B12" s="12">
        <v>1.45E-5</v>
      </c>
      <c r="C12" s="10"/>
      <c r="D12" s="10"/>
      <c r="E12" s="10"/>
      <c r="F12" s="10"/>
      <c r="G12" s="10" t="s">
        <v>15</v>
      </c>
      <c r="H12" s="34">
        <v>3.81</v>
      </c>
      <c r="I12" s="10" t="s">
        <v>16</v>
      </c>
      <c r="J12" s="1" t="s">
        <v>18</v>
      </c>
      <c r="K12" s="10"/>
      <c r="L12" s="24">
        <f>H12/E28</f>
        <v>2.021267777267071E-2</v>
      </c>
      <c r="M12" s="10" t="s">
        <v>23</v>
      </c>
    </row>
    <row r="13" spans="1:13" x14ac:dyDescent="0.2">
      <c r="A13" s="10"/>
      <c r="B13" s="10"/>
      <c r="C13" s="10"/>
      <c r="D13" s="10"/>
      <c r="E13" s="10"/>
      <c r="F13" s="10"/>
      <c r="G13" s="10"/>
      <c r="H13" s="24">
        <f>H12/25.4</f>
        <v>0.15000000000000002</v>
      </c>
      <c r="I13" s="10" t="s">
        <v>17</v>
      </c>
      <c r="J13" s="10"/>
      <c r="K13" s="10"/>
      <c r="L13" s="24">
        <f>H13/E28</f>
        <v>7.9577471545947689E-4</v>
      </c>
      <c r="M13" s="10" t="s">
        <v>19</v>
      </c>
    </row>
    <row r="14" spans="1:13" x14ac:dyDescent="0.2">
      <c r="A14" s="10" t="s">
        <v>7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2">
      <c r="A15" s="10" t="s">
        <v>12</v>
      </c>
      <c r="B15" s="10"/>
      <c r="C15" s="10"/>
      <c r="D15" s="10"/>
      <c r="E15" s="10"/>
      <c r="F15" s="10"/>
      <c r="G15" s="10" t="s">
        <v>13</v>
      </c>
      <c r="H15" s="10"/>
      <c r="I15" s="10"/>
      <c r="J15" s="10"/>
      <c r="K15" s="10"/>
      <c r="L15" s="10"/>
      <c r="M15" s="10"/>
    </row>
    <row r="16" spans="1:13" x14ac:dyDescent="0.2">
      <c r="A16" s="12" t="s">
        <v>4</v>
      </c>
      <c r="B16" s="14" t="s">
        <v>5</v>
      </c>
      <c r="C16" s="10"/>
      <c r="D16" s="12" t="s">
        <v>4</v>
      </c>
      <c r="E16" s="14" t="s">
        <v>5</v>
      </c>
      <c r="F16" s="10"/>
      <c r="G16" s="12" t="s">
        <v>4</v>
      </c>
      <c r="H16" s="14" t="s">
        <v>5</v>
      </c>
      <c r="I16" s="10"/>
      <c r="J16" s="10"/>
      <c r="K16" s="10"/>
      <c r="L16" s="10"/>
      <c r="M16" s="10"/>
    </row>
    <row r="17" spans="1:13" x14ac:dyDescent="0.2">
      <c r="A17" s="3">
        <v>100</v>
      </c>
      <c r="B17" s="3">
        <v>3.7000000000000002E-3</v>
      </c>
      <c r="C17" s="10"/>
      <c r="D17" s="3">
        <v>100</v>
      </c>
      <c r="E17" s="3">
        <v>1.4E-3</v>
      </c>
      <c r="F17" s="10"/>
      <c r="G17" s="3">
        <v>100</v>
      </c>
      <c r="H17" s="3">
        <f>0.9/1000/2</f>
        <v>4.4999999999999999E-4</v>
      </c>
      <c r="I17" s="10">
        <f>1.9/1000/2</f>
        <v>9.5E-4</v>
      </c>
      <c r="J17" s="10">
        <f>3.5/1000/2</f>
        <v>1.75E-3</v>
      </c>
      <c r="K17" s="10">
        <f>7.5/1000/2</f>
        <v>3.7499999999999999E-3</v>
      </c>
      <c r="L17" s="10">
        <f>15/1000/2</f>
        <v>7.4999999999999997E-3</v>
      </c>
      <c r="M17" s="10"/>
    </row>
    <row r="18" spans="1:13" x14ac:dyDescent="0.2">
      <c r="A18" s="3">
        <v>300</v>
      </c>
      <c r="B18" s="3">
        <v>2.3999999999999998E-3</v>
      </c>
      <c r="C18" s="10"/>
      <c r="D18" s="3">
        <v>300</v>
      </c>
      <c r="E18" s="3">
        <v>8.0000000000000004E-4</v>
      </c>
      <c r="F18" s="10"/>
      <c r="G18" s="3">
        <v>10000</v>
      </c>
      <c r="H18" s="3">
        <f>0.008/1000/2</f>
        <v>3.9999999999999998E-6</v>
      </c>
      <c r="I18" s="10">
        <f>0.019/1000/2</f>
        <v>9.5000000000000005E-6</v>
      </c>
      <c r="J18" s="10">
        <f>0.033/1000/2</f>
        <v>1.6500000000000001E-5</v>
      </c>
      <c r="K18" s="10">
        <f>0.07/1000/2</f>
        <v>3.5000000000000004E-5</v>
      </c>
      <c r="L18" s="10">
        <f>0.13/1000/2</f>
        <v>6.5000000000000008E-5</v>
      </c>
      <c r="M18" s="10"/>
    </row>
    <row r="19" spans="1:13" x14ac:dyDescent="0.2">
      <c r="A19" s="3">
        <v>1700</v>
      </c>
      <c r="B19" s="3">
        <v>1.1000000000000001E-3</v>
      </c>
      <c r="C19" s="10"/>
      <c r="D19" s="3">
        <v>1700</v>
      </c>
      <c r="E19" s="3">
        <v>3.4000000000000002E-4</v>
      </c>
      <c r="F19" s="10"/>
      <c r="G19" s="12">
        <v>100000</v>
      </c>
      <c r="H19" s="21">
        <v>3.5499999999999999E-7</v>
      </c>
      <c r="I19" s="21">
        <v>9.33E-7</v>
      </c>
      <c r="J19" s="21">
        <v>1.64E-6</v>
      </c>
      <c r="K19" s="21">
        <v>3.4400000000000001E-6</v>
      </c>
      <c r="L19" s="21">
        <v>6.1999999999999999E-6</v>
      </c>
      <c r="M19" s="12"/>
    </row>
    <row r="20" spans="1:13" x14ac:dyDescent="0.2">
      <c r="A20" s="3">
        <v>3500</v>
      </c>
      <c r="B20" s="3">
        <v>5.0000000000000001E-4</v>
      </c>
      <c r="C20" s="10"/>
      <c r="D20" s="3">
        <v>10000</v>
      </c>
      <c r="E20" s="3">
        <v>6.7000000000000002E-5</v>
      </c>
      <c r="F20" s="10"/>
      <c r="G20" s="10"/>
      <c r="H20" s="10"/>
      <c r="I20" s="10"/>
      <c r="J20" s="10"/>
      <c r="K20" s="10"/>
      <c r="L20" s="10"/>
      <c r="M20" s="10"/>
    </row>
    <row r="21" spans="1:13" x14ac:dyDescent="0.2">
      <c r="A21" s="3">
        <v>10000</v>
      </c>
      <c r="B21" s="3">
        <v>1.3999999999999999E-4</v>
      </c>
      <c r="C21" s="10"/>
      <c r="D21" s="12">
        <v>100000</v>
      </c>
      <c r="E21" s="12">
        <v>8.1799999999999996E-6</v>
      </c>
      <c r="F21" s="10"/>
      <c r="G21" s="10"/>
      <c r="H21" s="10"/>
      <c r="I21" s="10"/>
      <c r="J21" s="10"/>
      <c r="K21" s="10"/>
      <c r="L21" s="10"/>
      <c r="M21" s="10"/>
    </row>
    <row r="22" spans="1:13" x14ac:dyDescent="0.2">
      <c r="A22" s="3">
        <v>100000</v>
      </c>
      <c r="B22" s="3">
        <v>9.3300000000000005E-6</v>
      </c>
      <c r="C22" s="10"/>
      <c r="D22" s="10"/>
      <c r="E22" s="10"/>
      <c r="F22" s="10"/>
      <c r="G22" s="1" t="s">
        <v>30</v>
      </c>
      <c r="H22" s="10"/>
      <c r="I22" s="10"/>
      <c r="J22" s="10"/>
      <c r="K22" s="10"/>
      <c r="L22" s="10"/>
      <c r="M22" s="10"/>
    </row>
    <row r="23" spans="1:13" x14ac:dyDescent="0.2">
      <c r="A23" s="10"/>
      <c r="B23" s="10"/>
      <c r="C23" s="10"/>
      <c r="D23" s="10"/>
      <c r="E23" s="10"/>
      <c r="F23" s="10"/>
      <c r="G23" s="10">
        <v>1E-4</v>
      </c>
      <c r="H23" s="24">
        <f>L27</f>
        <v>5.5551181102362203E-4</v>
      </c>
      <c r="I23" s="10" t="s">
        <v>19</v>
      </c>
      <c r="J23" s="24">
        <f>L26</f>
        <v>1.4109999999999999E-2</v>
      </c>
      <c r="K23" s="10" t="s">
        <v>23</v>
      </c>
      <c r="L23" s="10"/>
      <c r="M23" s="10"/>
    </row>
    <row r="24" spans="1:13" x14ac:dyDescent="0.2">
      <c r="A24" s="10" t="s">
        <v>8</v>
      </c>
      <c r="B24" s="10"/>
      <c r="C24" s="10"/>
      <c r="D24" s="10"/>
      <c r="E24" s="15">
        <v>1</v>
      </c>
      <c r="F24" s="10"/>
      <c r="G24" s="10">
        <v>100000</v>
      </c>
      <c r="H24" s="24">
        <f>L27</f>
        <v>5.5551181102362203E-4</v>
      </c>
      <c r="I24" s="10" t="s">
        <v>19</v>
      </c>
      <c r="J24" s="24">
        <f>L26</f>
        <v>1.4109999999999999E-2</v>
      </c>
      <c r="K24" s="10" t="s">
        <v>23</v>
      </c>
      <c r="L24" s="10"/>
      <c r="M24" s="10"/>
    </row>
    <row r="25" spans="1:13" x14ac:dyDescent="0.2">
      <c r="A25" s="10" t="s">
        <v>9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x14ac:dyDescent="0.2">
      <c r="A26" s="10" t="s">
        <v>10</v>
      </c>
      <c r="B26" s="10"/>
      <c r="C26" s="10"/>
      <c r="D26" s="10"/>
      <c r="E26" s="10"/>
      <c r="F26" s="10"/>
      <c r="G26" s="10" t="s">
        <v>15</v>
      </c>
      <c r="H26" s="44">
        <f>L26*E28</f>
        <v>2.6596723405291187</v>
      </c>
      <c r="I26" s="10" t="s">
        <v>16</v>
      </c>
      <c r="J26" s="1" t="s">
        <v>18</v>
      </c>
      <c r="K26" s="10"/>
      <c r="L26" s="24">
        <v>1.4109999999999999E-2</v>
      </c>
      <c r="M26" s="10" t="s">
        <v>23</v>
      </c>
    </row>
    <row r="27" spans="1:13" x14ac:dyDescent="0.2">
      <c r="A27" s="10"/>
      <c r="B27" s="10"/>
      <c r="C27" s="10"/>
      <c r="D27" s="10"/>
      <c r="E27" s="10"/>
      <c r="F27" s="10"/>
      <c r="G27" s="10"/>
      <c r="H27" s="24">
        <f>H26/25.4</f>
        <v>0.10471150946965035</v>
      </c>
      <c r="I27" s="10" t="s">
        <v>17</v>
      </c>
      <c r="J27" s="10"/>
      <c r="K27" s="10"/>
      <c r="L27" s="24">
        <f>L26/25.4</f>
        <v>5.5551181102362203E-4</v>
      </c>
      <c r="M27" s="10" t="s">
        <v>19</v>
      </c>
    </row>
    <row r="28" spans="1:13" x14ac:dyDescent="0.2">
      <c r="A28" s="16" t="s">
        <v>28</v>
      </c>
      <c r="B28" s="10"/>
      <c r="C28" s="10">
        <v>1800</v>
      </c>
      <c r="D28" s="10" t="s">
        <v>4</v>
      </c>
      <c r="E28" s="18">
        <f>C28*2*PI()/60</f>
        <v>188.49555921538757</v>
      </c>
      <c r="F28" s="10" t="s">
        <v>11</v>
      </c>
      <c r="G28" s="10"/>
      <c r="H28" s="10"/>
      <c r="I28" s="10"/>
      <c r="J28" s="10"/>
      <c r="K28" s="10"/>
      <c r="L28" s="10"/>
      <c r="M28" s="10"/>
    </row>
    <row r="29" spans="1:13" x14ac:dyDescent="0.2">
      <c r="A29" s="16" t="s">
        <v>29</v>
      </c>
      <c r="B29" s="10"/>
      <c r="C29" s="10">
        <v>1800</v>
      </c>
      <c r="D29" s="10" t="s">
        <v>4</v>
      </c>
      <c r="E29" s="18">
        <f>C29*2*PI()/60</f>
        <v>188.49555921538757</v>
      </c>
      <c r="F29" s="10" t="s">
        <v>11</v>
      </c>
      <c r="G29" s="10"/>
      <c r="H29" s="10"/>
      <c r="I29" s="10"/>
      <c r="J29" s="10"/>
      <c r="K29" s="10"/>
      <c r="L29" s="10"/>
      <c r="M29" s="10"/>
    </row>
    <row r="30" spans="1:13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 x14ac:dyDescent="0.2">
      <c r="A32" s="10"/>
      <c r="B32" s="10"/>
      <c r="C32" s="10"/>
      <c r="D32" s="10" t="s">
        <v>20</v>
      </c>
      <c r="E32" s="10"/>
      <c r="F32" s="10"/>
      <c r="G32" s="10"/>
      <c r="H32" s="10"/>
      <c r="I32" s="10" t="s">
        <v>5</v>
      </c>
      <c r="J32" s="10"/>
      <c r="K32" s="10"/>
      <c r="L32" s="10"/>
      <c r="M32" s="10"/>
    </row>
    <row r="33" spans="1:13" x14ac:dyDescent="0.2">
      <c r="A33" s="10"/>
      <c r="B33" s="23"/>
      <c r="C33" s="10"/>
      <c r="D33" s="23"/>
      <c r="E33" s="10"/>
      <c r="F33" s="23">
        <f t="shared" ref="F33:H34" si="0">G4</f>
        <v>1440</v>
      </c>
      <c r="G33" s="10">
        <f t="shared" si="0"/>
        <v>1800</v>
      </c>
      <c r="H33" s="23">
        <f t="shared" si="0"/>
        <v>2160</v>
      </c>
      <c r="I33" s="10">
        <v>9.9999999999999995E-7</v>
      </c>
      <c r="J33" s="10"/>
      <c r="K33" s="10"/>
      <c r="L33" s="10"/>
      <c r="M33" s="10"/>
    </row>
    <row r="34" spans="1:13" x14ac:dyDescent="0.2">
      <c r="A34" s="10"/>
      <c r="B34" s="23"/>
      <c r="C34" s="10"/>
      <c r="D34" s="23"/>
      <c r="E34" s="10"/>
      <c r="F34" s="23">
        <f t="shared" si="0"/>
        <v>1440</v>
      </c>
      <c r="G34" s="10">
        <f t="shared" si="0"/>
        <v>1800</v>
      </c>
      <c r="H34" s="23">
        <f t="shared" si="0"/>
        <v>2160</v>
      </c>
      <c r="I34" s="10">
        <v>0.01</v>
      </c>
      <c r="J34" s="10"/>
      <c r="K34" s="10"/>
      <c r="L34" s="10"/>
      <c r="M34" s="10"/>
    </row>
    <row r="35" spans="1:13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3" x14ac:dyDescent="0.2">
      <c r="A37" s="10"/>
      <c r="B37" s="30" t="s">
        <v>24</v>
      </c>
      <c r="C37" s="31"/>
      <c r="D37" s="30" t="s">
        <v>18</v>
      </c>
      <c r="E37" s="32"/>
      <c r="F37" s="10"/>
      <c r="G37" s="10"/>
      <c r="H37" s="30" t="s">
        <v>25</v>
      </c>
      <c r="I37" s="31"/>
      <c r="J37" s="30" t="s">
        <v>18</v>
      </c>
      <c r="K37" s="32"/>
      <c r="L37" s="10"/>
      <c r="M37" s="10"/>
    </row>
    <row r="38" spans="1:13" x14ac:dyDescent="0.2">
      <c r="A38" s="10"/>
      <c r="B38" s="25">
        <f>2.9</f>
        <v>2.9</v>
      </c>
      <c r="C38" s="10" t="s">
        <v>16</v>
      </c>
      <c r="D38" s="33">
        <f>B38/E28</f>
        <v>1.538497783221655E-2</v>
      </c>
      <c r="E38" s="26" t="s">
        <v>23</v>
      </c>
      <c r="F38" s="10" t="s">
        <v>27</v>
      </c>
      <c r="G38" s="10"/>
      <c r="H38" s="25">
        <v>5</v>
      </c>
      <c r="I38" s="10" t="s">
        <v>16</v>
      </c>
      <c r="J38" s="33">
        <f>H38/E28</f>
        <v>2.6525823848649224E-2</v>
      </c>
      <c r="K38" s="26" t="s">
        <v>23</v>
      </c>
      <c r="L38" s="10" t="s">
        <v>26</v>
      </c>
      <c r="M38" s="10"/>
    </row>
    <row r="39" spans="1:13" x14ac:dyDescent="0.2">
      <c r="A39" s="10"/>
      <c r="B39" s="27">
        <f>B38/25.4</f>
        <v>0.1141732283464567</v>
      </c>
      <c r="C39" s="28" t="s">
        <v>17</v>
      </c>
      <c r="D39" s="27">
        <f>B39/E28</f>
        <v>6.0570778866994297E-4</v>
      </c>
      <c r="E39" s="29" t="s">
        <v>19</v>
      </c>
      <c r="F39" s="10"/>
      <c r="G39" s="24"/>
      <c r="H39" s="27">
        <f>H38/25.4</f>
        <v>0.19685039370078741</v>
      </c>
      <c r="I39" s="28" t="s">
        <v>17</v>
      </c>
      <c r="J39" s="27">
        <f>H39/E28</f>
        <v>1.0443237735688672E-3</v>
      </c>
      <c r="K39" s="29" t="s">
        <v>19</v>
      </c>
      <c r="L39" s="10"/>
      <c r="M39" s="10"/>
    </row>
    <row r="40" spans="1:13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</sheetData>
  <phoneticPr fontId="0" type="noConversion"/>
  <pageMargins left="0.75" right="0.75" top="1" bottom="1" header="0.5" footer="0.5"/>
  <pageSetup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DEF1-6D20-4382-AC0D-5A2CDCB1AA97}">
  <sheetPr codeName="Sheet4"/>
  <dimension ref="A1:AD140"/>
  <sheetViews>
    <sheetView showGridLines="0" zoomScaleNormal="100" workbookViewId="0">
      <selection activeCell="U34" sqref="U34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31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38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2" t="s">
        <v>35</v>
      </c>
      <c r="B4" s="41" t="s">
        <v>36</v>
      </c>
      <c r="C4" s="41"/>
      <c r="D4" s="41"/>
      <c r="E4" s="3"/>
      <c r="F4" s="41" t="s">
        <v>37</v>
      </c>
      <c r="G4" s="41"/>
      <c r="H4" s="4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3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2.08E-16</v>
      </c>
      <c r="C6" s="38">
        <v>1.5400000000000001E-17</v>
      </c>
      <c r="D6" s="38">
        <v>1.2800000000000001E-16</v>
      </c>
      <c r="E6" s="3"/>
      <c r="F6" s="38">
        <f>B6*1000/25.4</f>
        <v>8.1889763779527567E-15</v>
      </c>
      <c r="G6" s="38">
        <f>C6*1000/25.4</f>
        <v>6.0629921259842534E-16</v>
      </c>
      <c r="H6" s="38">
        <f>D6*1000/25.4</f>
        <v>5.039370078740158E-15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20</v>
      </c>
      <c r="B7" s="38">
        <v>9.1500000000000005E-10</v>
      </c>
      <c r="C7" s="38">
        <v>6.7699999999999996E-11</v>
      </c>
      <c r="D7" s="38">
        <v>5.5800000000000004E-10</v>
      </c>
      <c r="E7" s="3"/>
      <c r="F7" s="38">
        <f t="shared" ref="F7:F70" si="0">B7*1000/25.4</f>
        <v>3.6023622047244101E-8</v>
      </c>
      <c r="G7" s="38">
        <f t="shared" ref="G7:G70" si="1">C7*1000/25.4</f>
        <v>2.6653543307086611E-9</v>
      </c>
      <c r="H7" s="38">
        <f t="shared" ref="H7:H70" si="2">D7*1000/25.4</f>
        <v>2.1968503937007874E-8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40</v>
      </c>
      <c r="B8" s="38">
        <v>3.6699999999999999E-9</v>
      </c>
      <c r="C8" s="38">
        <v>2.7199999999999999E-10</v>
      </c>
      <c r="D8" s="38">
        <v>2.2200000000000002E-9</v>
      </c>
      <c r="E8" s="3"/>
      <c r="F8" s="38">
        <f t="shared" si="0"/>
        <v>1.4448818897637796E-7</v>
      </c>
      <c r="G8" s="38">
        <f t="shared" si="1"/>
        <v>1.0708661417322836E-8</v>
      </c>
      <c r="H8" s="38">
        <f t="shared" si="2"/>
        <v>8.740157480314962E-8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60</v>
      </c>
      <c r="B9" s="38">
        <v>8.3199999999999994E-9</v>
      </c>
      <c r="C9" s="38">
        <v>6.1600000000000004E-10</v>
      </c>
      <c r="D9" s="38">
        <v>4.9799999999999998E-9</v>
      </c>
      <c r="E9" s="3"/>
      <c r="F9" s="38">
        <f t="shared" si="0"/>
        <v>3.2755905511811024E-7</v>
      </c>
      <c r="G9" s="38">
        <f t="shared" si="1"/>
        <v>2.4251968503937008E-8</v>
      </c>
      <c r="H9" s="38">
        <f t="shared" si="2"/>
        <v>1.9606299212598426E-7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80</v>
      </c>
      <c r="B10" s="38">
        <v>1.4899999999999999E-8</v>
      </c>
      <c r="C10" s="38">
        <v>1.1100000000000001E-9</v>
      </c>
      <c r="D10" s="38">
        <v>8.8200000000000006E-9</v>
      </c>
      <c r="E10" s="3"/>
      <c r="F10" s="38">
        <f t="shared" si="0"/>
        <v>5.8661417322834651E-7</v>
      </c>
      <c r="G10" s="38">
        <f t="shared" si="1"/>
        <v>4.370078740157481E-8</v>
      </c>
      <c r="H10" s="38">
        <f t="shared" si="2"/>
        <v>3.4724409448818898E-7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100</v>
      </c>
      <c r="B11" s="38">
        <v>2.36E-8</v>
      </c>
      <c r="C11" s="38">
        <v>1.75E-9</v>
      </c>
      <c r="D11" s="38">
        <v>1.3799999999999999E-8</v>
      </c>
      <c r="E11" s="3"/>
      <c r="F11" s="38">
        <f t="shared" si="0"/>
        <v>9.2913385826771665E-7</v>
      </c>
      <c r="G11" s="38">
        <f t="shared" si="1"/>
        <v>6.8897637795275587E-8</v>
      </c>
      <c r="H11" s="38">
        <f t="shared" si="2"/>
        <v>5.4330708661417324E-7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120</v>
      </c>
      <c r="B12" s="38">
        <v>3.4499999999999998E-8</v>
      </c>
      <c r="C12" s="38">
        <v>2.5599999999999998E-9</v>
      </c>
      <c r="D12" s="38">
        <v>1.9799999999999999E-8</v>
      </c>
      <c r="E12" s="3"/>
      <c r="F12" s="38">
        <f t="shared" si="0"/>
        <v>1.358267716535433E-6</v>
      </c>
      <c r="G12" s="38">
        <f t="shared" si="1"/>
        <v>1.0078740157480316E-7</v>
      </c>
      <c r="H12" s="38">
        <f t="shared" si="2"/>
        <v>7.7952755905511816E-7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140</v>
      </c>
      <c r="B13" s="38">
        <v>4.7799999999999998E-8</v>
      </c>
      <c r="C13" s="38">
        <v>3.5499999999999999E-9</v>
      </c>
      <c r="D13" s="38">
        <v>2.7100000000000001E-8</v>
      </c>
      <c r="E13" s="3"/>
      <c r="F13" s="38">
        <f t="shared" si="0"/>
        <v>1.8818897637795276E-6</v>
      </c>
      <c r="G13" s="38">
        <f t="shared" si="1"/>
        <v>1.3976377952755906E-7</v>
      </c>
      <c r="H13" s="38">
        <f t="shared" si="2"/>
        <v>1.0669291338582678E-6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160</v>
      </c>
      <c r="B14" s="38">
        <v>6.3699999999999995E-8</v>
      </c>
      <c r="C14" s="38">
        <v>4.73E-9</v>
      </c>
      <c r="D14" s="38">
        <v>3.5800000000000003E-8</v>
      </c>
      <c r="E14" s="3"/>
      <c r="F14" s="38">
        <f t="shared" si="0"/>
        <v>2.5078740157480313E-6</v>
      </c>
      <c r="G14" s="38">
        <f t="shared" si="1"/>
        <v>1.8622047244094487E-7</v>
      </c>
      <c r="H14" s="38">
        <f t="shared" si="2"/>
        <v>1.4094488188976379E-6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180</v>
      </c>
      <c r="B15" s="38">
        <v>8.2399999999999997E-8</v>
      </c>
      <c r="C15" s="38">
        <v>6.1200000000000004E-9</v>
      </c>
      <c r="D15" s="38">
        <v>4.5699999999999999E-8</v>
      </c>
      <c r="E15" s="3"/>
      <c r="F15" s="38">
        <f t="shared" si="0"/>
        <v>3.2440944881889763E-6</v>
      </c>
      <c r="G15" s="38">
        <f t="shared" si="1"/>
        <v>2.4094488188976381E-7</v>
      </c>
      <c r="H15" s="38">
        <f t="shared" si="2"/>
        <v>1.799212598425197E-6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200</v>
      </c>
      <c r="B16" s="38">
        <v>1.04E-7</v>
      </c>
      <c r="C16" s="38">
        <v>7.7400000000000002E-9</v>
      </c>
      <c r="D16" s="38">
        <v>5.7200000000000003E-8</v>
      </c>
      <c r="E16" s="3"/>
      <c r="F16" s="38">
        <f t="shared" si="0"/>
        <v>4.0944881889763785E-6</v>
      </c>
      <c r="G16" s="38">
        <f t="shared" si="1"/>
        <v>3.0472440944881893E-7</v>
      </c>
      <c r="H16" s="38">
        <f t="shared" si="2"/>
        <v>2.2519685039370082E-6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220</v>
      </c>
      <c r="B17" s="38">
        <v>1.29E-7</v>
      </c>
      <c r="C17" s="38">
        <v>9.6299999999999992E-9</v>
      </c>
      <c r="D17" s="38">
        <v>7.0200000000000007E-8</v>
      </c>
      <c r="E17" s="3"/>
      <c r="F17" s="38">
        <f t="shared" si="0"/>
        <v>5.0787401574803152E-6</v>
      </c>
      <c r="G17" s="38">
        <f t="shared" si="1"/>
        <v>3.7913385826771652E-7</v>
      </c>
      <c r="H17" s="38">
        <f t="shared" si="2"/>
        <v>2.7637795275590558E-6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240</v>
      </c>
      <c r="B18" s="38">
        <v>1.5900000000000001E-7</v>
      </c>
      <c r="C18" s="38">
        <v>1.18E-8</v>
      </c>
      <c r="D18" s="38">
        <v>8.4800000000000005E-8</v>
      </c>
      <c r="E18" s="3"/>
      <c r="F18" s="38">
        <f t="shared" si="0"/>
        <v>6.25984251968504E-6</v>
      </c>
      <c r="G18" s="38">
        <f t="shared" si="1"/>
        <v>4.6456692913385832E-7</v>
      </c>
      <c r="H18" s="38">
        <f t="shared" si="2"/>
        <v>3.3385826771653546E-6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260</v>
      </c>
      <c r="B19" s="38">
        <v>1.92E-7</v>
      </c>
      <c r="C19" s="38">
        <v>1.4300000000000001E-8</v>
      </c>
      <c r="D19" s="38">
        <v>1.01E-7</v>
      </c>
      <c r="E19" s="3"/>
      <c r="F19" s="38">
        <f t="shared" si="0"/>
        <v>7.5590551181102365E-6</v>
      </c>
      <c r="G19" s="38">
        <f t="shared" si="1"/>
        <v>5.6299212598425204E-7</v>
      </c>
      <c r="H19" s="38">
        <f t="shared" si="2"/>
        <v>3.976377952755906E-6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280</v>
      </c>
      <c r="B20" s="38">
        <v>2.3099999999999999E-7</v>
      </c>
      <c r="C20" s="38">
        <v>1.7199999999999999E-8</v>
      </c>
      <c r="D20" s="38">
        <v>1.1999999999999999E-7</v>
      </c>
      <c r="E20" s="3"/>
      <c r="F20" s="38">
        <f t="shared" si="0"/>
        <v>9.0944881889763773E-6</v>
      </c>
      <c r="G20" s="38">
        <f t="shared" si="1"/>
        <v>6.7716535433070861E-7</v>
      </c>
      <c r="H20" s="38">
        <f t="shared" si="2"/>
        <v>4.7244094488188975E-6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300</v>
      </c>
      <c r="B21" s="38">
        <v>2.7599999999999998E-7</v>
      </c>
      <c r="C21" s="38">
        <v>2.0500000000000002E-8</v>
      </c>
      <c r="D21" s="38">
        <v>1.4100000000000001E-7</v>
      </c>
      <c r="E21" s="3"/>
      <c r="F21" s="38">
        <f t="shared" si="0"/>
        <v>1.0866141732283464E-5</v>
      </c>
      <c r="G21" s="38">
        <f t="shared" si="1"/>
        <v>8.0708661417322841E-7</v>
      </c>
      <c r="H21" s="38">
        <f t="shared" si="2"/>
        <v>5.5511811023622054E-6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320</v>
      </c>
      <c r="B22" s="38">
        <v>3.2800000000000003E-7</v>
      </c>
      <c r="C22" s="38">
        <v>2.4200000000000002E-8</v>
      </c>
      <c r="D22" s="38">
        <v>1.6500000000000001E-7</v>
      </c>
      <c r="E22" s="3"/>
      <c r="F22" s="38">
        <f t="shared" si="0"/>
        <v>1.2913385826771655E-5</v>
      </c>
      <c r="G22" s="38">
        <f t="shared" si="1"/>
        <v>9.5275590551181112E-7</v>
      </c>
      <c r="H22" s="38">
        <f t="shared" si="2"/>
        <v>6.4960629921259842E-6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340</v>
      </c>
      <c r="B23" s="38">
        <v>3.8799999999999998E-7</v>
      </c>
      <c r="C23" s="38">
        <v>2.85E-8</v>
      </c>
      <c r="D23" s="38">
        <v>1.92E-7</v>
      </c>
      <c r="E23" s="3"/>
      <c r="F23" s="38">
        <f t="shared" si="0"/>
        <v>1.5275590551181102E-5</v>
      </c>
      <c r="G23" s="38">
        <f t="shared" si="1"/>
        <v>1.1220472440944883E-6</v>
      </c>
      <c r="H23" s="38">
        <f t="shared" si="2"/>
        <v>7.5590551181102365E-6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360</v>
      </c>
      <c r="B24" s="38">
        <v>4.5699999999999998E-7</v>
      </c>
      <c r="C24" s="38">
        <v>3.3400000000000001E-8</v>
      </c>
      <c r="D24" s="38">
        <v>2.23E-7</v>
      </c>
      <c r="E24" s="3"/>
      <c r="F24" s="38">
        <f t="shared" si="0"/>
        <v>1.7992125984251968E-5</v>
      </c>
      <c r="G24" s="38">
        <f t="shared" si="1"/>
        <v>1.3149606299212598E-6</v>
      </c>
      <c r="H24" s="38">
        <f t="shared" si="2"/>
        <v>8.7795275590551182E-6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380</v>
      </c>
      <c r="B25" s="38">
        <v>5.37E-7</v>
      </c>
      <c r="C25" s="38">
        <v>3.9099999999999999E-8</v>
      </c>
      <c r="D25" s="38">
        <v>2.5800000000000001E-7</v>
      </c>
      <c r="E25" s="3"/>
      <c r="F25" s="38">
        <f t="shared" si="0"/>
        <v>2.1141732283464569E-5</v>
      </c>
      <c r="G25" s="38">
        <f t="shared" si="1"/>
        <v>1.5393700787401576E-6</v>
      </c>
      <c r="H25" s="38">
        <f t="shared" si="2"/>
        <v>1.015748031496063E-5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400</v>
      </c>
      <c r="B26" s="38">
        <v>6.3099999999999997E-7</v>
      </c>
      <c r="C26" s="38">
        <v>4.5599999999999998E-8</v>
      </c>
      <c r="D26" s="38">
        <v>2.9900000000000002E-7</v>
      </c>
      <c r="E26" s="3"/>
      <c r="F26" s="38">
        <f t="shared" si="0"/>
        <v>2.484251968503937E-5</v>
      </c>
      <c r="G26" s="38">
        <f t="shared" si="1"/>
        <v>1.795275590551181E-6</v>
      </c>
      <c r="H26" s="38">
        <f t="shared" si="2"/>
        <v>1.1771653543307088E-5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420</v>
      </c>
      <c r="B27" s="38">
        <v>7.4300000000000002E-7</v>
      </c>
      <c r="C27" s="38">
        <v>5.3099999999999999E-8</v>
      </c>
      <c r="D27" s="38">
        <v>3.4700000000000002E-7</v>
      </c>
      <c r="E27" s="3"/>
      <c r="F27" s="38">
        <f t="shared" si="0"/>
        <v>2.9251968503937014E-5</v>
      </c>
      <c r="G27" s="38">
        <f t="shared" si="1"/>
        <v>2.090551181102362E-6</v>
      </c>
      <c r="H27" s="38">
        <f t="shared" si="2"/>
        <v>1.3661417322834647E-5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440</v>
      </c>
      <c r="B28" s="38">
        <v>8.7499999999999999E-7</v>
      </c>
      <c r="C28" s="38">
        <v>6.1799999999999998E-8</v>
      </c>
      <c r="D28" s="38">
        <v>4.0499999999999999E-7</v>
      </c>
      <c r="E28" s="3"/>
      <c r="F28" s="38">
        <f t="shared" si="0"/>
        <v>3.4448818897637796E-5</v>
      </c>
      <c r="G28" s="38">
        <f t="shared" si="1"/>
        <v>2.4330708661417324E-6</v>
      </c>
      <c r="H28" s="38">
        <f t="shared" si="2"/>
        <v>1.5944881889763779E-5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460</v>
      </c>
      <c r="B29" s="38">
        <v>1.0300000000000001E-6</v>
      </c>
      <c r="C29" s="38">
        <v>7.1999999999999996E-8</v>
      </c>
      <c r="D29" s="38">
        <v>4.7300000000000001E-7</v>
      </c>
      <c r="E29" s="3"/>
      <c r="F29" s="38">
        <f t="shared" si="0"/>
        <v>4.0551181102362211E-5</v>
      </c>
      <c r="G29" s="38">
        <f t="shared" si="1"/>
        <v>2.834645669291339E-6</v>
      </c>
      <c r="H29" s="38">
        <f t="shared" si="2"/>
        <v>1.862204724409449E-5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480</v>
      </c>
      <c r="B30" s="38">
        <v>1.22E-6</v>
      </c>
      <c r="C30" s="38">
        <v>8.3799999999999996E-8</v>
      </c>
      <c r="D30" s="38">
        <v>5.5599999999999995E-7</v>
      </c>
      <c r="E30" s="3"/>
      <c r="F30" s="38">
        <f t="shared" si="0"/>
        <v>4.8031496062992124E-5</v>
      </c>
      <c r="G30" s="38">
        <f t="shared" si="1"/>
        <v>3.2992125984251968E-6</v>
      </c>
      <c r="H30" s="38">
        <f t="shared" si="2"/>
        <v>2.1889763779527559E-5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500</v>
      </c>
      <c r="B31" s="38">
        <v>1.4500000000000001E-6</v>
      </c>
      <c r="C31" s="38">
        <v>9.7500000000000006E-8</v>
      </c>
      <c r="D31" s="38">
        <v>6.5799999999999999E-7</v>
      </c>
      <c r="E31" s="3"/>
      <c r="F31" s="38">
        <f t="shared" si="0"/>
        <v>5.7086614173228356E-5</v>
      </c>
      <c r="G31" s="38">
        <f t="shared" si="1"/>
        <v>3.8385826771653549E-6</v>
      </c>
      <c r="H31" s="38">
        <f t="shared" si="2"/>
        <v>2.5905511811023623E-5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520</v>
      </c>
      <c r="B32" s="38">
        <v>1.7099999999999999E-6</v>
      </c>
      <c r="C32" s="38">
        <v>1.1300000000000001E-7</v>
      </c>
      <c r="D32" s="38">
        <v>7.8299999999999996E-7</v>
      </c>
      <c r="E32" s="3"/>
      <c r="F32" s="38">
        <f t="shared" si="0"/>
        <v>6.7322834645669287E-5</v>
      </c>
      <c r="G32" s="38">
        <f t="shared" si="1"/>
        <v>4.4488188976377962E-6</v>
      </c>
      <c r="H32" s="38">
        <f t="shared" si="2"/>
        <v>3.0826771653543309E-5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540</v>
      </c>
      <c r="B33" s="38">
        <v>2.0099999999999998E-6</v>
      </c>
      <c r="C33" s="38">
        <v>1.31E-7</v>
      </c>
      <c r="D33" s="38">
        <v>9.3399999999999997E-7</v>
      </c>
      <c r="E33" s="3"/>
      <c r="F33" s="38">
        <f t="shared" si="0"/>
        <v>7.913385826771653E-5</v>
      </c>
      <c r="G33" s="38">
        <f t="shared" si="1"/>
        <v>5.1574803149606299E-6</v>
      </c>
      <c r="H33" s="38">
        <f t="shared" si="2"/>
        <v>3.6771653543307089E-5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560</v>
      </c>
      <c r="B34" s="38">
        <v>2.34E-6</v>
      </c>
      <c r="C34" s="38">
        <v>1.5099999999999999E-7</v>
      </c>
      <c r="D34" s="38">
        <v>1.1000000000000001E-6</v>
      </c>
      <c r="E34" s="3"/>
      <c r="F34" s="38">
        <f t="shared" si="0"/>
        <v>9.2125984251968505E-5</v>
      </c>
      <c r="G34" s="38">
        <f t="shared" si="1"/>
        <v>5.9448818897637792E-6</v>
      </c>
      <c r="H34" s="38">
        <f t="shared" si="2"/>
        <v>4.3307086614173235E-5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580</v>
      </c>
      <c r="B35" s="38">
        <v>2.6400000000000001E-6</v>
      </c>
      <c r="C35" s="38">
        <v>1.73E-7</v>
      </c>
      <c r="D35" s="38">
        <v>1.28E-6</v>
      </c>
      <c r="E35" s="3"/>
      <c r="F35" s="38">
        <f t="shared" si="0"/>
        <v>1.0393700787401575E-4</v>
      </c>
      <c r="G35" s="38">
        <f t="shared" si="1"/>
        <v>6.811023622047245E-6</v>
      </c>
      <c r="H35" s="38">
        <f t="shared" si="2"/>
        <v>5.0393700787401582E-5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600</v>
      </c>
      <c r="B36" s="38">
        <v>2.8700000000000001E-6</v>
      </c>
      <c r="C36" s="38">
        <v>1.9399999999999999E-7</v>
      </c>
      <c r="D36" s="38">
        <v>1.4300000000000001E-6</v>
      </c>
      <c r="E36" s="3"/>
      <c r="F36" s="38">
        <f t="shared" si="0"/>
        <v>1.1299212598425198E-4</v>
      </c>
      <c r="G36" s="38">
        <f t="shared" si="1"/>
        <v>7.6377952755905512E-6</v>
      </c>
      <c r="H36" s="38">
        <f t="shared" si="2"/>
        <v>5.6299212598425204E-5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620</v>
      </c>
      <c r="B37" s="38">
        <v>2.96E-6</v>
      </c>
      <c r="C37" s="38">
        <v>2.1299999999999999E-7</v>
      </c>
      <c r="D37" s="38">
        <v>1.5200000000000001E-6</v>
      </c>
      <c r="E37" s="3"/>
      <c r="F37" s="38">
        <f t="shared" si="0"/>
        <v>1.1653543307086615E-4</v>
      </c>
      <c r="G37" s="38">
        <f t="shared" si="1"/>
        <v>8.3858267716535436E-6</v>
      </c>
      <c r="H37" s="38">
        <f t="shared" si="2"/>
        <v>5.9842519685039374E-5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640</v>
      </c>
      <c r="B38" s="38">
        <v>2.9299999999999999E-6</v>
      </c>
      <c r="C38" s="38">
        <v>2.28E-7</v>
      </c>
      <c r="D38" s="38">
        <v>1.55E-6</v>
      </c>
      <c r="E38" s="3"/>
      <c r="F38" s="38">
        <f t="shared" si="0"/>
        <v>1.1535433070866142E-4</v>
      </c>
      <c r="G38" s="38">
        <f t="shared" si="1"/>
        <v>8.9763779527559064E-6</v>
      </c>
      <c r="H38" s="38">
        <f t="shared" si="2"/>
        <v>6.1023622047244093E-5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660</v>
      </c>
      <c r="B39" s="38">
        <v>2.7999999999999999E-6</v>
      </c>
      <c r="C39" s="38">
        <v>2.3799999999999999E-7</v>
      </c>
      <c r="D39" s="38">
        <v>1.5099999999999999E-6</v>
      </c>
      <c r="E39" s="3"/>
      <c r="F39" s="38">
        <f t="shared" si="0"/>
        <v>1.1023622047244096E-4</v>
      </c>
      <c r="G39" s="38">
        <f t="shared" si="1"/>
        <v>9.370078740157481E-6</v>
      </c>
      <c r="H39" s="38">
        <f t="shared" si="2"/>
        <v>5.9448818897637794E-5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680</v>
      </c>
      <c r="B40" s="38">
        <v>2.6299999999999998E-6</v>
      </c>
      <c r="C40" s="38">
        <v>2.4200000000000002E-7</v>
      </c>
      <c r="D40" s="38">
        <v>1.44E-6</v>
      </c>
      <c r="E40" s="3"/>
      <c r="F40" s="38">
        <f t="shared" si="0"/>
        <v>1.0354330708661417E-4</v>
      </c>
      <c r="G40" s="38">
        <f t="shared" si="1"/>
        <v>9.5275590551181123E-6</v>
      </c>
      <c r="H40" s="38">
        <f t="shared" si="2"/>
        <v>5.669291338582677E-5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700</v>
      </c>
      <c r="B41" s="38">
        <v>2.4499999999999998E-6</v>
      </c>
      <c r="C41" s="38">
        <v>2.41E-7</v>
      </c>
      <c r="D41" s="38">
        <v>1.35E-6</v>
      </c>
      <c r="E41" s="3"/>
      <c r="F41" s="38">
        <f t="shared" si="0"/>
        <v>9.6456692913385835E-5</v>
      </c>
      <c r="G41" s="38">
        <f t="shared" si="1"/>
        <v>9.4881889763779536E-6</v>
      </c>
      <c r="H41" s="38">
        <f t="shared" si="2"/>
        <v>5.3149606299212606E-5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720</v>
      </c>
      <c r="B42" s="38">
        <v>2.2800000000000002E-6</v>
      </c>
      <c r="C42" s="38">
        <v>2.3799999999999999E-7</v>
      </c>
      <c r="D42" s="38">
        <v>1.2500000000000001E-6</v>
      </c>
      <c r="E42" s="3"/>
      <c r="F42" s="38">
        <f t="shared" si="0"/>
        <v>8.9763779527559067E-5</v>
      </c>
      <c r="G42" s="38">
        <f t="shared" si="1"/>
        <v>9.370078740157481E-6</v>
      </c>
      <c r="H42" s="38">
        <f t="shared" si="2"/>
        <v>4.9212598425196856E-5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740</v>
      </c>
      <c r="B43" s="38">
        <v>2.12E-6</v>
      </c>
      <c r="C43" s="38">
        <v>2.35E-7</v>
      </c>
      <c r="D43" s="38">
        <v>1.15E-6</v>
      </c>
      <c r="E43" s="3"/>
      <c r="F43" s="38">
        <f t="shared" si="0"/>
        <v>8.3464566929133859E-5</v>
      </c>
      <c r="G43" s="38">
        <f t="shared" si="1"/>
        <v>9.2519685039370085E-6</v>
      </c>
      <c r="H43" s="38">
        <f t="shared" si="2"/>
        <v>4.5275590551181107E-5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760</v>
      </c>
      <c r="B44" s="38">
        <v>1.99E-6</v>
      </c>
      <c r="C44" s="38">
        <v>2.3099999999999999E-7</v>
      </c>
      <c r="D44" s="38">
        <v>1.0499999999999999E-6</v>
      </c>
      <c r="E44" s="3"/>
      <c r="F44" s="38">
        <f t="shared" si="0"/>
        <v>7.8346456692913397E-5</v>
      </c>
      <c r="G44" s="38">
        <f t="shared" si="1"/>
        <v>9.0944881889763773E-6</v>
      </c>
      <c r="H44" s="38">
        <f t="shared" si="2"/>
        <v>4.1338582677165357E-5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780</v>
      </c>
      <c r="B45" s="38">
        <v>1.8700000000000001E-6</v>
      </c>
      <c r="C45" s="38">
        <v>2.29E-7</v>
      </c>
      <c r="D45" s="38">
        <v>9.5600000000000004E-7</v>
      </c>
      <c r="E45" s="3"/>
      <c r="F45" s="38">
        <f t="shared" si="0"/>
        <v>7.3622047244094495E-5</v>
      </c>
      <c r="G45" s="38">
        <f t="shared" si="1"/>
        <v>9.0157480314960633E-6</v>
      </c>
      <c r="H45" s="38">
        <f t="shared" si="2"/>
        <v>3.7637795275590552E-5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800</v>
      </c>
      <c r="B46" s="38">
        <v>1.77E-6</v>
      </c>
      <c r="C46" s="38">
        <v>2.28E-7</v>
      </c>
      <c r="D46" s="38">
        <v>8.6499999999999998E-7</v>
      </c>
      <c r="E46" s="3"/>
      <c r="F46" s="38">
        <f t="shared" si="0"/>
        <v>6.9685039370078752E-5</v>
      </c>
      <c r="G46" s="38">
        <f t="shared" si="1"/>
        <v>8.9763779527559064E-6</v>
      </c>
      <c r="H46" s="38">
        <f t="shared" si="2"/>
        <v>3.4055118110236223E-5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820</v>
      </c>
      <c r="B47" s="38">
        <v>1.68E-6</v>
      </c>
      <c r="C47" s="38">
        <v>2.29E-7</v>
      </c>
      <c r="D47" s="38">
        <v>7.7800000000000001E-7</v>
      </c>
      <c r="E47" s="3"/>
      <c r="F47" s="38">
        <f t="shared" si="0"/>
        <v>6.6141732283464568E-5</v>
      </c>
      <c r="G47" s="38">
        <f t="shared" si="1"/>
        <v>9.0157480314960633E-6</v>
      </c>
      <c r="H47" s="38">
        <f t="shared" si="2"/>
        <v>3.0629921259842522E-5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840</v>
      </c>
      <c r="B48" s="38">
        <v>1.5999999999999999E-6</v>
      </c>
      <c r="C48" s="38">
        <v>2.3200000000000001E-7</v>
      </c>
      <c r="D48" s="38">
        <v>6.9599999999999999E-7</v>
      </c>
      <c r="E48" s="3"/>
      <c r="F48" s="38">
        <f t="shared" si="0"/>
        <v>6.2992125984251971E-5</v>
      </c>
      <c r="G48" s="38">
        <f t="shared" si="1"/>
        <v>9.1338582677165359E-6</v>
      </c>
      <c r="H48" s="38">
        <f t="shared" si="2"/>
        <v>2.7401574803149608E-5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860</v>
      </c>
      <c r="B49" s="38">
        <v>1.5200000000000001E-6</v>
      </c>
      <c r="C49" s="38">
        <v>2.36E-7</v>
      </c>
      <c r="D49" s="38">
        <v>6.1999999999999999E-7</v>
      </c>
      <c r="E49" s="3"/>
      <c r="F49" s="38">
        <f t="shared" si="0"/>
        <v>5.9842519685039374E-5</v>
      </c>
      <c r="G49" s="38">
        <f t="shared" si="1"/>
        <v>9.2913385826771654E-6</v>
      </c>
      <c r="H49" s="38">
        <f t="shared" si="2"/>
        <v>2.4409448818897638E-5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880</v>
      </c>
      <c r="B50" s="38">
        <v>1.46E-6</v>
      </c>
      <c r="C50" s="38">
        <v>2.4200000000000002E-7</v>
      </c>
      <c r="D50" s="38">
        <v>5.5300000000000004E-7</v>
      </c>
      <c r="E50" s="3"/>
      <c r="F50" s="38">
        <f t="shared" si="0"/>
        <v>5.7480314960629922E-5</v>
      </c>
      <c r="G50" s="38">
        <f t="shared" si="1"/>
        <v>9.5275590551181123E-6</v>
      </c>
      <c r="H50" s="38">
        <f t="shared" si="2"/>
        <v>2.1771653543307087E-5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900</v>
      </c>
      <c r="B51" s="38">
        <v>1.3999999999999999E-6</v>
      </c>
      <c r="C51" s="38">
        <v>2.4999999999999999E-7</v>
      </c>
      <c r="D51" s="38">
        <v>4.9800000000000004E-7</v>
      </c>
      <c r="E51" s="3"/>
      <c r="F51" s="38">
        <f t="shared" si="0"/>
        <v>5.5118110236220478E-5</v>
      </c>
      <c r="G51" s="38">
        <f t="shared" si="1"/>
        <v>9.8425196850393713E-6</v>
      </c>
      <c r="H51" s="38">
        <f t="shared" si="2"/>
        <v>1.9606299212598429E-5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920</v>
      </c>
      <c r="B52" s="38">
        <v>1.3400000000000001E-6</v>
      </c>
      <c r="C52" s="38">
        <v>2.5899999999999998E-7</v>
      </c>
      <c r="D52" s="38">
        <v>4.58E-7</v>
      </c>
      <c r="E52" s="3"/>
      <c r="F52" s="38">
        <f t="shared" si="0"/>
        <v>5.2755905511811027E-5</v>
      </c>
      <c r="G52" s="38">
        <f t="shared" si="1"/>
        <v>1.0196850393700786E-5</v>
      </c>
      <c r="H52" s="38">
        <f t="shared" si="2"/>
        <v>1.8031496062992127E-5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940</v>
      </c>
      <c r="B53" s="38">
        <v>1.2899999999999999E-6</v>
      </c>
      <c r="C53" s="38">
        <v>2.7000000000000001E-7</v>
      </c>
      <c r="D53" s="38">
        <v>4.3700000000000001E-7</v>
      </c>
      <c r="E53" s="3"/>
      <c r="F53" s="38">
        <f t="shared" si="0"/>
        <v>5.0787401574803148E-5</v>
      </c>
      <c r="G53" s="38">
        <f t="shared" si="1"/>
        <v>1.0629921259842521E-5</v>
      </c>
      <c r="H53" s="38">
        <f t="shared" si="2"/>
        <v>1.7204724409448819E-5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960</v>
      </c>
      <c r="B54" s="38">
        <v>1.24E-6</v>
      </c>
      <c r="C54" s="38">
        <v>2.8099999999999999E-7</v>
      </c>
      <c r="D54" s="38">
        <v>4.4099999999999999E-7</v>
      </c>
      <c r="E54" s="3"/>
      <c r="F54" s="38">
        <f t="shared" si="0"/>
        <v>4.8818897637795277E-5</v>
      </c>
      <c r="G54" s="38">
        <f t="shared" si="1"/>
        <v>1.1062992125984252E-5</v>
      </c>
      <c r="H54" s="38">
        <f t="shared" si="2"/>
        <v>1.736220472440945E-5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980</v>
      </c>
      <c r="B55" s="38">
        <v>1.19E-6</v>
      </c>
      <c r="C55" s="38">
        <v>2.9400000000000001E-7</v>
      </c>
      <c r="D55" s="38">
        <v>4.6800000000000001E-7</v>
      </c>
      <c r="E55" s="3"/>
      <c r="F55" s="38">
        <f t="shared" si="0"/>
        <v>4.6850393700787405E-5</v>
      </c>
      <c r="G55" s="38">
        <f t="shared" si="1"/>
        <v>1.1574803149606299E-5</v>
      </c>
      <c r="H55" s="38">
        <f t="shared" si="2"/>
        <v>1.8425196850393703E-5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1000</v>
      </c>
      <c r="B56" s="38">
        <v>1.1400000000000001E-6</v>
      </c>
      <c r="C56" s="38">
        <v>3.0699999999999998E-7</v>
      </c>
      <c r="D56" s="38">
        <v>5.1699999999999998E-7</v>
      </c>
      <c r="E56" s="3"/>
      <c r="F56" s="38">
        <f t="shared" si="0"/>
        <v>4.4881889763779534E-5</v>
      </c>
      <c r="G56" s="38">
        <f t="shared" si="1"/>
        <v>1.2086614173228347E-5</v>
      </c>
      <c r="H56" s="38">
        <f t="shared" si="2"/>
        <v>2.0354330708661419E-5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1020</v>
      </c>
      <c r="B57" s="38">
        <v>1.1000000000000001E-6</v>
      </c>
      <c r="C57" s="38">
        <v>3.22E-7</v>
      </c>
      <c r="D57" s="38">
        <v>5.82E-7</v>
      </c>
      <c r="E57" s="3"/>
      <c r="F57" s="38">
        <f t="shared" si="0"/>
        <v>4.3307086614173235E-5</v>
      </c>
      <c r="G57" s="38">
        <f t="shared" si="1"/>
        <v>1.2677165354330709E-5</v>
      </c>
      <c r="H57" s="38">
        <f t="shared" si="2"/>
        <v>2.2913385826771654E-5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1040</v>
      </c>
      <c r="B58" s="38">
        <v>1.0499999999999999E-6</v>
      </c>
      <c r="C58" s="38">
        <v>3.3700000000000001E-7</v>
      </c>
      <c r="D58" s="38">
        <v>6.5799999999999999E-7</v>
      </c>
      <c r="E58" s="3"/>
      <c r="F58" s="38">
        <f t="shared" si="0"/>
        <v>4.1338582677165357E-5</v>
      </c>
      <c r="G58" s="38">
        <f t="shared" si="1"/>
        <v>1.3267716535433072E-5</v>
      </c>
      <c r="H58" s="38">
        <f t="shared" si="2"/>
        <v>2.5905511811023623E-5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1060</v>
      </c>
      <c r="B59" s="38">
        <v>1.0100000000000001E-6</v>
      </c>
      <c r="C59" s="39">
        <v>3.53E-7</v>
      </c>
      <c r="D59" s="38">
        <v>7.4000000000000001E-7</v>
      </c>
      <c r="E59" s="3"/>
      <c r="F59" s="38">
        <f t="shared" si="0"/>
        <v>3.9763779527559058E-5</v>
      </c>
      <c r="G59" s="38">
        <f t="shared" si="1"/>
        <v>1.3897637795275592E-5</v>
      </c>
      <c r="H59" s="38">
        <f t="shared" si="2"/>
        <v>2.9133858267716538E-5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1080</v>
      </c>
      <c r="B60" s="38">
        <v>9.6700000000000002E-7</v>
      </c>
      <c r="C60" s="38">
        <v>3.7E-7</v>
      </c>
      <c r="D60" s="38">
        <v>8.23E-7</v>
      </c>
      <c r="E60" s="3"/>
      <c r="F60" s="38">
        <f t="shared" si="0"/>
        <v>3.8070866141732284E-5</v>
      </c>
      <c r="G60" s="38">
        <f t="shared" si="1"/>
        <v>1.4566929133858269E-5</v>
      </c>
      <c r="H60" s="38">
        <f t="shared" si="2"/>
        <v>3.2401574803149607E-5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1100</v>
      </c>
      <c r="B61" s="38">
        <v>9.2600000000000001E-7</v>
      </c>
      <c r="C61" s="38">
        <v>3.89E-7</v>
      </c>
      <c r="D61" s="38">
        <v>9.0599999999999999E-7</v>
      </c>
      <c r="E61" s="3"/>
      <c r="F61" s="38">
        <f t="shared" si="0"/>
        <v>3.6456692913385826E-5</v>
      </c>
      <c r="G61" s="38">
        <f t="shared" si="1"/>
        <v>1.5314960629921261E-5</v>
      </c>
      <c r="H61" s="38">
        <f t="shared" si="2"/>
        <v>3.566929133858268E-5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1120</v>
      </c>
      <c r="B62" s="38">
        <v>8.8999999999999995E-7</v>
      </c>
      <c r="C62" s="38">
        <v>4.0900000000000002E-7</v>
      </c>
      <c r="D62" s="38">
        <v>9.850000000000001E-7</v>
      </c>
      <c r="E62" s="3"/>
      <c r="F62" s="38">
        <f t="shared" si="0"/>
        <v>3.5039370078740156E-5</v>
      </c>
      <c r="G62" s="38">
        <f t="shared" si="1"/>
        <v>1.610236220472441E-5</v>
      </c>
      <c r="H62" s="38">
        <f t="shared" si="2"/>
        <v>3.8779527559055126E-5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1140</v>
      </c>
      <c r="B63" s="38">
        <v>8.5899999999999995E-7</v>
      </c>
      <c r="C63" s="38">
        <v>4.3000000000000001E-7</v>
      </c>
      <c r="D63" s="38">
        <v>1.06E-6</v>
      </c>
      <c r="E63" s="3"/>
      <c r="F63" s="38">
        <f t="shared" si="0"/>
        <v>3.3818897637795278E-5</v>
      </c>
      <c r="G63" s="38">
        <f t="shared" si="1"/>
        <v>1.6929133858267718E-5</v>
      </c>
      <c r="H63" s="38">
        <f t="shared" si="2"/>
        <v>4.173228346456693E-5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1160</v>
      </c>
      <c r="B64" s="38">
        <v>8.3799999999999996E-7</v>
      </c>
      <c r="C64" s="38">
        <v>4.5299999999999999E-7</v>
      </c>
      <c r="D64" s="38">
        <v>1.13E-6</v>
      </c>
      <c r="E64" s="3"/>
      <c r="F64" s="38">
        <f t="shared" si="0"/>
        <v>3.2992125984251967E-5</v>
      </c>
      <c r="G64" s="38">
        <f t="shared" si="1"/>
        <v>1.783464566929134E-5</v>
      </c>
      <c r="H64" s="38">
        <f t="shared" si="2"/>
        <v>4.4488188976377954E-5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1180</v>
      </c>
      <c r="B65" s="38">
        <v>8.2900000000000002E-7</v>
      </c>
      <c r="C65" s="38">
        <v>4.7899999999999999E-7</v>
      </c>
      <c r="D65" s="38">
        <v>1.19E-6</v>
      </c>
      <c r="E65" s="3"/>
      <c r="F65" s="38">
        <f t="shared" si="0"/>
        <v>3.2637795275590552E-5</v>
      </c>
      <c r="G65" s="38">
        <f t="shared" si="1"/>
        <v>1.8858267716535435E-5</v>
      </c>
      <c r="H65" s="38">
        <f t="shared" si="2"/>
        <v>4.6850393700787405E-5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1200</v>
      </c>
      <c r="B66" s="38">
        <v>8.3699999999999999E-7</v>
      </c>
      <c r="C66" s="38">
        <v>5.06E-7</v>
      </c>
      <c r="D66" s="38">
        <v>1.2500000000000001E-6</v>
      </c>
      <c r="E66" s="3"/>
      <c r="F66" s="38">
        <f t="shared" si="0"/>
        <v>3.2952755905511808E-5</v>
      </c>
      <c r="G66" s="38">
        <f t="shared" si="1"/>
        <v>1.9921259842519688E-5</v>
      </c>
      <c r="H66" s="38">
        <f t="shared" si="2"/>
        <v>4.9212598425196856E-5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1220</v>
      </c>
      <c r="B67" s="38">
        <v>8.6700000000000002E-7</v>
      </c>
      <c r="C67" s="38">
        <v>5.3600000000000004E-7</v>
      </c>
      <c r="D67" s="38">
        <v>1.3E-6</v>
      </c>
      <c r="E67" s="3"/>
      <c r="F67" s="38">
        <f t="shared" si="0"/>
        <v>3.413385826771654E-5</v>
      </c>
      <c r="G67" s="38">
        <f t="shared" si="1"/>
        <v>2.110236220472441E-5</v>
      </c>
      <c r="H67" s="38">
        <f t="shared" si="2"/>
        <v>5.1181102362204728E-5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1240</v>
      </c>
      <c r="B68" s="38">
        <v>9.1999999999999998E-7</v>
      </c>
      <c r="C68" s="38">
        <v>5.68E-7</v>
      </c>
      <c r="D68" s="38">
        <v>1.3400000000000001E-6</v>
      </c>
      <c r="E68" s="3"/>
      <c r="F68" s="38">
        <f t="shared" si="0"/>
        <v>3.6220472440944888E-5</v>
      </c>
      <c r="G68" s="38">
        <f t="shared" si="1"/>
        <v>2.2362204724409453E-5</v>
      </c>
      <c r="H68" s="38">
        <f t="shared" si="2"/>
        <v>5.2755905511811027E-5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1260</v>
      </c>
      <c r="B69" s="38">
        <v>9.9699999999999994E-7</v>
      </c>
      <c r="C69" s="38">
        <v>6.0100000000000005E-7</v>
      </c>
      <c r="D69" s="38">
        <v>1.3799999999999999E-6</v>
      </c>
      <c r="E69" s="3"/>
      <c r="F69" s="38">
        <f t="shared" si="0"/>
        <v>3.9251968503937002E-5</v>
      </c>
      <c r="G69" s="38">
        <f t="shared" si="1"/>
        <v>2.3661417322834651E-5</v>
      </c>
      <c r="H69" s="38">
        <f t="shared" si="2"/>
        <v>5.4330708661417325E-5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1280</v>
      </c>
      <c r="B70" s="38">
        <v>1.0899999999999999E-6</v>
      </c>
      <c r="C70" s="38">
        <v>6.3399999999999999E-7</v>
      </c>
      <c r="D70" s="38">
        <v>1.4100000000000001E-6</v>
      </c>
      <c r="E70" s="3"/>
      <c r="F70" s="38">
        <f t="shared" si="0"/>
        <v>4.2913385826771655E-5</v>
      </c>
      <c r="G70" s="38">
        <f t="shared" si="1"/>
        <v>2.4960629921259846E-5</v>
      </c>
      <c r="H70" s="38">
        <f t="shared" si="2"/>
        <v>5.5511811023622051E-5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1300</v>
      </c>
      <c r="B71" s="38">
        <v>1.2100000000000001E-6</v>
      </c>
      <c r="C71" s="38">
        <v>6.6700000000000003E-7</v>
      </c>
      <c r="D71" s="38">
        <v>1.4300000000000001E-6</v>
      </c>
      <c r="E71" s="3"/>
      <c r="F71" s="38">
        <f t="shared" ref="F71:F126" si="3">B71*1000/25.4</f>
        <v>4.7637795275590558E-5</v>
      </c>
      <c r="G71" s="38">
        <f t="shared" ref="G71:G126" si="4">C71*1000/25.4</f>
        <v>2.6259842519685044E-5</v>
      </c>
      <c r="H71" s="38">
        <f t="shared" ref="H71:H126" si="5">D71*1000/25.4</f>
        <v>5.6299212598425204E-5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1320</v>
      </c>
      <c r="B72" s="38">
        <v>1.3400000000000001E-6</v>
      </c>
      <c r="C72" s="38">
        <v>6.9800000000000003E-7</v>
      </c>
      <c r="D72" s="38">
        <v>1.4500000000000001E-6</v>
      </c>
      <c r="E72" s="3"/>
      <c r="F72" s="38">
        <f t="shared" si="3"/>
        <v>5.2755905511811027E-5</v>
      </c>
      <c r="G72" s="38">
        <f t="shared" si="4"/>
        <v>2.7480314960629925E-5</v>
      </c>
      <c r="H72" s="38">
        <f t="shared" si="5"/>
        <v>5.7086614173228356E-5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1340</v>
      </c>
      <c r="B73" s="38">
        <v>1.4699999999999999E-6</v>
      </c>
      <c r="C73" s="38">
        <v>7.2500000000000005E-7</v>
      </c>
      <c r="D73" s="38">
        <v>1.4699999999999999E-6</v>
      </c>
      <c r="E73" s="3"/>
      <c r="F73" s="38">
        <f t="shared" si="3"/>
        <v>5.7874015748031495E-5</v>
      </c>
      <c r="G73" s="38">
        <f t="shared" si="4"/>
        <v>2.8543307086614178E-5</v>
      </c>
      <c r="H73" s="38">
        <f t="shared" si="5"/>
        <v>5.7874015748031495E-5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1360</v>
      </c>
      <c r="B74" s="38">
        <v>1.5999999999999999E-6</v>
      </c>
      <c r="C74" s="38">
        <v>7.4700000000000001E-7</v>
      </c>
      <c r="D74" s="38">
        <v>1.48E-6</v>
      </c>
      <c r="E74" s="3"/>
      <c r="F74" s="38">
        <f t="shared" si="3"/>
        <v>6.2992125984251971E-5</v>
      </c>
      <c r="G74" s="38">
        <f t="shared" si="4"/>
        <v>2.9409448818897641E-5</v>
      </c>
      <c r="H74" s="38">
        <f t="shared" si="5"/>
        <v>5.8267716535433075E-5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1380</v>
      </c>
      <c r="B75" s="38">
        <v>1.72E-6</v>
      </c>
      <c r="C75" s="38">
        <v>7.6199999999999997E-7</v>
      </c>
      <c r="D75" s="38">
        <v>1.4899999999999999E-6</v>
      </c>
      <c r="E75" s="3"/>
      <c r="F75" s="38">
        <f t="shared" si="3"/>
        <v>6.7716535433070873E-5</v>
      </c>
      <c r="G75" s="38">
        <f t="shared" si="4"/>
        <v>3.0000000000000001E-5</v>
      </c>
      <c r="H75" s="38">
        <f t="shared" si="5"/>
        <v>5.8661417322834648E-5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1400</v>
      </c>
      <c r="B76" s="38">
        <v>1.8300000000000001E-6</v>
      </c>
      <c r="C76" s="38">
        <v>7.7000000000000004E-7</v>
      </c>
      <c r="D76" s="38">
        <v>1.4899999999999999E-6</v>
      </c>
      <c r="E76" s="3"/>
      <c r="F76" s="38">
        <f t="shared" si="3"/>
        <v>7.2047244094488189E-5</v>
      </c>
      <c r="G76" s="38">
        <f t="shared" si="4"/>
        <v>3.0314960629921263E-5</v>
      </c>
      <c r="H76" s="38">
        <f t="shared" si="5"/>
        <v>5.8661417322834648E-5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1420</v>
      </c>
      <c r="B77" s="38">
        <v>1.9199999999999998E-6</v>
      </c>
      <c r="C77" s="38">
        <v>7.7000000000000004E-7</v>
      </c>
      <c r="D77" s="38">
        <v>1.4899999999999999E-6</v>
      </c>
      <c r="E77" s="3"/>
      <c r="F77" s="38">
        <f t="shared" si="3"/>
        <v>7.559055118110236E-5</v>
      </c>
      <c r="G77" s="38">
        <f t="shared" si="4"/>
        <v>3.0314960629921263E-5</v>
      </c>
      <c r="H77" s="38">
        <f t="shared" si="5"/>
        <v>5.8661417322834648E-5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1440</v>
      </c>
      <c r="B78" s="38">
        <v>1.9800000000000001E-6</v>
      </c>
      <c r="C78" s="38">
        <v>7.6300000000000004E-7</v>
      </c>
      <c r="D78" s="38">
        <v>1.48E-6</v>
      </c>
      <c r="E78" s="3"/>
      <c r="F78" s="38">
        <f t="shared" si="3"/>
        <v>7.7952755905511811E-5</v>
      </c>
      <c r="G78" s="38">
        <f t="shared" si="4"/>
        <v>3.0039370078740159E-5</v>
      </c>
      <c r="H78" s="38">
        <f t="shared" si="5"/>
        <v>5.8267716535433075E-5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1460</v>
      </c>
      <c r="B79" s="38">
        <v>2.03E-6</v>
      </c>
      <c r="C79" s="38">
        <v>7.5099999999999999E-7</v>
      </c>
      <c r="D79" s="38">
        <v>1.4699999999999999E-6</v>
      </c>
      <c r="E79" s="3"/>
      <c r="F79" s="38">
        <f t="shared" si="3"/>
        <v>7.9921259842519689E-5</v>
      </c>
      <c r="G79" s="38">
        <f t="shared" si="4"/>
        <v>2.9566929133858273E-5</v>
      </c>
      <c r="H79" s="38">
        <f t="shared" si="5"/>
        <v>5.7874015748031495E-5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1480</v>
      </c>
      <c r="B80" s="38">
        <v>2.0600000000000002E-6</v>
      </c>
      <c r="C80" s="38">
        <v>7.3399999999999998E-7</v>
      </c>
      <c r="D80" s="38">
        <v>1.4699999999999999E-6</v>
      </c>
      <c r="E80" s="3"/>
      <c r="F80" s="38">
        <f t="shared" si="3"/>
        <v>8.1102362204724422E-5</v>
      </c>
      <c r="G80" s="38">
        <f t="shared" si="4"/>
        <v>2.8897637795275589E-5</v>
      </c>
      <c r="H80" s="38">
        <f t="shared" si="5"/>
        <v>5.7874015748031495E-5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1500</v>
      </c>
      <c r="B81" s="38">
        <v>2.0700000000000001E-6</v>
      </c>
      <c r="C81" s="38">
        <v>7.1399999999999996E-7</v>
      </c>
      <c r="D81" s="38">
        <v>1.46E-6</v>
      </c>
      <c r="E81" s="3"/>
      <c r="F81" s="38">
        <f t="shared" si="3"/>
        <v>8.1496062992125995E-5</v>
      </c>
      <c r="G81" s="38">
        <f t="shared" si="4"/>
        <v>2.8110236220472443E-5</v>
      </c>
      <c r="H81" s="38">
        <f t="shared" si="5"/>
        <v>5.7480314960629922E-5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1520</v>
      </c>
      <c r="B82" s="38">
        <v>2.0700000000000001E-6</v>
      </c>
      <c r="C82" s="38">
        <v>6.92E-7</v>
      </c>
      <c r="D82" s="38">
        <v>1.4500000000000001E-6</v>
      </c>
      <c r="E82" s="3"/>
      <c r="F82" s="38">
        <f t="shared" si="3"/>
        <v>8.1496062992125995E-5</v>
      </c>
      <c r="G82" s="38">
        <f t="shared" si="4"/>
        <v>2.724409448818898E-5</v>
      </c>
      <c r="H82" s="38">
        <f t="shared" si="5"/>
        <v>5.7086614173228356E-5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1540</v>
      </c>
      <c r="B83" s="38">
        <v>2.0600000000000002E-6</v>
      </c>
      <c r="C83" s="38">
        <v>6.6899999999999997E-7</v>
      </c>
      <c r="D83" s="38">
        <v>1.44E-6</v>
      </c>
      <c r="E83" s="3"/>
      <c r="F83" s="38">
        <f t="shared" si="3"/>
        <v>8.1102362204724422E-5</v>
      </c>
      <c r="G83" s="38">
        <f t="shared" si="4"/>
        <v>2.6338582677165355E-5</v>
      </c>
      <c r="H83" s="38">
        <f t="shared" si="5"/>
        <v>5.669291338582677E-5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1560</v>
      </c>
      <c r="B84" s="38">
        <v>2.04E-6</v>
      </c>
      <c r="C84" s="38">
        <v>6.4700000000000001E-7</v>
      </c>
      <c r="D84" s="38">
        <v>1.4300000000000001E-6</v>
      </c>
      <c r="E84" s="3"/>
      <c r="F84" s="38">
        <f t="shared" si="3"/>
        <v>8.0314960629921276E-5</v>
      </c>
      <c r="G84" s="38">
        <f t="shared" si="4"/>
        <v>2.5472440944881891E-5</v>
      </c>
      <c r="H84" s="38">
        <f t="shared" si="5"/>
        <v>5.6299212598425204E-5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1580</v>
      </c>
      <c r="B85" s="38">
        <v>2.0200000000000001E-6</v>
      </c>
      <c r="C85" s="38">
        <v>6.2500000000000005E-7</v>
      </c>
      <c r="D85" s="38">
        <v>1.42E-6</v>
      </c>
      <c r="E85" s="3"/>
      <c r="F85" s="38">
        <f t="shared" si="3"/>
        <v>7.9527559055118116E-5</v>
      </c>
      <c r="G85" s="38">
        <f t="shared" si="4"/>
        <v>2.4606299212598428E-5</v>
      </c>
      <c r="H85" s="38">
        <f t="shared" si="5"/>
        <v>5.5905511811023624E-5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1600</v>
      </c>
      <c r="B86" s="38">
        <v>1.9999999999999999E-6</v>
      </c>
      <c r="C86" s="38">
        <v>6.0399999999999996E-7</v>
      </c>
      <c r="D86" s="38">
        <v>1.4100000000000001E-6</v>
      </c>
      <c r="E86" s="3"/>
      <c r="F86" s="38">
        <f t="shared" si="3"/>
        <v>7.874015748031497E-5</v>
      </c>
      <c r="G86" s="38">
        <f t="shared" si="4"/>
        <v>2.3779527559055117E-5</v>
      </c>
      <c r="H86" s="38">
        <f t="shared" si="5"/>
        <v>5.5511811023622051E-5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1620</v>
      </c>
      <c r="B87" s="38">
        <v>1.9700000000000002E-6</v>
      </c>
      <c r="C87" s="38">
        <v>5.8400000000000004E-7</v>
      </c>
      <c r="D87" s="38">
        <v>1.3999999999999999E-6</v>
      </c>
      <c r="E87" s="3"/>
      <c r="F87" s="38">
        <f t="shared" si="3"/>
        <v>7.7559055118110252E-5</v>
      </c>
      <c r="G87" s="38">
        <f t="shared" si="4"/>
        <v>2.2992125984251971E-5</v>
      </c>
      <c r="H87" s="38">
        <f t="shared" si="5"/>
        <v>5.5118110236220478E-5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1640</v>
      </c>
      <c r="B88" s="38">
        <v>1.95E-6</v>
      </c>
      <c r="C88" s="38">
        <v>5.6599999999999996E-7</v>
      </c>
      <c r="D88" s="38">
        <v>1.39E-6</v>
      </c>
      <c r="E88" s="3"/>
      <c r="F88" s="38">
        <f t="shared" si="3"/>
        <v>7.6771653543307092E-5</v>
      </c>
      <c r="G88" s="38">
        <f t="shared" si="4"/>
        <v>2.2283464566929136E-5</v>
      </c>
      <c r="H88" s="38">
        <f t="shared" si="5"/>
        <v>5.4724409448818898E-5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1660</v>
      </c>
      <c r="B89" s="38">
        <v>1.9199999999999998E-6</v>
      </c>
      <c r="C89" s="38">
        <v>5.4799999999999998E-7</v>
      </c>
      <c r="D89" s="38">
        <v>1.39E-6</v>
      </c>
      <c r="E89" s="3"/>
      <c r="F89" s="38">
        <f t="shared" si="3"/>
        <v>7.559055118110236E-5</v>
      </c>
      <c r="G89" s="38">
        <f t="shared" si="4"/>
        <v>2.15748031496063E-5</v>
      </c>
      <c r="H89" s="38">
        <f t="shared" si="5"/>
        <v>5.4724409448818898E-5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1680</v>
      </c>
      <c r="B90" s="38">
        <v>1.9E-6</v>
      </c>
      <c r="C90" s="38">
        <v>5.3200000000000005E-7</v>
      </c>
      <c r="D90" s="38">
        <v>1.3799999999999999E-6</v>
      </c>
      <c r="E90" s="3"/>
      <c r="F90" s="38">
        <f t="shared" si="3"/>
        <v>7.4803149606299214E-5</v>
      </c>
      <c r="G90" s="38">
        <f t="shared" si="4"/>
        <v>2.0944881889763782E-5</v>
      </c>
      <c r="H90" s="38">
        <f t="shared" si="5"/>
        <v>5.4330708661417325E-5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1700</v>
      </c>
      <c r="B91" s="38">
        <v>1.8700000000000001E-6</v>
      </c>
      <c r="C91" s="38">
        <v>5.1699999999999998E-7</v>
      </c>
      <c r="D91" s="38">
        <v>1.37E-6</v>
      </c>
      <c r="E91" s="3"/>
      <c r="F91" s="38">
        <f t="shared" si="3"/>
        <v>7.3622047244094495E-5</v>
      </c>
      <c r="G91" s="38">
        <f t="shared" si="4"/>
        <v>2.0354330708661419E-5</v>
      </c>
      <c r="H91" s="38">
        <f t="shared" si="5"/>
        <v>5.3937007874015745E-5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1720</v>
      </c>
      <c r="B92" s="38">
        <v>1.8500000000000001E-6</v>
      </c>
      <c r="C92" s="38">
        <v>5.0299999999999999E-7</v>
      </c>
      <c r="D92" s="38">
        <v>1.3599999999999999E-6</v>
      </c>
      <c r="E92" s="3"/>
      <c r="F92" s="38">
        <f t="shared" si="3"/>
        <v>7.2834645669291349E-5</v>
      </c>
      <c r="G92" s="38">
        <f t="shared" si="4"/>
        <v>1.9803149606299212E-5</v>
      </c>
      <c r="H92" s="38">
        <f t="shared" si="5"/>
        <v>5.3543307086614173E-5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1740</v>
      </c>
      <c r="B93" s="38">
        <v>1.8300000000000001E-6</v>
      </c>
      <c r="C93" s="38">
        <v>4.8999999999999997E-7</v>
      </c>
      <c r="D93" s="38">
        <v>1.35E-6</v>
      </c>
      <c r="E93" s="3"/>
      <c r="F93" s="38">
        <f t="shared" si="3"/>
        <v>7.2047244094488189E-5</v>
      </c>
      <c r="G93" s="38">
        <f t="shared" si="4"/>
        <v>1.9291338582677166E-5</v>
      </c>
      <c r="H93" s="38">
        <f t="shared" si="5"/>
        <v>5.3149606299212606E-5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1760</v>
      </c>
      <c r="B94" s="38">
        <v>1.81E-6</v>
      </c>
      <c r="C94" s="38">
        <v>4.7800000000000002E-7</v>
      </c>
      <c r="D94" s="38">
        <v>1.3400000000000001E-6</v>
      </c>
      <c r="E94" s="3"/>
      <c r="F94" s="38">
        <f t="shared" si="3"/>
        <v>7.1259842519685044E-5</v>
      </c>
      <c r="G94" s="38">
        <f t="shared" si="4"/>
        <v>1.8818897637795276E-5</v>
      </c>
      <c r="H94" s="38">
        <f t="shared" si="5"/>
        <v>5.2755905511811027E-5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1780</v>
      </c>
      <c r="B95" s="38">
        <v>1.79E-6</v>
      </c>
      <c r="C95" s="38">
        <v>4.6699999999999999E-7</v>
      </c>
      <c r="D95" s="38">
        <v>1.3400000000000001E-6</v>
      </c>
      <c r="E95" s="3"/>
      <c r="F95" s="38">
        <f t="shared" si="3"/>
        <v>7.0472440944881884E-5</v>
      </c>
      <c r="G95" s="38">
        <f t="shared" si="4"/>
        <v>1.8385826771653544E-5</v>
      </c>
      <c r="H95" s="38">
        <f t="shared" si="5"/>
        <v>5.2755905511811027E-5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1800</v>
      </c>
      <c r="B96" s="38">
        <v>1.77E-6</v>
      </c>
      <c r="C96" s="38">
        <v>4.5600000000000001E-7</v>
      </c>
      <c r="D96" s="38">
        <v>1.33E-6</v>
      </c>
      <c r="E96" s="3"/>
      <c r="F96" s="38">
        <f t="shared" si="3"/>
        <v>6.9685039370078752E-5</v>
      </c>
      <c r="G96" s="38">
        <f t="shared" si="4"/>
        <v>1.7952755905511813E-5</v>
      </c>
      <c r="H96" s="38">
        <f t="shared" si="5"/>
        <v>5.2362204724409454E-5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1820</v>
      </c>
      <c r="B97" s="38">
        <v>1.75E-6</v>
      </c>
      <c r="C97" s="38">
        <v>4.46E-7</v>
      </c>
      <c r="D97" s="38">
        <v>1.3200000000000001E-6</v>
      </c>
      <c r="E97" s="3"/>
      <c r="F97" s="38">
        <f t="shared" si="3"/>
        <v>6.8897637795275592E-5</v>
      </c>
      <c r="G97" s="38">
        <f t="shared" si="4"/>
        <v>1.7559055118110236E-5</v>
      </c>
      <c r="H97" s="38">
        <f t="shared" si="5"/>
        <v>5.1968503937007874E-5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1840</v>
      </c>
      <c r="B98" s="38">
        <v>1.73E-6</v>
      </c>
      <c r="C98" s="38">
        <v>4.3700000000000001E-7</v>
      </c>
      <c r="D98" s="38">
        <v>1.3200000000000001E-6</v>
      </c>
      <c r="E98" s="3"/>
      <c r="F98" s="38">
        <f t="shared" si="3"/>
        <v>6.8110236220472446E-5</v>
      </c>
      <c r="G98" s="38">
        <f t="shared" si="4"/>
        <v>1.7204724409448819E-5</v>
      </c>
      <c r="H98" s="38">
        <f t="shared" si="5"/>
        <v>5.1968503937007874E-5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1860</v>
      </c>
      <c r="B99" s="38">
        <v>1.7099999999999999E-6</v>
      </c>
      <c r="C99" s="38">
        <v>4.2800000000000002E-7</v>
      </c>
      <c r="D99" s="38">
        <v>1.31E-6</v>
      </c>
      <c r="E99" s="3"/>
      <c r="F99" s="38">
        <f t="shared" si="3"/>
        <v>6.7322834645669287E-5</v>
      </c>
      <c r="G99" s="38">
        <f t="shared" si="4"/>
        <v>1.6850393700787401E-5</v>
      </c>
      <c r="H99" s="38">
        <f t="shared" si="5"/>
        <v>5.1574803149606301E-5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1880</v>
      </c>
      <c r="B100" s="38">
        <v>1.7E-6</v>
      </c>
      <c r="C100" s="38">
        <v>4.2E-7</v>
      </c>
      <c r="D100" s="38">
        <v>1.3E-6</v>
      </c>
      <c r="E100" s="3"/>
      <c r="F100" s="38">
        <f t="shared" si="3"/>
        <v>6.6929133858267728E-5</v>
      </c>
      <c r="G100" s="38">
        <f t="shared" si="4"/>
        <v>1.6535433070866142E-5</v>
      </c>
      <c r="H100" s="38">
        <f t="shared" si="5"/>
        <v>5.1181102362204728E-5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1900</v>
      </c>
      <c r="B101" s="38">
        <v>1.68E-6</v>
      </c>
      <c r="C101" s="38">
        <v>4.1300000000000001E-7</v>
      </c>
      <c r="D101" s="38">
        <v>1.3E-6</v>
      </c>
      <c r="E101" s="3"/>
      <c r="F101" s="38">
        <f t="shared" si="3"/>
        <v>6.6141732283464568E-5</v>
      </c>
      <c r="G101" s="38">
        <f t="shared" si="4"/>
        <v>1.6259842519685042E-5</v>
      </c>
      <c r="H101" s="38">
        <f t="shared" si="5"/>
        <v>5.1181102362204728E-5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1920</v>
      </c>
      <c r="B102" s="38">
        <v>1.6700000000000001E-6</v>
      </c>
      <c r="C102" s="38">
        <v>4.0499999999999999E-7</v>
      </c>
      <c r="D102" s="38">
        <v>1.2899999999999999E-6</v>
      </c>
      <c r="E102" s="3"/>
      <c r="F102" s="38">
        <f t="shared" si="3"/>
        <v>6.5748031496062995E-5</v>
      </c>
      <c r="G102" s="38">
        <f t="shared" si="4"/>
        <v>1.5944881889763779E-5</v>
      </c>
      <c r="H102" s="38">
        <f t="shared" si="5"/>
        <v>5.0787401574803148E-5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1940</v>
      </c>
      <c r="B103" s="38">
        <v>1.66E-6</v>
      </c>
      <c r="C103" s="38">
        <v>3.9900000000000001E-7</v>
      </c>
      <c r="D103" s="38">
        <v>1.2899999999999999E-6</v>
      </c>
      <c r="E103" s="3"/>
      <c r="F103" s="38">
        <f t="shared" si="3"/>
        <v>6.5354330708661422E-5</v>
      </c>
      <c r="G103" s="38">
        <f t="shared" si="4"/>
        <v>1.5708661417322834E-5</v>
      </c>
      <c r="H103" s="38">
        <f t="shared" si="5"/>
        <v>5.0787401574803148E-5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1960</v>
      </c>
      <c r="B104" s="38">
        <v>1.64E-6</v>
      </c>
      <c r="C104" s="38">
        <v>3.9200000000000002E-7</v>
      </c>
      <c r="D104" s="38">
        <v>1.28E-6</v>
      </c>
      <c r="E104" s="3"/>
      <c r="F104" s="38">
        <f t="shared" si="3"/>
        <v>6.4566929133858276E-5</v>
      </c>
      <c r="G104" s="38">
        <f t="shared" si="4"/>
        <v>1.5433070866141734E-5</v>
      </c>
      <c r="H104" s="38">
        <f t="shared" si="5"/>
        <v>5.0393700787401582E-5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1980</v>
      </c>
      <c r="B105" s="38">
        <v>1.6300000000000001E-6</v>
      </c>
      <c r="C105" s="38">
        <v>3.8599999999999999E-7</v>
      </c>
      <c r="D105" s="38">
        <v>1.28E-6</v>
      </c>
      <c r="E105" s="3"/>
      <c r="F105" s="38">
        <f t="shared" si="3"/>
        <v>6.4173228346456703E-5</v>
      </c>
      <c r="G105" s="38">
        <f t="shared" si="4"/>
        <v>1.5196850393700789E-5</v>
      </c>
      <c r="H105" s="38">
        <f t="shared" si="5"/>
        <v>5.0393700787401582E-5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2000</v>
      </c>
      <c r="B106" s="38">
        <v>1.6199999999999999E-6</v>
      </c>
      <c r="C106" s="38">
        <v>3.8099999999999998E-7</v>
      </c>
      <c r="D106" s="38">
        <v>1.2699999999999999E-6</v>
      </c>
      <c r="E106" s="3"/>
      <c r="F106" s="38">
        <f t="shared" si="3"/>
        <v>6.3779527559055117E-5</v>
      </c>
      <c r="G106" s="38">
        <f t="shared" si="4"/>
        <v>1.5E-5</v>
      </c>
      <c r="H106" s="38">
        <f t="shared" si="5"/>
        <v>4.9999999999999996E-5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2020</v>
      </c>
      <c r="B107" s="38">
        <v>1.61E-6</v>
      </c>
      <c r="C107" s="38">
        <v>3.7599999999999998E-7</v>
      </c>
      <c r="D107" s="38">
        <v>1.2699999999999999E-6</v>
      </c>
      <c r="E107" s="3"/>
      <c r="F107" s="38">
        <f t="shared" si="3"/>
        <v>6.3385826771653557E-5</v>
      </c>
      <c r="G107" s="38">
        <f t="shared" si="4"/>
        <v>1.4803149606299212E-5</v>
      </c>
      <c r="H107" s="38">
        <f t="shared" si="5"/>
        <v>4.9999999999999996E-5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2040</v>
      </c>
      <c r="B108" s="38">
        <v>1.5999999999999999E-6</v>
      </c>
      <c r="C108" s="38">
        <v>3.7099999999999997E-7</v>
      </c>
      <c r="D108" s="38">
        <v>1.26E-6</v>
      </c>
      <c r="E108" s="3"/>
      <c r="F108" s="38">
        <f t="shared" si="3"/>
        <v>6.2992125984251971E-5</v>
      </c>
      <c r="G108" s="38">
        <f t="shared" si="4"/>
        <v>1.4606299212598424E-5</v>
      </c>
      <c r="H108" s="38">
        <f t="shared" si="5"/>
        <v>4.9606299212598429E-5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2060</v>
      </c>
      <c r="B109" s="38">
        <v>1.59E-6</v>
      </c>
      <c r="C109" s="38">
        <v>3.6600000000000002E-7</v>
      </c>
      <c r="D109" s="38">
        <v>1.26E-6</v>
      </c>
      <c r="E109" s="3"/>
      <c r="F109" s="38">
        <f t="shared" si="3"/>
        <v>6.2598425196850398E-5</v>
      </c>
      <c r="G109" s="38">
        <f t="shared" si="4"/>
        <v>1.4409448818897639E-5</v>
      </c>
      <c r="H109" s="38">
        <f t="shared" si="5"/>
        <v>4.9606299212598429E-5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2080</v>
      </c>
      <c r="B110" s="38">
        <v>1.5799999999999999E-6</v>
      </c>
      <c r="C110" s="38">
        <v>3.6100000000000002E-7</v>
      </c>
      <c r="D110" s="38">
        <v>1.26E-6</v>
      </c>
      <c r="E110" s="3"/>
      <c r="F110" s="38">
        <f t="shared" si="3"/>
        <v>6.2204724409448811E-5</v>
      </c>
      <c r="G110" s="38">
        <f t="shared" si="4"/>
        <v>1.4212598425196851E-5</v>
      </c>
      <c r="H110" s="38">
        <f t="shared" si="5"/>
        <v>4.9606299212598429E-5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2100</v>
      </c>
      <c r="B111" s="38">
        <v>1.57E-6</v>
      </c>
      <c r="C111" s="38">
        <v>3.5699999999999998E-7</v>
      </c>
      <c r="D111" s="38">
        <v>1.2500000000000001E-6</v>
      </c>
      <c r="E111" s="3"/>
      <c r="F111" s="38">
        <f t="shared" si="3"/>
        <v>6.1811023622047252E-5</v>
      </c>
      <c r="G111" s="38">
        <f t="shared" si="4"/>
        <v>1.4055118110236222E-5</v>
      </c>
      <c r="H111" s="38">
        <f t="shared" si="5"/>
        <v>4.9212598425196856E-5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2120</v>
      </c>
      <c r="B112" s="38">
        <v>1.5600000000000001E-6</v>
      </c>
      <c r="C112" s="38">
        <v>3.53E-7</v>
      </c>
      <c r="D112" s="38">
        <v>1.2500000000000001E-6</v>
      </c>
      <c r="E112" s="3"/>
      <c r="F112" s="38">
        <f t="shared" si="3"/>
        <v>6.1417322834645679E-5</v>
      </c>
      <c r="G112" s="38">
        <f t="shared" si="4"/>
        <v>1.3897637795275592E-5</v>
      </c>
      <c r="H112" s="38">
        <f t="shared" si="5"/>
        <v>4.9212598425196856E-5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2140</v>
      </c>
      <c r="B113" s="38">
        <v>1.55E-6</v>
      </c>
      <c r="C113" s="38">
        <v>3.4900000000000001E-7</v>
      </c>
      <c r="D113" s="38">
        <v>1.24E-6</v>
      </c>
      <c r="E113" s="3"/>
      <c r="F113" s="38">
        <f t="shared" si="3"/>
        <v>6.1023622047244093E-5</v>
      </c>
      <c r="G113" s="38">
        <f t="shared" si="4"/>
        <v>1.3740157480314963E-5</v>
      </c>
      <c r="H113" s="38">
        <f t="shared" si="5"/>
        <v>4.8818897637795277E-5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2160</v>
      </c>
      <c r="B114" s="38">
        <v>1.5400000000000001E-6</v>
      </c>
      <c r="C114" s="38">
        <v>3.4499999999999998E-7</v>
      </c>
      <c r="D114" s="38">
        <v>1.24E-6</v>
      </c>
      <c r="E114" s="3"/>
      <c r="F114" s="38">
        <f t="shared" si="3"/>
        <v>6.0629921259842526E-5</v>
      </c>
      <c r="G114" s="38">
        <f t="shared" si="4"/>
        <v>1.3582677165354331E-5</v>
      </c>
      <c r="H114" s="38">
        <f t="shared" si="5"/>
        <v>4.8818897637795277E-5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2180</v>
      </c>
      <c r="B115" s="38">
        <v>1.5400000000000001E-6</v>
      </c>
      <c r="C115" s="38">
        <v>3.4200000000000002E-7</v>
      </c>
      <c r="D115" s="38">
        <v>1.24E-6</v>
      </c>
      <c r="E115" s="3"/>
      <c r="F115" s="38">
        <f t="shared" si="3"/>
        <v>6.0629921259842526E-5</v>
      </c>
      <c r="G115" s="38">
        <f t="shared" si="4"/>
        <v>1.346456692913386E-5</v>
      </c>
      <c r="H115" s="38">
        <f t="shared" si="5"/>
        <v>4.8818897637795277E-5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2200</v>
      </c>
      <c r="B116" s="38">
        <v>1.53E-6</v>
      </c>
      <c r="C116" s="38">
        <v>3.3799999999999998E-7</v>
      </c>
      <c r="D116" s="38">
        <v>1.2300000000000001E-6</v>
      </c>
      <c r="E116" s="3"/>
      <c r="F116" s="38">
        <f t="shared" si="3"/>
        <v>6.0236220472440947E-5</v>
      </c>
      <c r="G116" s="38">
        <f t="shared" si="4"/>
        <v>1.3307086614173228E-5</v>
      </c>
      <c r="H116" s="38">
        <f t="shared" si="5"/>
        <v>4.8425196850393711E-5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2220</v>
      </c>
      <c r="B117" s="38">
        <v>1.5200000000000001E-6</v>
      </c>
      <c r="C117" s="38">
        <v>3.3500000000000002E-7</v>
      </c>
      <c r="D117" s="38">
        <v>1.2300000000000001E-6</v>
      </c>
      <c r="E117" s="3"/>
      <c r="F117" s="38">
        <f t="shared" si="3"/>
        <v>5.9842519685039374E-5</v>
      </c>
      <c r="G117" s="38">
        <f t="shared" si="4"/>
        <v>1.3188976377952757E-5</v>
      </c>
      <c r="H117" s="38">
        <f t="shared" si="5"/>
        <v>4.8425196850393711E-5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2240</v>
      </c>
      <c r="B118" s="38">
        <v>1.5099999999999999E-6</v>
      </c>
      <c r="C118" s="38">
        <v>3.3200000000000001E-7</v>
      </c>
      <c r="D118" s="38">
        <v>1.22E-6</v>
      </c>
      <c r="E118" s="3"/>
      <c r="F118" s="38">
        <f t="shared" si="3"/>
        <v>5.9448818897637794E-5</v>
      </c>
      <c r="G118" s="38">
        <f t="shared" si="4"/>
        <v>1.3070866141732284E-5</v>
      </c>
      <c r="H118" s="38">
        <f t="shared" si="5"/>
        <v>4.8031496062992124E-5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2260</v>
      </c>
      <c r="B119" s="38">
        <v>1.5099999999999999E-6</v>
      </c>
      <c r="C119" s="38">
        <v>3.2899999999999999E-7</v>
      </c>
      <c r="D119" s="38">
        <v>1.22E-6</v>
      </c>
      <c r="E119" s="3"/>
      <c r="F119" s="38">
        <f t="shared" si="3"/>
        <v>5.9448818897637794E-5</v>
      </c>
      <c r="G119" s="38">
        <f t="shared" si="4"/>
        <v>1.2952755905511812E-5</v>
      </c>
      <c r="H119" s="38">
        <f t="shared" si="5"/>
        <v>4.8031496062992124E-5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2280</v>
      </c>
      <c r="B120" s="38">
        <v>1.5E-6</v>
      </c>
      <c r="C120" s="38">
        <v>3.27E-7</v>
      </c>
      <c r="D120" s="38">
        <v>1.22E-6</v>
      </c>
      <c r="E120" s="3"/>
      <c r="F120" s="38">
        <f t="shared" si="3"/>
        <v>5.9055118110236228E-5</v>
      </c>
      <c r="G120" s="38">
        <f t="shared" si="4"/>
        <v>1.2874015748031496E-5</v>
      </c>
      <c r="H120" s="38">
        <f t="shared" si="5"/>
        <v>4.8031496062992124E-5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2300</v>
      </c>
      <c r="B121" s="38">
        <v>1.4899999999999999E-6</v>
      </c>
      <c r="C121" s="38">
        <v>3.2399999999999999E-7</v>
      </c>
      <c r="D121" s="38">
        <v>1.2100000000000001E-6</v>
      </c>
      <c r="E121" s="3"/>
      <c r="F121" s="38">
        <f t="shared" si="3"/>
        <v>5.8661417322834648E-5</v>
      </c>
      <c r="G121" s="38">
        <f t="shared" si="4"/>
        <v>1.2755905511811025E-5</v>
      </c>
      <c r="H121" s="38">
        <f t="shared" si="5"/>
        <v>4.7637795275590558E-5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2320</v>
      </c>
      <c r="B122" s="38">
        <v>1.4899999999999999E-6</v>
      </c>
      <c r="C122" s="38">
        <v>3.22E-7</v>
      </c>
      <c r="D122" s="38">
        <v>1.2100000000000001E-6</v>
      </c>
      <c r="E122" s="3"/>
      <c r="F122" s="38">
        <f t="shared" si="3"/>
        <v>5.8661417322834648E-5</v>
      </c>
      <c r="G122" s="38">
        <f t="shared" si="4"/>
        <v>1.2677165354330709E-5</v>
      </c>
      <c r="H122" s="38">
        <f t="shared" si="5"/>
        <v>4.7637795275590558E-5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2340</v>
      </c>
      <c r="B123" s="38">
        <v>1.48E-6</v>
      </c>
      <c r="C123" s="38">
        <v>3.2000000000000001E-7</v>
      </c>
      <c r="D123" s="38">
        <v>1.2100000000000001E-6</v>
      </c>
      <c r="E123" s="3"/>
      <c r="F123" s="38">
        <f t="shared" si="3"/>
        <v>5.8267716535433075E-5</v>
      </c>
      <c r="G123" s="38">
        <f t="shared" si="4"/>
        <v>1.2598425196850396E-5</v>
      </c>
      <c r="H123" s="38">
        <f t="shared" si="5"/>
        <v>4.7637795275590558E-5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2360</v>
      </c>
      <c r="B124" s="38">
        <v>1.48E-6</v>
      </c>
      <c r="C124" s="38">
        <v>3.1699999999999999E-7</v>
      </c>
      <c r="D124" s="38">
        <v>1.1999999999999999E-6</v>
      </c>
      <c r="E124" s="3"/>
      <c r="F124" s="38">
        <f t="shared" si="3"/>
        <v>5.8267716535433075E-5</v>
      </c>
      <c r="G124" s="38">
        <f t="shared" si="4"/>
        <v>1.2480314960629923E-5</v>
      </c>
      <c r="H124" s="38">
        <f t="shared" si="5"/>
        <v>4.7244094488188978E-5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2380</v>
      </c>
      <c r="B125" s="38">
        <v>1.4699999999999999E-6</v>
      </c>
      <c r="C125" s="38">
        <v>3.15E-7</v>
      </c>
      <c r="D125" s="38">
        <v>1.1999999999999999E-6</v>
      </c>
      <c r="E125" s="3"/>
      <c r="F125" s="38">
        <f t="shared" si="3"/>
        <v>5.7874015748031495E-5</v>
      </c>
      <c r="G125" s="38">
        <f t="shared" si="4"/>
        <v>1.2401574803149607E-5</v>
      </c>
      <c r="H125" s="38">
        <f t="shared" si="5"/>
        <v>4.7244094488188978E-5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2400</v>
      </c>
      <c r="B126" s="38">
        <v>1.4699999999999999E-6</v>
      </c>
      <c r="C126" s="38">
        <v>3.1300000000000001E-7</v>
      </c>
      <c r="D126" s="38">
        <v>1.1999999999999999E-6</v>
      </c>
      <c r="E126" s="3"/>
      <c r="F126" s="38">
        <f t="shared" si="3"/>
        <v>5.7874015748031495E-5</v>
      </c>
      <c r="G126" s="38">
        <f t="shared" si="4"/>
        <v>1.2322834645669293E-5</v>
      </c>
      <c r="H126" s="38">
        <f t="shared" si="5"/>
        <v>4.7244094488188978E-5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2.96E-6</v>
      </c>
      <c r="C128" s="38">
        <f>MAX(C6:C126)</f>
        <v>7.7000000000000004E-7</v>
      </c>
      <c r="D128" s="38">
        <f>MAX(D6:D126)</f>
        <v>1.55E-6</v>
      </c>
      <c r="E128" s="4"/>
      <c r="F128" s="38">
        <f>MAX(F20:F126)</f>
        <v>1.1653543307086615E-4</v>
      </c>
      <c r="G128" s="38">
        <f>MAX(G20:G126)</f>
        <v>3.0314960629921263E-5</v>
      </c>
      <c r="H128" s="38">
        <f>MAX(H20:H126)</f>
        <v>6.1023622047244093E-5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5.5794685527754727E-4</v>
      </c>
      <c r="C129" s="38">
        <f>C128*limits!$E29</f>
        <v>1.4514158059584844E-4</v>
      </c>
      <c r="D129" s="38">
        <f>D128*limits!$E29</f>
        <v>2.9216811678385075E-4</v>
      </c>
      <c r="E129" s="4"/>
      <c r="F129" s="38">
        <f>F128*limits!$E29</f>
        <v>2.1966411625100286E-2</v>
      </c>
      <c r="G129" s="38">
        <f>G128*limits!$E29</f>
        <v>5.7142354565294668E-3</v>
      </c>
      <c r="H129" s="38">
        <f>H128*limits!$E29</f>
        <v>1.1502681763143729E-2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B4:D4"/>
    <mergeCell ref="F4:H4"/>
    <mergeCell ref="A4:A5"/>
  </mergeCells>
  <phoneticPr fontId="4" type="noConversion"/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2571-C194-4C4D-A51A-3BDCC40F2315}">
  <dimension ref="A1:AD140"/>
  <sheetViews>
    <sheetView showGridLines="0" zoomScaleNormal="100" workbookViewId="0">
      <selection activeCell="K34" sqref="K34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32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38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2" t="s">
        <v>35</v>
      </c>
      <c r="B4" s="41" t="s">
        <v>36</v>
      </c>
      <c r="C4" s="41"/>
      <c r="D4" s="41"/>
      <c r="E4" s="3"/>
      <c r="F4" s="41" t="s">
        <v>37</v>
      </c>
      <c r="G4" s="41"/>
      <c r="H4" s="4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3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1.7500000000000001E-16</v>
      </c>
      <c r="C6" s="38">
        <v>1.5400000000000001E-17</v>
      </c>
      <c r="D6" s="38">
        <v>1.6600000000000001E-16</v>
      </c>
      <c r="E6" s="3"/>
      <c r="F6" s="38">
        <f>B6*1000/25.4</f>
        <v>6.8897637795275601E-15</v>
      </c>
      <c r="G6" s="38">
        <f>C6*1000/25.4</f>
        <v>6.0629921259842534E-16</v>
      </c>
      <c r="H6" s="38">
        <f>D6*1000/25.4</f>
        <v>6.5354330708661425E-15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20</v>
      </c>
      <c r="B7" s="38">
        <v>7.7000000000000003E-10</v>
      </c>
      <c r="C7" s="38">
        <v>6.7699999999999996E-11</v>
      </c>
      <c r="D7" s="38">
        <v>7.2799999999999997E-10</v>
      </c>
      <c r="E7" s="3"/>
      <c r="F7" s="38">
        <f t="shared" ref="F7:H70" si="0">B7*1000/25.4</f>
        <v>3.0314960629921261E-8</v>
      </c>
      <c r="G7" s="38">
        <f t="shared" si="0"/>
        <v>2.6653543307086611E-9</v>
      </c>
      <c r="H7" s="38">
        <f t="shared" si="0"/>
        <v>2.8661417322834645E-8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40</v>
      </c>
      <c r="B8" s="38">
        <v>3.0899999999999999E-9</v>
      </c>
      <c r="C8" s="38">
        <v>2.7199999999999999E-10</v>
      </c>
      <c r="D8" s="38">
        <v>2.9100000000000001E-9</v>
      </c>
      <c r="E8" s="3"/>
      <c r="F8" s="38">
        <f t="shared" si="0"/>
        <v>1.2165354330708663E-7</v>
      </c>
      <c r="G8" s="38">
        <f t="shared" si="0"/>
        <v>1.0708661417322836E-8</v>
      </c>
      <c r="H8" s="38">
        <f t="shared" si="0"/>
        <v>1.1456692913385827E-7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60</v>
      </c>
      <c r="B9" s="38">
        <v>7.0100000000000004E-9</v>
      </c>
      <c r="C9" s="38">
        <v>6.1600000000000004E-10</v>
      </c>
      <c r="D9" s="38">
        <v>6.5499999999999999E-9</v>
      </c>
      <c r="E9" s="3"/>
      <c r="F9" s="38">
        <f t="shared" si="0"/>
        <v>2.7598425196850396E-7</v>
      </c>
      <c r="G9" s="38">
        <f t="shared" si="0"/>
        <v>2.4251968503937008E-8</v>
      </c>
      <c r="H9" s="38">
        <f t="shared" si="0"/>
        <v>2.578740157480315E-7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80</v>
      </c>
      <c r="B10" s="38">
        <v>1.26E-8</v>
      </c>
      <c r="C10" s="38">
        <v>1.1100000000000001E-9</v>
      </c>
      <c r="D10" s="38">
        <v>1.16E-8</v>
      </c>
      <c r="E10" s="3"/>
      <c r="F10" s="38">
        <f t="shared" si="0"/>
        <v>4.960629921259843E-7</v>
      </c>
      <c r="G10" s="38">
        <f t="shared" si="0"/>
        <v>4.370078740157481E-8</v>
      </c>
      <c r="H10" s="38">
        <f t="shared" si="0"/>
        <v>4.5669291338582676E-7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100</v>
      </c>
      <c r="B11" s="38">
        <v>2E-8</v>
      </c>
      <c r="C11" s="38">
        <v>1.75E-9</v>
      </c>
      <c r="D11" s="38">
        <v>1.8200000000000001E-8</v>
      </c>
      <c r="E11" s="3"/>
      <c r="F11" s="38">
        <f t="shared" si="0"/>
        <v>7.8740157480314972E-7</v>
      </c>
      <c r="G11" s="38">
        <f t="shared" si="0"/>
        <v>6.8897637795275587E-8</v>
      </c>
      <c r="H11" s="38">
        <f t="shared" si="0"/>
        <v>7.1653543307086631E-7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120</v>
      </c>
      <c r="B12" s="38">
        <v>2.92E-8</v>
      </c>
      <c r="C12" s="38">
        <v>2.5599999999999998E-9</v>
      </c>
      <c r="D12" s="38">
        <v>2.6300000000000001E-8</v>
      </c>
      <c r="E12" s="3"/>
      <c r="F12" s="38">
        <f t="shared" si="0"/>
        <v>1.1496062992125985E-6</v>
      </c>
      <c r="G12" s="38">
        <f t="shared" si="0"/>
        <v>1.0078740157480316E-7</v>
      </c>
      <c r="H12" s="38">
        <f t="shared" si="0"/>
        <v>1.0354330708661418E-6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140</v>
      </c>
      <c r="B13" s="38">
        <v>4.0499999999999999E-8</v>
      </c>
      <c r="C13" s="38">
        <v>3.5499999999999999E-9</v>
      </c>
      <c r="D13" s="38">
        <v>3.6099999999999999E-8</v>
      </c>
      <c r="E13" s="3"/>
      <c r="F13" s="38">
        <f t="shared" si="0"/>
        <v>1.5944881889763781E-6</v>
      </c>
      <c r="G13" s="38">
        <f t="shared" si="0"/>
        <v>1.3976377952755906E-7</v>
      </c>
      <c r="H13" s="38">
        <f t="shared" si="0"/>
        <v>1.4212598425196851E-6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160</v>
      </c>
      <c r="B14" s="38">
        <v>5.4100000000000001E-8</v>
      </c>
      <c r="C14" s="38">
        <v>4.73E-9</v>
      </c>
      <c r="D14" s="38">
        <v>4.7699999999999997E-8</v>
      </c>
      <c r="E14" s="3"/>
      <c r="F14" s="38">
        <f t="shared" si="0"/>
        <v>2.1299212598425198E-6</v>
      </c>
      <c r="G14" s="38">
        <f t="shared" si="0"/>
        <v>1.8622047244094487E-7</v>
      </c>
      <c r="H14" s="38">
        <f t="shared" si="0"/>
        <v>1.8779527559055118E-6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180</v>
      </c>
      <c r="B15" s="38">
        <v>7.0099999999999999E-8</v>
      </c>
      <c r="C15" s="38">
        <v>6.1200000000000004E-9</v>
      </c>
      <c r="D15" s="38">
        <v>6.13E-8</v>
      </c>
      <c r="E15" s="3"/>
      <c r="F15" s="38">
        <f t="shared" si="0"/>
        <v>2.7598425196850392E-6</v>
      </c>
      <c r="G15" s="38">
        <f t="shared" si="0"/>
        <v>2.4094488188976381E-7</v>
      </c>
      <c r="H15" s="38">
        <f t="shared" si="0"/>
        <v>2.4133858267716535E-6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200</v>
      </c>
      <c r="B16" s="38">
        <v>8.9000000000000003E-8</v>
      </c>
      <c r="C16" s="38">
        <v>7.7400000000000002E-9</v>
      </c>
      <c r="D16" s="38">
        <v>7.6799999999999999E-8</v>
      </c>
      <c r="E16" s="3"/>
      <c r="F16" s="38">
        <f t="shared" si="0"/>
        <v>3.5039370078740162E-6</v>
      </c>
      <c r="G16" s="38">
        <f t="shared" si="0"/>
        <v>3.0472440944881893E-7</v>
      </c>
      <c r="H16" s="38">
        <f t="shared" si="0"/>
        <v>3.0236220472440943E-6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220</v>
      </c>
      <c r="B17" s="38">
        <v>1.11E-7</v>
      </c>
      <c r="C17" s="38">
        <v>9.6299999999999992E-9</v>
      </c>
      <c r="D17" s="38">
        <v>9.46E-8</v>
      </c>
      <c r="E17" s="3"/>
      <c r="F17" s="38">
        <f t="shared" si="0"/>
        <v>4.3700787401574806E-6</v>
      </c>
      <c r="G17" s="38">
        <f t="shared" si="0"/>
        <v>3.7913385826771652E-7</v>
      </c>
      <c r="H17" s="38">
        <f t="shared" si="0"/>
        <v>3.7244094488188977E-6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240</v>
      </c>
      <c r="B18" s="38">
        <v>1.36E-7</v>
      </c>
      <c r="C18" s="38">
        <v>1.18E-8</v>
      </c>
      <c r="D18" s="38">
        <v>1.15E-7</v>
      </c>
      <c r="E18" s="3"/>
      <c r="F18" s="38">
        <f t="shared" si="0"/>
        <v>5.3543307086614173E-6</v>
      </c>
      <c r="G18" s="38">
        <f t="shared" si="0"/>
        <v>4.6456692913385832E-7</v>
      </c>
      <c r="H18" s="38">
        <f t="shared" si="0"/>
        <v>4.527559055118111E-6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260</v>
      </c>
      <c r="B19" s="38">
        <v>1.66E-7</v>
      </c>
      <c r="C19" s="38">
        <v>1.4300000000000001E-8</v>
      </c>
      <c r="D19" s="38">
        <v>1.37E-7</v>
      </c>
      <c r="E19" s="3"/>
      <c r="F19" s="38">
        <f t="shared" si="0"/>
        <v>6.535433070866142E-6</v>
      </c>
      <c r="G19" s="38">
        <f t="shared" si="0"/>
        <v>5.6299212598425204E-7</v>
      </c>
      <c r="H19" s="38">
        <f t="shared" si="0"/>
        <v>5.3937007874015751E-6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280</v>
      </c>
      <c r="B20" s="38">
        <v>1.9999999999999999E-7</v>
      </c>
      <c r="C20" s="38">
        <v>1.7199999999999999E-8</v>
      </c>
      <c r="D20" s="38">
        <v>1.6299999999999999E-7</v>
      </c>
      <c r="E20" s="3"/>
      <c r="F20" s="38">
        <f t="shared" si="0"/>
        <v>7.8740157480314964E-6</v>
      </c>
      <c r="G20" s="38">
        <f t="shared" si="0"/>
        <v>6.7716535433070861E-7</v>
      </c>
      <c r="H20" s="38">
        <f t="shared" si="0"/>
        <v>6.4173228346456686E-6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300</v>
      </c>
      <c r="B21" s="38">
        <v>2.3999999999999998E-7</v>
      </c>
      <c r="C21" s="38">
        <v>2.0500000000000002E-8</v>
      </c>
      <c r="D21" s="38">
        <v>1.92E-7</v>
      </c>
      <c r="E21" s="3"/>
      <c r="F21" s="38">
        <f t="shared" si="0"/>
        <v>9.448818897637795E-6</v>
      </c>
      <c r="G21" s="38">
        <f t="shared" si="0"/>
        <v>8.0708661417322841E-7</v>
      </c>
      <c r="H21" s="38">
        <f t="shared" si="0"/>
        <v>7.5590551181102365E-6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320</v>
      </c>
      <c r="B22" s="38">
        <v>2.8700000000000002E-7</v>
      </c>
      <c r="C22" s="38">
        <v>2.4200000000000002E-8</v>
      </c>
      <c r="D22" s="38">
        <v>2.2499999999999999E-7</v>
      </c>
      <c r="E22" s="3"/>
      <c r="F22" s="38">
        <f t="shared" si="0"/>
        <v>1.1299212598425199E-5</v>
      </c>
      <c r="G22" s="38">
        <f t="shared" si="0"/>
        <v>9.5275590551181112E-7</v>
      </c>
      <c r="H22" s="38">
        <f t="shared" si="0"/>
        <v>8.8582677165354338E-6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340</v>
      </c>
      <c r="B23" s="38">
        <v>3.4200000000000002E-7</v>
      </c>
      <c r="C23" s="38">
        <v>2.85E-8</v>
      </c>
      <c r="D23" s="38">
        <v>2.6199999999999999E-7</v>
      </c>
      <c r="E23" s="3"/>
      <c r="F23" s="38">
        <f t="shared" si="0"/>
        <v>1.346456692913386E-5</v>
      </c>
      <c r="G23" s="38">
        <f t="shared" si="0"/>
        <v>1.1220472440944883E-6</v>
      </c>
      <c r="H23" s="38">
        <f t="shared" si="0"/>
        <v>1.031496062992126E-5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360</v>
      </c>
      <c r="B24" s="38">
        <v>4.0499999999999999E-7</v>
      </c>
      <c r="C24" s="38">
        <v>3.3400000000000001E-8</v>
      </c>
      <c r="D24" s="38">
        <v>3.0400000000000002E-7</v>
      </c>
      <c r="E24" s="3"/>
      <c r="F24" s="38">
        <f t="shared" si="0"/>
        <v>1.5944881889763779E-5</v>
      </c>
      <c r="G24" s="38">
        <f t="shared" si="0"/>
        <v>1.3149606299212598E-6</v>
      </c>
      <c r="H24" s="38">
        <f t="shared" si="0"/>
        <v>1.1968503937007876E-5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380</v>
      </c>
      <c r="B25" s="38">
        <v>4.7899999999999999E-7</v>
      </c>
      <c r="C25" s="38">
        <v>3.9099999999999999E-8</v>
      </c>
      <c r="D25" s="38">
        <v>3.5100000000000001E-7</v>
      </c>
      <c r="E25" s="3"/>
      <c r="F25" s="38">
        <f t="shared" si="0"/>
        <v>1.8858267716535435E-5</v>
      </c>
      <c r="G25" s="38">
        <f t="shared" si="0"/>
        <v>1.5393700787401576E-6</v>
      </c>
      <c r="H25" s="38">
        <f t="shared" si="0"/>
        <v>1.3818897637795276E-5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400</v>
      </c>
      <c r="B26" s="38">
        <v>5.6700000000000003E-7</v>
      </c>
      <c r="C26" s="38">
        <v>4.5599999999999998E-8</v>
      </c>
      <c r="D26" s="38">
        <v>4.0600000000000001E-7</v>
      </c>
      <c r="E26" s="3"/>
      <c r="F26" s="38">
        <f t="shared" si="0"/>
        <v>2.2322834645669294E-5</v>
      </c>
      <c r="G26" s="38">
        <f t="shared" si="0"/>
        <v>1.795275590551181E-6</v>
      </c>
      <c r="H26" s="38">
        <f t="shared" si="0"/>
        <v>1.5984251968503938E-5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420</v>
      </c>
      <c r="B27" s="38">
        <v>6.7199999999999998E-7</v>
      </c>
      <c r="C27" s="38">
        <v>5.3099999999999999E-8</v>
      </c>
      <c r="D27" s="38">
        <v>4.6899999999999998E-7</v>
      </c>
      <c r="E27" s="3"/>
      <c r="F27" s="38">
        <f t="shared" si="0"/>
        <v>2.6456692913385827E-5</v>
      </c>
      <c r="G27" s="38">
        <f t="shared" si="0"/>
        <v>2.090551181102362E-6</v>
      </c>
      <c r="H27" s="38">
        <f t="shared" si="0"/>
        <v>1.8464566929133858E-5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440</v>
      </c>
      <c r="B28" s="38">
        <v>7.9699999999999995E-7</v>
      </c>
      <c r="C28" s="38">
        <v>6.1799999999999998E-8</v>
      </c>
      <c r="D28" s="38">
        <v>5.44E-7</v>
      </c>
      <c r="E28" s="3"/>
      <c r="F28" s="38">
        <f t="shared" si="0"/>
        <v>3.1377952755905509E-5</v>
      </c>
      <c r="G28" s="38">
        <f t="shared" si="0"/>
        <v>2.4330708661417324E-6</v>
      </c>
      <c r="H28" s="38">
        <f t="shared" si="0"/>
        <v>2.1417322834645669E-5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460</v>
      </c>
      <c r="B29" s="38">
        <v>9.4799999999999997E-7</v>
      </c>
      <c r="C29" s="38">
        <v>7.1999999999999996E-8</v>
      </c>
      <c r="D29" s="38">
        <v>6.3200000000000005E-7</v>
      </c>
      <c r="E29" s="3"/>
      <c r="F29" s="38">
        <f t="shared" si="0"/>
        <v>3.732283464566929E-5</v>
      </c>
      <c r="G29" s="38">
        <f t="shared" si="0"/>
        <v>2.834645669291339E-6</v>
      </c>
      <c r="H29" s="38">
        <f t="shared" si="0"/>
        <v>2.4881889763779532E-5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480</v>
      </c>
      <c r="B30" s="38">
        <v>1.13E-6</v>
      </c>
      <c r="C30" s="38">
        <v>8.3799999999999996E-8</v>
      </c>
      <c r="D30" s="38">
        <v>7.3799999999999996E-7</v>
      </c>
      <c r="E30" s="3"/>
      <c r="F30" s="38">
        <f t="shared" si="0"/>
        <v>4.4488188976377954E-5</v>
      </c>
      <c r="G30" s="38">
        <f t="shared" si="0"/>
        <v>3.2992125984251968E-6</v>
      </c>
      <c r="H30" s="38">
        <f t="shared" si="0"/>
        <v>2.905511811023622E-5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500</v>
      </c>
      <c r="B31" s="38">
        <v>1.35E-6</v>
      </c>
      <c r="C31" s="38">
        <v>9.7500000000000006E-8</v>
      </c>
      <c r="D31" s="38">
        <v>8.6799999999999999E-7</v>
      </c>
      <c r="E31" s="3"/>
      <c r="F31" s="38">
        <f t="shared" si="0"/>
        <v>5.3149606299212606E-5</v>
      </c>
      <c r="G31" s="38">
        <f t="shared" si="0"/>
        <v>3.8385826771653549E-6</v>
      </c>
      <c r="H31" s="38">
        <f t="shared" si="0"/>
        <v>3.4173228346456692E-5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520</v>
      </c>
      <c r="B32" s="38">
        <v>1.6199999999999999E-6</v>
      </c>
      <c r="C32" s="38">
        <v>1.1300000000000001E-7</v>
      </c>
      <c r="D32" s="38">
        <v>1.0300000000000001E-6</v>
      </c>
      <c r="E32" s="3"/>
      <c r="F32" s="38">
        <f t="shared" si="0"/>
        <v>6.3779527559055117E-5</v>
      </c>
      <c r="G32" s="38">
        <f t="shared" si="0"/>
        <v>4.4488188976377962E-6</v>
      </c>
      <c r="H32" s="38">
        <f t="shared" si="0"/>
        <v>4.0551181102362211E-5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540</v>
      </c>
      <c r="B33" s="38">
        <v>1.9199999999999998E-6</v>
      </c>
      <c r="C33" s="38">
        <v>1.31E-7</v>
      </c>
      <c r="D33" s="38">
        <v>1.22E-6</v>
      </c>
      <c r="E33" s="3"/>
      <c r="F33" s="38">
        <f t="shared" si="0"/>
        <v>7.559055118110236E-5</v>
      </c>
      <c r="G33" s="38">
        <f t="shared" si="0"/>
        <v>5.1574803149606299E-6</v>
      </c>
      <c r="H33" s="38">
        <f t="shared" si="0"/>
        <v>4.8031496062992124E-5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560</v>
      </c>
      <c r="B34" s="38">
        <v>2.2500000000000001E-6</v>
      </c>
      <c r="C34" s="38">
        <v>1.5099999999999999E-7</v>
      </c>
      <c r="D34" s="38">
        <v>1.44E-6</v>
      </c>
      <c r="E34" s="3"/>
      <c r="F34" s="38">
        <f t="shared" si="0"/>
        <v>8.8582677165354348E-5</v>
      </c>
      <c r="G34" s="38">
        <f t="shared" si="0"/>
        <v>5.9448818897637792E-6</v>
      </c>
      <c r="H34" s="38">
        <f t="shared" si="0"/>
        <v>5.669291338582677E-5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580</v>
      </c>
      <c r="B35" s="38">
        <v>2.5799999999999999E-6</v>
      </c>
      <c r="C35" s="38">
        <v>1.73E-7</v>
      </c>
      <c r="D35" s="38">
        <v>1.6899999999999999E-6</v>
      </c>
      <c r="E35" s="3"/>
      <c r="F35" s="38">
        <f t="shared" si="0"/>
        <v>1.015748031496063E-4</v>
      </c>
      <c r="G35" s="38">
        <f t="shared" si="0"/>
        <v>6.811023622047245E-6</v>
      </c>
      <c r="H35" s="38">
        <f t="shared" si="0"/>
        <v>6.6535433070866141E-5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600</v>
      </c>
      <c r="B36" s="38">
        <v>2.83E-6</v>
      </c>
      <c r="C36" s="38">
        <v>1.9399999999999999E-7</v>
      </c>
      <c r="D36" s="38">
        <v>1.9099999999999999E-6</v>
      </c>
      <c r="E36" s="3"/>
      <c r="F36" s="38">
        <f t="shared" si="0"/>
        <v>1.1141732283464567E-4</v>
      </c>
      <c r="G36" s="38">
        <f t="shared" si="0"/>
        <v>7.6377952755905512E-6</v>
      </c>
      <c r="H36" s="38">
        <f t="shared" si="0"/>
        <v>7.5196850393700787E-5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620</v>
      </c>
      <c r="B37" s="38">
        <v>2.9699999999999999E-6</v>
      </c>
      <c r="C37" s="38">
        <v>2.1299999999999999E-7</v>
      </c>
      <c r="D37" s="38">
        <v>2.08E-6</v>
      </c>
      <c r="E37" s="3"/>
      <c r="F37" s="38">
        <f t="shared" si="0"/>
        <v>1.1692913385826772E-4</v>
      </c>
      <c r="G37" s="38">
        <f t="shared" si="0"/>
        <v>8.3858267716535436E-6</v>
      </c>
      <c r="H37" s="38">
        <f t="shared" si="0"/>
        <v>8.1889763779527554E-5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640</v>
      </c>
      <c r="B38" s="38">
        <v>2.9799999999999998E-6</v>
      </c>
      <c r="C38" s="38">
        <v>2.28E-7</v>
      </c>
      <c r="D38" s="38">
        <v>2.17E-6</v>
      </c>
      <c r="E38" s="3"/>
      <c r="F38" s="38">
        <f t="shared" si="0"/>
        <v>1.173228346456693E-4</v>
      </c>
      <c r="G38" s="38">
        <f t="shared" si="0"/>
        <v>8.9763779527559064E-6</v>
      </c>
      <c r="H38" s="38">
        <f t="shared" si="0"/>
        <v>8.5433070866141738E-5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660</v>
      </c>
      <c r="B39" s="38">
        <v>2.8899999999999999E-6</v>
      </c>
      <c r="C39" s="38">
        <v>2.3799999999999999E-7</v>
      </c>
      <c r="D39" s="38">
        <v>2.1799999999999999E-6</v>
      </c>
      <c r="E39" s="3"/>
      <c r="F39" s="38">
        <f t="shared" si="0"/>
        <v>1.1377952755905511E-4</v>
      </c>
      <c r="G39" s="38">
        <f t="shared" si="0"/>
        <v>9.370078740157481E-6</v>
      </c>
      <c r="H39" s="38">
        <f t="shared" si="0"/>
        <v>8.5826771653543311E-5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680</v>
      </c>
      <c r="B40" s="38">
        <v>2.7599999999999998E-6</v>
      </c>
      <c r="C40" s="38">
        <v>2.4200000000000002E-7</v>
      </c>
      <c r="D40" s="38">
        <v>2.1299999999999999E-6</v>
      </c>
      <c r="E40" s="3"/>
      <c r="F40" s="38">
        <f t="shared" si="0"/>
        <v>1.0866141732283465E-4</v>
      </c>
      <c r="G40" s="38">
        <f t="shared" si="0"/>
        <v>9.5275590551181123E-6</v>
      </c>
      <c r="H40" s="38">
        <f t="shared" si="0"/>
        <v>8.3858267716535432E-5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700</v>
      </c>
      <c r="B41" s="38">
        <v>2.61E-6</v>
      </c>
      <c r="C41" s="38">
        <v>2.41E-7</v>
      </c>
      <c r="D41" s="38">
        <v>2.0600000000000002E-6</v>
      </c>
      <c r="E41" s="3"/>
      <c r="F41" s="38">
        <f t="shared" si="0"/>
        <v>1.0275590551181103E-4</v>
      </c>
      <c r="G41" s="38">
        <f t="shared" si="0"/>
        <v>9.4881889763779536E-6</v>
      </c>
      <c r="H41" s="38">
        <f t="shared" si="0"/>
        <v>8.1102362204724422E-5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720</v>
      </c>
      <c r="B42" s="38">
        <v>2.4700000000000001E-6</v>
      </c>
      <c r="C42" s="38">
        <v>2.3799999999999999E-7</v>
      </c>
      <c r="D42" s="38">
        <v>1.9700000000000002E-6</v>
      </c>
      <c r="E42" s="3"/>
      <c r="F42" s="38">
        <f t="shared" si="0"/>
        <v>9.7244094488188981E-5</v>
      </c>
      <c r="G42" s="38">
        <f t="shared" si="0"/>
        <v>9.370078740157481E-6</v>
      </c>
      <c r="H42" s="38">
        <f t="shared" si="0"/>
        <v>7.7559055118110252E-5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740</v>
      </c>
      <c r="B43" s="38">
        <v>2.3499999999999999E-6</v>
      </c>
      <c r="C43" s="38">
        <v>2.35E-7</v>
      </c>
      <c r="D43" s="38">
        <v>1.88E-6</v>
      </c>
      <c r="E43" s="3"/>
      <c r="F43" s="38">
        <f t="shared" si="0"/>
        <v>9.2519685039370092E-5</v>
      </c>
      <c r="G43" s="38">
        <f t="shared" si="0"/>
        <v>9.2519685039370085E-6</v>
      </c>
      <c r="H43" s="38">
        <f t="shared" si="0"/>
        <v>7.4015748031496068E-5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760</v>
      </c>
      <c r="B44" s="38">
        <v>2.2400000000000002E-6</v>
      </c>
      <c r="C44" s="38">
        <v>2.3099999999999999E-7</v>
      </c>
      <c r="D44" s="38">
        <v>1.7999999999999999E-6</v>
      </c>
      <c r="E44" s="3"/>
      <c r="F44" s="38">
        <f t="shared" si="0"/>
        <v>8.8188976377952775E-5</v>
      </c>
      <c r="G44" s="38">
        <f t="shared" si="0"/>
        <v>9.0944881889763773E-6</v>
      </c>
      <c r="H44" s="38">
        <f t="shared" si="0"/>
        <v>7.0866141732283471E-5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780</v>
      </c>
      <c r="B45" s="38">
        <v>2.1600000000000001E-6</v>
      </c>
      <c r="C45" s="38">
        <v>2.29E-7</v>
      </c>
      <c r="D45" s="38">
        <v>1.73E-6</v>
      </c>
      <c r="E45" s="3"/>
      <c r="F45" s="38">
        <f t="shared" si="0"/>
        <v>8.5039370078740165E-5</v>
      </c>
      <c r="G45" s="38">
        <f t="shared" si="0"/>
        <v>9.0157480314960633E-6</v>
      </c>
      <c r="H45" s="38">
        <f t="shared" si="0"/>
        <v>6.8110236220472446E-5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800</v>
      </c>
      <c r="B46" s="38">
        <v>2.08E-6</v>
      </c>
      <c r="C46" s="38">
        <v>2.28E-7</v>
      </c>
      <c r="D46" s="38">
        <v>1.66E-6</v>
      </c>
      <c r="E46" s="3"/>
      <c r="F46" s="38">
        <f t="shared" si="0"/>
        <v>8.1889763779527554E-5</v>
      </c>
      <c r="G46" s="38">
        <f t="shared" si="0"/>
        <v>8.9763779527559064E-6</v>
      </c>
      <c r="H46" s="38">
        <f t="shared" si="0"/>
        <v>6.5354330708661422E-5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820</v>
      </c>
      <c r="B47" s="38">
        <v>2.0200000000000001E-6</v>
      </c>
      <c r="C47" s="38">
        <v>2.29E-7</v>
      </c>
      <c r="D47" s="38">
        <v>1.61E-6</v>
      </c>
      <c r="E47" s="3"/>
      <c r="F47" s="38">
        <f t="shared" si="0"/>
        <v>7.9527559055118116E-5</v>
      </c>
      <c r="G47" s="38">
        <f t="shared" si="0"/>
        <v>9.0157480314960633E-6</v>
      </c>
      <c r="H47" s="38">
        <f t="shared" si="0"/>
        <v>6.3385826771653557E-5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840</v>
      </c>
      <c r="B48" s="38">
        <v>1.9700000000000002E-6</v>
      </c>
      <c r="C48" s="38">
        <v>2.3200000000000001E-7</v>
      </c>
      <c r="D48" s="38">
        <v>1.5600000000000001E-6</v>
      </c>
      <c r="E48" s="3"/>
      <c r="F48" s="38">
        <f t="shared" si="0"/>
        <v>7.7559055118110252E-5</v>
      </c>
      <c r="G48" s="38">
        <f t="shared" si="0"/>
        <v>9.1338582677165359E-6</v>
      </c>
      <c r="H48" s="38">
        <f t="shared" si="0"/>
        <v>6.1417322834645679E-5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860</v>
      </c>
      <c r="B49" s="38">
        <v>1.9400000000000001E-6</v>
      </c>
      <c r="C49" s="38">
        <v>2.36E-7</v>
      </c>
      <c r="D49" s="38">
        <v>1.53E-6</v>
      </c>
      <c r="E49" s="3"/>
      <c r="F49" s="38">
        <f t="shared" si="0"/>
        <v>7.6377952755905519E-5</v>
      </c>
      <c r="G49" s="38">
        <f t="shared" si="0"/>
        <v>9.2913385826771654E-6</v>
      </c>
      <c r="H49" s="38">
        <f t="shared" si="0"/>
        <v>6.0236220472440947E-5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880</v>
      </c>
      <c r="B50" s="38">
        <v>1.9E-6</v>
      </c>
      <c r="C50" s="38">
        <v>2.4200000000000002E-7</v>
      </c>
      <c r="D50" s="38">
        <v>1.5E-6</v>
      </c>
      <c r="E50" s="3"/>
      <c r="F50" s="38">
        <f t="shared" si="0"/>
        <v>7.4803149606299214E-5</v>
      </c>
      <c r="G50" s="38">
        <f t="shared" si="0"/>
        <v>9.5275590551181123E-6</v>
      </c>
      <c r="H50" s="38">
        <f t="shared" si="0"/>
        <v>5.9055118110236228E-5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900</v>
      </c>
      <c r="B51" s="38">
        <v>1.88E-6</v>
      </c>
      <c r="C51" s="38">
        <v>2.4999999999999999E-7</v>
      </c>
      <c r="D51" s="38">
        <v>1.48E-6</v>
      </c>
      <c r="E51" s="3"/>
      <c r="F51" s="38">
        <f t="shared" si="0"/>
        <v>7.4015748031496068E-5</v>
      </c>
      <c r="G51" s="38">
        <f t="shared" si="0"/>
        <v>9.8425196850393713E-6</v>
      </c>
      <c r="H51" s="38">
        <f t="shared" si="0"/>
        <v>5.8267716535433075E-5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920</v>
      </c>
      <c r="B52" s="38">
        <v>1.8700000000000001E-6</v>
      </c>
      <c r="C52" s="38">
        <v>2.5899999999999998E-7</v>
      </c>
      <c r="D52" s="38">
        <v>1.4699999999999999E-6</v>
      </c>
      <c r="E52" s="3"/>
      <c r="F52" s="38">
        <f t="shared" si="0"/>
        <v>7.3622047244094495E-5</v>
      </c>
      <c r="G52" s="38">
        <f t="shared" si="0"/>
        <v>1.0196850393700786E-5</v>
      </c>
      <c r="H52" s="38">
        <f t="shared" si="0"/>
        <v>5.7874015748031495E-5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940</v>
      </c>
      <c r="B53" s="38">
        <v>1.8500000000000001E-6</v>
      </c>
      <c r="C53" s="38">
        <v>2.7000000000000001E-7</v>
      </c>
      <c r="D53" s="38">
        <v>1.46E-6</v>
      </c>
      <c r="E53" s="3"/>
      <c r="F53" s="38">
        <f t="shared" si="0"/>
        <v>7.2834645669291349E-5</v>
      </c>
      <c r="G53" s="38">
        <f t="shared" si="0"/>
        <v>1.0629921259842521E-5</v>
      </c>
      <c r="H53" s="38">
        <f t="shared" si="0"/>
        <v>5.7480314960629922E-5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960</v>
      </c>
      <c r="B54" s="38">
        <v>1.8500000000000001E-6</v>
      </c>
      <c r="C54" s="38">
        <v>2.8099999999999999E-7</v>
      </c>
      <c r="D54" s="38">
        <v>1.4500000000000001E-6</v>
      </c>
      <c r="E54" s="3"/>
      <c r="F54" s="38">
        <f t="shared" si="0"/>
        <v>7.2834645669291349E-5</v>
      </c>
      <c r="G54" s="38">
        <f t="shared" si="0"/>
        <v>1.1062992125984252E-5</v>
      </c>
      <c r="H54" s="38">
        <f t="shared" si="0"/>
        <v>5.7086614173228356E-5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980</v>
      </c>
      <c r="B55" s="38">
        <v>1.8500000000000001E-6</v>
      </c>
      <c r="C55" s="38">
        <v>2.9400000000000001E-7</v>
      </c>
      <c r="D55" s="38">
        <v>1.4500000000000001E-6</v>
      </c>
      <c r="E55" s="3"/>
      <c r="F55" s="38">
        <f t="shared" si="0"/>
        <v>7.2834645669291349E-5</v>
      </c>
      <c r="G55" s="38">
        <f t="shared" si="0"/>
        <v>1.1574803149606299E-5</v>
      </c>
      <c r="H55" s="38">
        <f t="shared" si="0"/>
        <v>5.7086614173228356E-5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1000</v>
      </c>
      <c r="B56" s="38">
        <v>1.8500000000000001E-6</v>
      </c>
      <c r="C56" s="38">
        <v>3.0699999999999998E-7</v>
      </c>
      <c r="D56" s="38">
        <v>1.4500000000000001E-6</v>
      </c>
      <c r="E56" s="3"/>
      <c r="F56" s="38">
        <f t="shared" si="0"/>
        <v>7.2834645669291349E-5</v>
      </c>
      <c r="G56" s="38">
        <f t="shared" si="0"/>
        <v>1.2086614173228347E-5</v>
      </c>
      <c r="H56" s="38">
        <f t="shared" si="0"/>
        <v>5.7086614173228356E-5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1020</v>
      </c>
      <c r="B57" s="38">
        <v>1.8500000000000001E-6</v>
      </c>
      <c r="C57" s="38">
        <v>3.22E-7</v>
      </c>
      <c r="D57" s="38">
        <v>1.4500000000000001E-6</v>
      </c>
      <c r="E57" s="3"/>
      <c r="F57" s="38">
        <f t="shared" si="0"/>
        <v>7.2834645669291349E-5</v>
      </c>
      <c r="G57" s="38">
        <f t="shared" si="0"/>
        <v>1.2677165354330709E-5</v>
      </c>
      <c r="H57" s="38">
        <f t="shared" si="0"/>
        <v>5.7086614173228356E-5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1040</v>
      </c>
      <c r="B58" s="38">
        <v>1.86E-6</v>
      </c>
      <c r="C58" s="38">
        <v>3.3700000000000001E-7</v>
      </c>
      <c r="D58" s="38">
        <v>1.4500000000000001E-6</v>
      </c>
      <c r="E58" s="3"/>
      <c r="F58" s="38">
        <f t="shared" si="0"/>
        <v>7.3228346456692908E-5</v>
      </c>
      <c r="G58" s="38">
        <f t="shared" si="0"/>
        <v>1.3267716535433072E-5</v>
      </c>
      <c r="H58" s="38">
        <f t="shared" si="0"/>
        <v>5.7086614173228356E-5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1060</v>
      </c>
      <c r="B59" s="38">
        <v>1.8700000000000001E-6</v>
      </c>
      <c r="C59" s="39">
        <v>3.53E-7</v>
      </c>
      <c r="D59" s="38">
        <v>1.46E-6</v>
      </c>
      <c r="E59" s="3"/>
      <c r="F59" s="38">
        <f t="shared" si="0"/>
        <v>7.3622047244094495E-5</v>
      </c>
      <c r="G59" s="38">
        <f t="shared" si="0"/>
        <v>1.3897637795275592E-5</v>
      </c>
      <c r="H59" s="38">
        <f t="shared" si="0"/>
        <v>5.7480314960629922E-5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1080</v>
      </c>
      <c r="B60" s="38">
        <v>1.8899999999999999E-6</v>
      </c>
      <c r="C60" s="38">
        <v>3.7E-7</v>
      </c>
      <c r="D60" s="38">
        <v>1.4699999999999999E-6</v>
      </c>
      <c r="E60" s="3"/>
      <c r="F60" s="38">
        <f t="shared" si="0"/>
        <v>7.4409448818897641E-5</v>
      </c>
      <c r="G60" s="38">
        <f t="shared" si="0"/>
        <v>1.4566929133858269E-5</v>
      </c>
      <c r="H60" s="38">
        <f t="shared" si="0"/>
        <v>5.7874015748031495E-5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1100</v>
      </c>
      <c r="B61" s="38">
        <v>1.9E-6</v>
      </c>
      <c r="C61" s="38">
        <v>3.89E-7</v>
      </c>
      <c r="D61" s="38">
        <v>1.48E-6</v>
      </c>
      <c r="E61" s="3"/>
      <c r="F61" s="38">
        <f t="shared" si="0"/>
        <v>7.4803149606299214E-5</v>
      </c>
      <c r="G61" s="38">
        <f t="shared" si="0"/>
        <v>1.5314960629921261E-5</v>
      </c>
      <c r="H61" s="38">
        <f t="shared" si="0"/>
        <v>5.8267716535433075E-5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1120</v>
      </c>
      <c r="B62" s="38">
        <v>1.9199999999999998E-6</v>
      </c>
      <c r="C62" s="38">
        <v>4.0900000000000002E-7</v>
      </c>
      <c r="D62" s="38">
        <v>1.4899999999999999E-6</v>
      </c>
      <c r="E62" s="3"/>
      <c r="F62" s="38">
        <f t="shared" si="0"/>
        <v>7.559055118110236E-5</v>
      </c>
      <c r="G62" s="38">
        <f t="shared" si="0"/>
        <v>1.610236220472441E-5</v>
      </c>
      <c r="H62" s="38">
        <f t="shared" si="0"/>
        <v>5.8661417322834648E-5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1140</v>
      </c>
      <c r="B63" s="38">
        <v>1.9400000000000001E-6</v>
      </c>
      <c r="C63" s="38">
        <v>4.3000000000000001E-7</v>
      </c>
      <c r="D63" s="38">
        <v>1.5099999999999999E-6</v>
      </c>
      <c r="E63" s="3"/>
      <c r="F63" s="38">
        <f t="shared" si="0"/>
        <v>7.6377952755905519E-5</v>
      </c>
      <c r="G63" s="38">
        <f t="shared" si="0"/>
        <v>1.6929133858267718E-5</v>
      </c>
      <c r="H63" s="38">
        <f t="shared" si="0"/>
        <v>5.9448818897637794E-5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1160</v>
      </c>
      <c r="B64" s="38">
        <v>1.9700000000000002E-6</v>
      </c>
      <c r="C64" s="38">
        <v>4.5299999999999999E-7</v>
      </c>
      <c r="D64" s="38">
        <v>1.5400000000000001E-6</v>
      </c>
      <c r="E64" s="3"/>
      <c r="F64" s="38">
        <f t="shared" si="0"/>
        <v>7.7559055118110252E-5</v>
      </c>
      <c r="G64" s="38">
        <f t="shared" si="0"/>
        <v>1.783464566929134E-5</v>
      </c>
      <c r="H64" s="38">
        <f t="shared" si="0"/>
        <v>6.0629921259842526E-5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1180</v>
      </c>
      <c r="B65" s="38">
        <v>1.99E-6</v>
      </c>
      <c r="C65" s="38">
        <v>4.7899999999999999E-7</v>
      </c>
      <c r="D65" s="38">
        <v>1.57E-6</v>
      </c>
      <c r="E65" s="3"/>
      <c r="F65" s="38">
        <f t="shared" si="0"/>
        <v>7.8346456692913397E-5</v>
      </c>
      <c r="G65" s="38">
        <f t="shared" si="0"/>
        <v>1.8858267716535435E-5</v>
      </c>
      <c r="H65" s="38">
        <f t="shared" si="0"/>
        <v>6.1811023622047252E-5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1200</v>
      </c>
      <c r="B66" s="38">
        <v>2.0099999999999998E-6</v>
      </c>
      <c r="C66" s="38">
        <v>5.06E-7</v>
      </c>
      <c r="D66" s="38">
        <v>1.5999999999999999E-6</v>
      </c>
      <c r="E66" s="3"/>
      <c r="F66" s="38">
        <f t="shared" si="0"/>
        <v>7.913385826771653E-5</v>
      </c>
      <c r="G66" s="38">
        <f t="shared" si="0"/>
        <v>1.9921259842519688E-5</v>
      </c>
      <c r="H66" s="38">
        <f t="shared" si="0"/>
        <v>6.2992125984251971E-5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1220</v>
      </c>
      <c r="B67" s="38">
        <v>2.04E-6</v>
      </c>
      <c r="C67" s="38">
        <v>5.3600000000000004E-7</v>
      </c>
      <c r="D67" s="38">
        <v>1.6300000000000001E-6</v>
      </c>
      <c r="E67" s="3"/>
      <c r="F67" s="38">
        <f t="shared" si="0"/>
        <v>8.0314960629921276E-5</v>
      </c>
      <c r="G67" s="38">
        <f t="shared" si="0"/>
        <v>2.110236220472441E-5</v>
      </c>
      <c r="H67" s="38">
        <f t="shared" si="0"/>
        <v>6.4173228346456703E-5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1240</v>
      </c>
      <c r="B68" s="38">
        <v>2.0600000000000002E-6</v>
      </c>
      <c r="C68" s="38">
        <v>5.68E-7</v>
      </c>
      <c r="D68" s="38">
        <v>1.66E-6</v>
      </c>
      <c r="E68" s="3"/>
      <c r="F68" s="38">
        <f t="shared" si="0"/>
        <v>8.1102362204724422E-5</v>
      </c>
      <c r="G68" s="38">
        <f t="shared" si="0"/>
        <v>2.2362204724409453E-5</v>
      </c>
      <c r="H68" s="38">
        <f t="shared" si="0"/>
        <v>6.5354330708661422E-5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1260</v>
      </c>
      <c r="B69" s="38">
        <v>2.08E-6</v>
      </c>
      <c r="C69" s="38">
        <v>6.0100000000000005E-7</v>
      </c>
      <c r="D69" s="38">
        <v>1.6899999999999999E-6</v>
      </c>
      <c r="E69" s="3"/>
      <c r="F69" s="38">
        <f t="shared" si="0"/>
        <v>8.1889763779527554E-5</v>
      </c>
      <c r="G69" s="38">
        <f t="shared" si="0"/>
        <v>2.3661417322834651E-5</v>
      </c>
      <c r="H69" s="38">
        <f t="shared" si="0"/>
        <v>6.6535433070866141E-5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1280</v>
      </c>
      <c r="B70" s="38">
        <v>2.0899999999999999E-6</v>
      </c>
      <c r="C70" s="38">
        <v>6.3399999999999999E-7</v>
      </c>
      <c r="D70" s="38">
        <v>1.72E-6</v>
      </c>
      <c r="E70" s="3"/>
      <c r="F70" s="38">
        <f t="shared" si="0"/>
        <v>8.2283464566929127E-5</v>
      </c>
      <c r="G70" s="38">
        <f t="shared" si="0"/>
        <v>2.4960629921259846E-5</v>
      </c>
      <c r="H70" s="38">
        <f t="shared" si="0"/>
        <v>6.7716535433070873E-5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1300</v>
      </c>
      <c r="B71" s="38">
        <v>2.0999999999999998E-6</v>
      </c>
      <c r="C71" s="38">
        <v>6.6700000000000003E-7</v>
      </c>
      <c r="D71" s="38">
        <v>1.7400000000000001E-6</v>
      </c>
      <c r="E71" s="3"/>
      <c r="F71" s="38">
        <f t="shared" ref="F71:H126" si="1">B71*1000/25.4</f>
        <v>8.2677165354330713E-5</v>
      </c>
      <c r="G71" s="38">
        <f t="shared" si="1"/>
        <v>2.6259842519685044E-5</v>
      </c>
      <c r="H71" s="38">
        <f t="shared" si="1"/>
        <v>6.8503937007874019E-5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1320</v>
      </c>
      <c r="B72" s="38">
        <v>2.0899999999999999E-6</v>
      </c>
      <c r="C72" s="38">
        <v>6.9800000000000003E-7</v>
      </c>
      <c r="D72" s="38">
        <v>1.77E-6</v>
      </c>
      <c r="E72" s="3"/>
      <c r="F72" s="38">
        <f t="shared" si="1"/>
        <v>8.2283464566929127E-5</v>
      </c>
      <c r="G72" s="38">
        <f t="shared" si="1"/>
        <v>2.7480314960629925E-5</v>
      </c>
      <c r="H72" s="38">
        <f t="shared" si="1"/>
        <v>6.9685039370078752E-5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1340</v>
      </c>
      <c r="B73" s="38">
        <v>2.0700000000000001E-6</v>
      </c>
      <c r="C73" s="38">
        <v>7.2500000000000005E-7</v>
      </c>
      <c r="D73" s="38">
        <v>1.79E-6</v>
      </c>
      <c r="E73" s="3"/>
      <c r="F73" s="38">
        <f t="shared" si="1"/>
        <v>8.1496062992125995E-5</v>
      </c>
      <c r="G73" s="38">
        <f t="shared" si="1"/>
        <v>2.8543307086614178E-5</v>
      </c>
      <c r="H73" s="38">
        <f t="shared" si="1"/>
        <v>7.0472440944881884E-5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1360</v>
      </c>
      <c r="B74" s="38">
        <v>2.03E-6</v>
      </c>
      <c r="C74" s="38">
        <v>7.4700000000000001E-7</v>
      </c>
      <c r="D74" s="38">
        <v>1.81E-6</v>
      </c>
      <c r="E74" s="3"/>
      <c r="F74" s="38">
        <f t="shared" si="1"/>
        <v>7.9921259842519689E-5</v>
      </c>
      <c r="G74" s="38">
        <f t="shared" si="1"/>
        <v>2.9409448818897641E-5</v>
      </c>
      <c r="H74" s="38">
        <f t="shared" si="1"/>
        <v>7.1259842519685044E-5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1380</v>
      </c>
      <c r="B75" s="38">
        <v>1.9800000000000001E-6</v>
      </c>
      <c r="C75" s="38">
        <v>7.6199999999999997E-7</v>
      </c>
      <c r="D75" s="38">
        <v>1.8199999999999999E-6</v>
      </c>
      <c r="E75" s="3"/>
      <c r="F75" s="38">
        <f t="shared" si="1"/>
        <v>7.7952755905511811E-5</v>
      </c>
      <c r="G75" s="38">
        <f t="shared" si="1"/>
        <v>3.0000000000000001E-5</v>
      </c>
      <c r="H75" s="38">
        <f t="shared" si="1"/>
        <v>7.1653543307086617E-5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1400</v>
      </c>
      <c r="B76" s="38">
        <v>1.9099999999999999E-6</v>
      </c>
      <c r="C76" s="38">
        <v>7.7000000000000004E-7</v>
      </c>
      <c r="D76" s="38">
        <v>1.8199999999999999E-6</v>
      </c>
      <c r="E76" s="3"/>
      <c r="F76" s="38">
        <f t="shared" si="1"/>
        <v>7.5196850393700787E-5</v>
      </c>
      <c r="G76" s="38">
        <f t="shared" si="1"/>
        <v>3.0314960629921263E-5</v>
      </c>
      <c r="H76" s="38">
        <f t="shared" si="1"/>
        <v>7.1653543307086617E-5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1420</v>
      </c>
      <c r="B77" s="38">
        <v>1.8199999999999999E-6</v>
      </c>
      <c r="C77" s="38">
        <v>7.7000000000000004E-7</v>
      </c>
      <c r="D77" s="38">
        <v>1.8300000000000001E-6</v>
      </c>
      <c r="E77" s="3"/>
      <c r="F77" s="38">
        <f t="shared" si="1"/>
        <v>7.1653543307086617E-5</v>
      </c>
      <c r="G77" s="38">
        <f t="shared" si="1"/>
        <v>3.0314960629921263E-5</v>
      </c>
      <c r="H77" s="38">
        <f t="shared" si="1"/>
        <v>7.2047244094488189E-5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1440</v>
      </c>
      <c r="B78" s="38">
        <v>1.72E-6</v>
      </c>
      <c r="C78" s="38">
        <v>7.6300000000000004E-7</v>
      </c>
      <c r="D78" s="38">
        <v>1.8300000000000001E-6</v>
      </c>
      <c r="E78" s="3"/>
      <c r="F78" s="38">
        <f t="shared" si="1"/>
        <v>6.7716535433070873E-5</v>
      </c>
      <c r="G78" s="38">
        <f t="shared" si="1"/>
        <v>3.0039370078740159E-5</v>
      </c>
      <c r="H78" s="38">
        <f t="shared" si="1"/>
        <v>7.2047244094488189E-5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1460</v>
      </c>
      <c r="B79" s="38">
        <v>1.61E-6</v>
      </c>
      <c r="C79" s="38">
        <v>7.5099999999999999E-7</v>
      </c>
      <c r="D79" s="38">
        <v>1.8199999999999999E-6</v>
      </c>
      <c r="E79" s="3"/>
      <c r="F79" s="38">
        <f t="shared" si="1"/>
        <v>6.3385826771653557E-5</v>
      </c>
      <c r="G79" s="38">
        <f t="shared" si="1"/>
        <v>2.9566929133858273E-5</v>
      </c>
      <c r="H79" s="38">
        <f t="shared" si="1"/>
        <v>7.1653543307086617E-5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1480</v>
      </c>
      <c r="B80" s="38">
        <v>1.5E-6</v>
      </c>
      <c r="C80" s="38">
        <v>7.3399999999999998E-7</v>
      </c>
      <c r="D80" s="38">
        <v>1.8199999999999999E-6</v>
      </c>
      <c r="E80" s="3"/>
      <c r="F80" s="38">
        <f t="shared" si="1"/>
        <v>5.9055118110236228E-5</v>
      </c>
      <c r="G80" s="38">
        <f t="shared" si="1"/>
        <v>2.8897637795275589E-5</v>
      </c>
      <c r="H80" s="38">
        <f t="shared" si="1"/>
        <v>7.1653543307086617E-5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1500</v>
      </c>
      <c r="B81" s="38">
        <v>1.3999999999999999E-6</v>
      </c>
      <c r="C81" s="38">
        <v>7.1399999999999996E-7</v>
      </c>
      <c r="D81" s="38">
        <v>1.81E-6</v>
      </c>
      <c r="E81" s="3"/>
      <c r="F81" s="38">
        <f t="shared" si="1"/>
        <v>5.5118110236220478E-5</v>
      </c>
      <c r="G81" s="38">
        <f t="shared" si="1"/>
        <v>2.8110236220472443E-5</v>
      </c>
      <c r="H81" s="38">
        <f t="shared" si="1"/>
        <v>7.1259842519685044E-5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1520</v>
      </c>
      <c r="B82" s="38">
        <v>1.2899999999999999E-6</v>
      </c>
      <c r="C82" s="38">
        <v>6.92E-7</v>
      </c>
      <c r="D82" s="38">
        <v>1.7999999999999999E-6</v>
      </c>
      <c r="E82" s="3"/>
      <c r="F82" s="38">
        <f t="shared" si="1"/>
        <v>5.0787401574803148E-5</v>
      </c>
      <c r="G82" s="38">
        <f t="shared" si="1"/>
        <v>2.724409448818898E-5</v>
      </c>
      <c r="H82" s="38">
        <f t="shared" si="1"/>
        <v>7.0866141732283471E-5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1540</v>
      </c>
      <c r="B83" s="38">
        <v>1.1999999999999999E-6</v>
      </c>
      <c r="C83" s="38">
        <v>6.6899999999999997E-7</v>
      </c>
      <c r="D83" s="38">
        <v>1.7999999999999999E-6</v>
      </c>
      <c r="E83" s="3"/>
      <c r="F83" s="38">
        <f t="shared" si="1"/>
        <v>4.7244094488188978E-5</v>
      </c>
      <c r="G83" s="38">
        <f t="shared" si="1"/>
        <v>2.6338582677165355E-5</v>
      </c>
      <c r="H83" s="38">
        <f t="shared" si="1"/>
        <v>7.0866141732283471E-5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1560</v>
      </c>
      <c r="B84" s="38">
        <v>1.11E-6</v>
      </c>
      <c r="C84" s="38">
        <v>6.4700000000000001E-7</v>
      </c>
      <c r="D84" s="38">
        <v>1.79E-6</v>
      </c>
      <c r="E84" s="3"/>
      <c r="F84" s="38">
        <f t="shared" si="1"/>
        <v>4.3700787401574801E-5</v>
      </c>
      <c r="G84" s="38">
        <f t="shared" si="1"/>
        <v>2.5472440944881891E-5</v>
      </c>
      <c r="H84" s="38">
        <f t="shared" si="1"/>
        <v>7.0472440944881884E-5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1580</v>
      </c>
      <c r="B85" s="38">
        <v>1.02E-6</v>
      </c>
      <c r="C85" s="38">
        <v>6.2500000000000005E-7</v>
      </c>
      <c r="D85" s="38">
        <v>1.7799999999999999E-6</v>
      </c>
      <c r="E85" s="3"/>
      <c r="F85" s="38">
        <f t="shared" si="1"/>
        <v>4.0157480314960638E-5</v>
      </c>
      <c r="G85" s="38">
        <f t="shared" si="1"/>
        <v>2.4606299212598428E-5</v>
      </c>
      <c r="H85" s="38">
        <f t="shared" si="1"/>
        <v>7.0078740157480311E-5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1600</v>
      </c>
      <c r="B86" s="38">
        <v>9.4499999999999995E-7</v>
      </c>
      <c r="C86" s="38">
        <v>6.0399999999999996E-7</v>
      </c>
      <c r="D86" s="38">
        <v>1.77E-6</v>
      </c>
      <c r="E86" s="3"/>
      <c r="F86" s="38">
        <f t="shared" si="1"/>
        <v>3.720472440944882E-5</v>
      </c>
      <c r="G86" s="38">
        <f t="shared" si="1"/>
        <v>2.3779527559055117E-5</v>
      </c>
      <c r="H86" s="38">
        <f t="shared" si="1"/>
        <v>6.9685039370078752E-5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1620</v>
      </c>
      <c r="B87" s="38">
        <v>8.7599999999999996E-7</v>
      </c>
      <c r="C87" s="38">
        <v>5.8400000000000004E-7</v>
      </c>
      <c r="D87" s="38">
        <v>1.77E-6</v>
      </c>
      <c r="E87" s="3"/>
      <c r="F87" s="38">
        <f t="shared" si="1"/>
        <v>3.4488188976377955E-5</v>
      </c>
      <c r="G87" s="38">
        <f t="shared" si="1"/>
        <v>2.2992125984251971E-5</v>
      </c>
      <c r="H87" s="38">
        <f t="shared" si="1"/>
        <v>6.9685039370078752E-5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1640</v>
      </c>
      <c r="B88" s="38">
        <v>8.1200000000000002E-7</v>
      </c>
      <c r="C88" s="38">
        <v>5.6599999999999996E-7</v>
      </c>
      <c r="D88" s="38">
        <v>1.7600000000000001E-6</v>
      </c>
      <c r="E88" s="3"/>
      <c r="F88" s="38">
        <f t="shared" si="1"/>
        <v>3.1968503937007876E-5</v>
      </c>
      <c r="G88" s="38">
        <f t="shared" si="1"/>
        <v>2.2283464566929136E-5</v>
      </c>
      <c r="H88" s="38">
        <f t="shared" si="1"/>
        <v>6.9291338582677165E-5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1660</v>
      </c>
      <c r="B89" s="38">
        <v>7.5499999999999997E-7</v>
      </c>
      <c r="C89" s="38">
        <v>5.4799999999999998E-7</v>
      </c>
      <c r="D89" s="38">
        <v>1.75E-6</v>
      </c>
      <c r="E89" s="3"/>
      <c r="F89" s="38">
        <f t="shared" si="1"/>
        <v>2.9724409448818897E-5</v>
      </c>
      <c r="G89" s="38">
        <f t="shared" si="1"/>
        <v>2.15748031496063E-5</v>
      </c>
      <c r="H89" s="38">
        <f t="shared" si="1"/>
        <v>6.8897637795275592E-5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1680</v>
      </c>
      <c r="B90" s="38">
        <v>7.0200000000000001E-7</v>
      </c>
      <c r="C90" s="38">
        <v>5.3200000000000005E-7</v>
      </c>
      <c r="D90" s="38">
        <v>1.7400000000000001E-6</v>
      </c>
      <c r="E90" s="3"/>
      <c r="F90" s="38">
        <f t="shared" si="1"/>
        <v>2.7637795275590553E-5</v>
      </c>
      <c r="G90" s="38">
        <f t="shared" si="1"/>
        <v>2.0944881889763782E-5</v>
      </c>
      <c r="H90" s="38">
        <f t="shared" si="1"/>
        <v>6.8503937007874019E-5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1700</v>
      </c>
      <c r="B91" s="38">
        <v>6.5499999999999998E-7</v>
      </c>
      <c r="C91" s="38">
        <v>5.1699999999999998E-7</v>
      </c>
      <c r="D91" s="38">
        <v>1.73E-6</v>
      </c>
      <c r="E91" s="3"/>
      <c r="F91" s="38">
        <f t="shared" si="1"/>
        <v>2.578740157480315E-5</v>
      </c>
      <c r="G91" s="38">
        <f t="shared" si="1"/>
        <v>2.0354330708661419E-5</v>
      </c>
      <c r="H91" s="38">
        <f t="shared" si="1"/>
        <v>6.8110236220472446E-5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1720</v>
      </c>
      <c r="B92" s="38">
        <v>6.1200000000000003E-7</v>
      </c>
      <c r="C92" s="38">
        <v>5.0299999999999999E-7</v>
      </c>
      <c r="D92" s="38">
        <v>1.73E-6</v>
      </c>
      <c r="E92" s="3"/>
      <c r="F92" s="38">
        <f t="shared" si="1"/>
        <v>2.4094488188976379E-5</v>
      </c>
      <c r="G92" s="38">
        <f t="shared" si="1"/>
        <v>1.9803149606299212E-5</v>
      </c>
      <c r="H92" s="38">
        <f t="shared" si="1"/>
        <v>6.8110236220472446E-5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1740</v>
      </c>
      <c r="B93" s="38">
        <v>5.7299999999999996E-7</v>
      </c>
      <c r="C93" s="38">
        <v>4.8999999999999997E-7</v>
      </c>
      <c r="D93" s="38">
        <v>1.72E-6</v>
      </c>
      <c r="E93" s="3"/>
      <c r="F93" s="38">
        <f t="shared" si="1"/>
        <v>2.2559055118110236E-5</v>
      </c>
      <c r="G93" s="38">
        <f t="shared" si="1"/>
        <v>1.9291338582677166E-5</v>
      </c>
      <c r="H93" s="38">
        <f t="shared" si="1"/>
        <v>6.7716535433070873E-5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1760</v>
      </c>
      <c r="B94" s="38">
        <v>5.3799999999999997E-7</v>
      </c>
      <c r="C94" s="38">
        <v>4.7800000000000002E-7</v>
      </c>
      <c r="D94" s="38">
        <v>1.7099999999999999E-6</v>
      </c>
      <c r="E94" s="3"/>
      <c r="F94" s="38">
        <f t="shared" si="1"/>
        <v>2.1181102362204724E-5</v>
      </c>
      <c r="G94" s="38">
        <f t="shared" si="1"/>
        <v>1.8818897637795276E-5</v>
      </c>
      <c r="H94" s="38">
        <f t="shared" si="1"/>
        <v>6.7322834645669287E-5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1780</v>
      </c>
      <c r="B95" s="38">
        <v>5.06E-7</v>
      </c>
      <c r="C95" s="38">
        <v>4.6699999999999999E-7</v>
      </c>
      <c r="D95" s="38">
        <v>1.7099999999999999E-6</v>
      </c>
      <c r="E95" s="3"/>
      <c r="F95" s="38">
        <f t="shared" si="1"/>
        <v>1.9921259842519688E-5</v>
      </c>
      <c r="G95" s="38">
        <f t="shared" si="1"/>
        <v>1.8385826771653544E-5</v>
      </c>
      <c r="H95" s="38">
        <f t="shared" si="1"/>
        <v>6.7322834645669287E-5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1800</v>
      </c>
      <c r="B96" s="38">
        <v>4.7800000000000002E-7</v>
      </c>
      <c r="C96" s="38">
        <v>4.5600000000000001E-7</v>
      </c>
      <c r="D96" s="38">
        <v>1.7E-6</v>
      </c>
      <c r="E96" s="3"/>
      <c r="F96" s="38">
        <f t="shared" si="1"/>
        <v>1.8818897637795276E-5</v>
      </c>
      <c r="G96" s="38">
        <f t="shared" si="1"/>
        <v>1.7952755905511813E-5</v>
      </c>
      <c r="H96" s="38">
        <f t="shared" si="1"/>
        <v>6.6929133858267728E-5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1820</v>
      </c>
      <c r="B97" s="38">
        <v>4.5200000000000002E-7</v>
      </c>
      <c r="C97" s="38">
        <v>4.46E-7</v>
      </c>
      <c r="D97" s="38">
        <v>1.6899999999999999E-6</v>
      </c>
      <c r="E97" s="3"/>
      <c r="F97" s="38">
        <f t="shared" si="1"/>
        <v>1.7795275590551185E-5</v>
      </c>
      <c r="G97" s="38">
        <f t="shared" si="1"/>
        <v>1.7559055118110236E-5</v>
      </c>
      <c r="H97" s="38">
        <f t="shared" si="1"/>
        <v>6.6535433070866141E-5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1840</v>
      </c>
      <c r="B98" s="38">
        <v>4.2899999999999999E-7</v>
      </c>
      <c r="C98" s="38">
        <v>4.3700000000000001E-7</v>
      </c>
      <c r="D98" s="38">
        <v>1.6899999999999999E-6</v>
      </c>
      <c r="E98" s="3"/>
      <c r="F98" s="38">
        <f t="shared" si="1"/>
        <v>1.688976377952756E-5</v>
      </c>
      <c r="G98" s="38">
        <f t="shared" si="1"/>
        <v>1.7204724409448819E-5</v>
      </c>
      <c r="H98" s="38">
        <f t="shared" si="1"/>
        <v>6.6535433070866141E-5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1860</v>
      </c>
      <c r="B99" s="38">
        <v>4.0699999999999998E-7</v>
      </c>
      <c r="C99" s="38">
        <v>4.2800000000000002E-7</v>
      </c>
      <c r="D99" s="38">
        <v>1.68E-6</v>
      </c>
      <c r="E99" s="3"/>
      <c r="F99" s="38">
        <f t="shared" si="1"/>
        <v>1.6023622047244093E-5</v>
      </c>
      <c r="G99" s="38">
        <f t="shared" si="1"/>
        <v>1.6850393700787401E-5</v>
      </c>
      <c r="H99" s="38">
        <f t="shared" si="1"/>
        <v>6.6141732283464568E-5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1880</v>
      </c>
      <c r="B100" s="38">
        <v>3.8799999999999998E-7</v>
      </c>
      <c r="C100" s="38">
        <v>4.2E-7</v>
      </c>
      <c r="D100" s="38">
        <v>1.68E-6</v>
      </c>
      <c r="E100" s="3"/>
      <c r="F100" s="38">
        <f t="shared" si="1"/>
        <v>1.5275590551181102E-5</v>
      </c>
      <c r="G100" s="38">
        <f t="shared" si="1"/>
        <v>1.6535433070866142E-5</v>
      </c>
      <c r="H100" s="38">
        <f t="shared" si="1"/>
        <v>6.6141732283464568E-5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1900</v>
      </c>
      <c r="B101" s="38">
        <v>3.7099999999999997E-7</v>
      </c>
      <c r="C101" s="38">
        <v>4.1300000000000001E-7</v>
      </c>
      <c r="D101" s="38">
        <v>1.6700000000000001E-6</v>
      </c>
      <c r="E101" s="3"/>
      <c r="F101" s="38">
        <f t="shared" si="1"/>
        <v>1.4606299212598424E-5</v>
      </c>
      <c r="G101" s="38">
        <f t="shared" si="1"/>
        <v>1.6259842519685042E-5</v>
      </c>
      <c r="H101" s="38">
        <f t="shared" si="1"/>
        <v>6.5748031496062995E-5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1920</v>
      </c>
      <c r="B102" s="38">
        <v>3.5499999999999999E-7</v>
      </c>
      <c r="C102" s="38">
        <v>4.0499999999999999E-7</v>
      </c>
      <c r="D102" s="38">
        <v>1.6700000000000001E-6</v>
      </c>
      <c r="E102" s="3"/>
      <c r="F102" s="38">
        <f t="shared" si="1"/>
        <v>1.3976377952755906E-5</v>
      </c>
      <c r="G102" s="38">
        <f t="shared" si="1"/>
        <v>1.5944881889763779E-5</v>
      </c>
      <c r="H102" s="38">
        <f t="shared" si="1"/>
        <v>6.5748031496062995E-5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1940</v>
      </c>
      <c r="B103" s="38">
        <v>3.41E-7</v>
      </c>
      <c r="C103" s="38">
        <v>3.9900000000000001E-7</v>
      </c>
      <c r="D103" s="38">
        <v>1.6700000000000001E-6</v>
      </c>
      <c r="E103" s="3"/>
      <c r="F103" s="38">
        <f t="shared" si="1"/>
        <v>1.3425196850393702E-5</v>
      </c>
      <c r="G103" s="38">
        <f t="shared" si="1"/>
        <v>1.5708661417322834E-5</v>
      </c>
      <c r="H103" s="38">
        <f t="shared" si="1"/>
        <v>6.5748031496062995E-5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1960</v>
      </c>
      <c r="B104" s="38">
        <v>3.2899999999999999E-7</v>
      </c>
      <c r="C104" s="38">
        <v>3.9200000000000002E-7</v>
      </c>
      <c r="D104" s="38">
        <v>1.66E-6</v>
      </c>
      <c r="E104" s="3"/>
      <c r="F104" s="38">
        <f t="shared" si="1"/>
        <v>1.2952755905511812E-5</v>
      </c>
      <c r="G104" s="38">
        <f t="shared" si="1"/>
        <v>1.5433070866141734E-5</v>
      </c>
      <c r="H104" s="38">
        <f t="shared" si="1"/>
        <v>6.5354330708661422E-5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1980</v>
      </c>
      <c r="B105" s="38">
        <v>3.1800000000000002E-7</v>
      </c>
      <c r="C105" s="38">
        <v>3.8599999999999999E-7</v>
      </c>
      <c r="D105" s="38">
        <v>1.66E-6</v>
      </c>
      <c r="E105" s="3"/>
      <c r="F105" s="38">
        <f t="shared" si="1"/>
        <v>1.251968503937008E-5</v>
      </c>
      <c r="G105" s="38">
        <f t="shared" si="1"/>
        <v>1.5196850393700789E-5</v>
      </c>
      <c r="H105" s="38">
        <f t="shared" si="1"/>
        <v>6.5354330708661422E-5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2000</v>
      </c>
      <c r="B106" s="38">
        <v>3.0800000000000001E-7</v>
      </c>
      <c r="C106" s="38">
        <v>3.8099999999999998E-7</v>
      </c>
      <c r="D106" s="38">
        <v>1.6500000000000001E-6</v>
      </c>
      <c r="E106" s="3"/>
      <c r="F106" s="38">
        <f t="shared" si="1"/>
        <v>1.2125984251968505E-5</v>
      </c>
      <c r="G106" s="38">
        <f t="shared" si="1"/>
        <v>1.5E-5</v>
      </c>
      <c r="H106" s="38">
        <f t="shared" si="1"/>
        <v>6.4960629921259849E-5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2020</v>
      </c>
      <c r="B107" s="38">
        <v>2.9900000000000002E-7</v>
      </c>
      <c r="C107" s="38">
        <v>3.7599999999999998E-7</v>
      </c>
      <c r="D107" s="38">
        <v>1.6500000000000001E-6</v>
      </c>
      <c r="E107" s="3"/>
      <c r="F107" s="38">
        <f t="shared" si="1"/>
        <v>1.1771653543307088E-5</v>
      </c>
      <c r="G107" s="38">
        <f t="shared" si="1"/>
        <v>1.4803149606299212E-5</v>
      </c>
      <c r="H107" s="38">
        <f t="shared" si="1"/>
        <v>6.4960629921259849E-5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2040</v>
      </c>
      <c r="B108" s="38">
        <v>2.91E-7</v>
      </c>
      <c r="C108" s="38">
        <v>3.7099999999999997E-7</v>
      </c>
      <c r="D108" s="38">
        <v>1.6500000000000001E-6</v>
      </c>
      <c r="E108" s="3"/>
      <c r="F108" s="38">
        <f t="shared" si="1"/>
        <v>1.1456692913385827E-5</v>
      </c>
      <c r="G108" s="38">
        <f t="shared" si="1"/>
        <v>1.4606299212598424E-5</v>
      </c>
      <c r="H108" s="38">
        <f t="shared" si="1"/>
        <v>6.4960629921259849E-5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2060</v>
      </c>
      <c r="B109" s="38">
        <v>2.84E-7</v>
      </c>
      <c r="C109" s="38">
        <v>3.6600000000000002E-7</v>
      </c>
      <c r="D109" s="38">
        <v>1.64E-6</v>
      </c>
      <c r="E109" s="3"/>
      <c r="F109" s="38">
        <f t="shared" si="1"/>
        <v>1.1181102362204726E-5</v>
      </c>
      <c r="G109" s="38">
        <f t="shared" si="1"/>
        <v>1.4409448818897639E-5</v>
      </c>
      <c r="H109" s="38">
        <f t="shared" si="1"/>
        <v>6.4566929133858276E-5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2080</v>
      </c>
      <c r="B110" s="38">
        <v>2.7799999999999997E-7</v>
      </c>
      <c r="C110" s="38">
        <v>3.6100000000000002E-7</v>
      </c>
      <c r="D110" s="38">
        <v>1.64E-6</v>
      </c>
      <c r="E110" s="3"/>
      <c r="F110" s="38">
        <f t="shared" si="1"/>
        <v>1.094488188976378E-5</v>
      </c>
      <c r="G110" s="38">
        <f t="shared" si="1"/>
        <v>1.4212598425196851E-5</v>
      </c>
      <c r="H110" s="38">
        <f t="shared" si="1"/>
        <v>6.4566929133858276E-5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2100</v>
      </c>
      <c r="B111" s="38">
        <v>2.72E-7</v>
      </c>
      <c r="C111" s="38">
        <v>3.5699999999999998E-7</v>
      </c>
      <c r="D111" s="38">
        <v>1.64E-6</v>
      </c>
      <c r="E111" s="3"/>
      <c r="F111" s="38">
        <f t="shared" si="1"/>
        <v>1.0708661417322835E-5</v>
      </c>
      <c r="G111" s="38">
        <f t="shared" si="1"/>
        <v>1.4055118110236222E-5</v>
      </c>
      <c r="H111" s="38">
        <f t="shared" si="1"/>
        <v>6.4566929133858276E-5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2120</v>
      </c>
      <c r="B112" s="38">
        <v>2.67E-7</v>
      </c>
      <c r="C112" s="38">
        <v>3.53E-7</v>
      </c>
      <c r="D112" s="38">
        <v>1.6300000000000001E-6</v>
      </c>
      <c r="E112" s="3"/>
      <c r="F112" s="38">
        <f t="shared" si="1"/>
        <v>1.0511811023622048E-5</v>
      </c>
      <c r="G112" s="38">
        <f t="shared" si="1"/>
        <v>1.3897637795275592E-5</v>
      </c>
      <c r="H112" s="38">
        <f t="shared" si="1"/>
        <v>6.4173228346456703E-5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2140</v>
      </c>
      <c r="B113" s="38">
        <v>2.6300000000000001E-7</v>
      </c>
      <c r="C113" s="38">
        <v>3.4900000000000001E-7</v>
      </c>
      <c r="D113" s="38">
        <v>1.6300000000000001E-6</v>
      </c>
      <c r="E113" s="3"/>
      <c r="F113" s="38">
        <f t="shared" si="1"/>
        <v>1.0354330708661419E-5</v>
      </c>
      <c r="G113" s="38">
        <f t="shared" si="1"/>
        <v>1.3740157480314963E-5</v>
      </c>
      <c r="H113" s="38">
        <f t="shared" si="1"/>
        <v>6.4173228346456703E-5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2160</v>
      </c>
      <c r="B114" s="38">
        <v>2.6E-7</v>
      </c>
      <c r="C114" s="38">
        <v>3.4499999999999998E-7</v>
      </c>
      <c r="D114" s="38">
        <v>1.6300000000000001E-6</v>
      </c>
      <c r="E114" s="3"/>
      <c r="F114" s="38">
        <f t="shared" si="1"/>
        <v>1.0236220472440944E-5</v>
      </c>
      <c r="G114" s="38">
        <f t="shared" si="1"/>
        <v>1.3582677165354331E-5</v>
      </c>
      <c r="H114" s="38">
        <f t="shared" si="1"/>
        <v>6.4173228346456703E-5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2180</v>
      </c>
      <c r="B115" s="38">
        <v>2.5699999999999999E-7</v>
      </c>
      <c r="C115" s="38">
        <v>3.4200000000000002E-7</v>
      </c>
      <c r="D115" s="38">
        <v>1.6199999999999999E-6</v>
      </c>
      <c r="E115" s="3"/>
      <c r="F115" s="38">
        <f t="shared" si="1"/>
        <v>1.0118110236220472E-5</v>
      </c>
      <c r="G115" s="38">
        <f t="shared" si="1"/>
        <v>1.346456692913386E-5</v>
      </c>
      <c r="H115" s="38">
        <f t="shared" si="1"/>
        <v>6.3779527559055117E-5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2200</v>
      </c>
      <c r="B116" s="38">
        <v>2.5400000000000002E-7</v>
      </c>
      <c r="C116" s="38">
        <v>3.3799999999999998E-7</v>
      </c>
      <c r="D116" s="38">
        <v>1.6199999999999999E-6</v>
      </c>
      <c r="E116" s="3"/>
      <c r="F116" s="38">
        <f t="shared" si="1"/>
        <v>1.0000000000000003E-5</v>
      </c>
      <c r="G116" s="38">
        <f t="shared" si="1"/>
        <v>1.3307086614173228E-5</v>
      </c>
      <c r="H116" s="38">
        <f t="shared" si="1"/>
        <v>6.3779527559055117E-5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2220</v>
      </c>
      <c r="B117" s="38">
        <v>2.5199999999999998E-7</v>
      </c>
      <c r="C117" s="38">
        <v>3.3500000000000002E-7</v>
      </c>
      <c r="D117" s="38">
        <v>1.6199999999999999E-6</v>
      </c>
      <c r="E117" s="3"/>
      <c r="F117" s="38">
        <f t="shared" si="1"/>
        <v>9.9212598425196852E-6</v>
      </c>
      <c r="G117" s="38">
        <f t="shared" si="1"/>
        <v>1.3188976377952757E-5</v>
      </c>
      <c r="H117" s="38">
        <f t="shared" si="1"/>
        <v>6.3779527559055117E-5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2240</v>
      </c>
      <c r="B118" s="38">
        <v>2.4999999999999999E-7</v>
      </c>
      <c r="C118" s="38">
        <v>3.3200000000000001E-7</v>
      </c>
      <c r="D118" s="38">
        <v>1.61E-6</v>
      </c>
      <c r="E118" s="3"/>
      <c r="F118" s="38">
        <f t="shared" si="1"/>
        <v>9.8425196850393713E-6</v>
      </c>
      <c r="G118" s="38">
        <f t="shared" si="1"/>
        <v>1.3070866141732284E-5</v>
      </c>
      <c r="H118" s="38">
        <f t="shared" si="1"/>
        <v>6.3385826771653557E-5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2260</v>
      </c>
      <c r="B119" s="38">
        <v>2.4900000000000002E-7</v>
      </c>
      <c r="C119" s="38">
        <v>3.2899999999999999E-7</v>
      </c>
      <c r="D119" s="38">
        <v>1.61E-6</v>
      </c>
      <c r="E119" s="3"/>
      <c r="F119" s="38">
        <f t="shared" si="1"/>
        <v>9.8031496062992143E-6</v>
      </c>
      <c r="G119" s="38">
        <f t="shared" si="1"/>
        <v>1.2952755905511812E-5</v>
      </c>
      <c r="H119" s="38">
        <f t="shared" si="1"/>
        <v>6.3385826771653557E-5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2280</v>
      </c>
      <c r="B120" s="38">
        <v>2.4699999999999998E-7</v>
      </c>
      <c r="C120" s="38">
        <v>3.27E-7</v>
      </c>
      <c r="D120" s="38">
        <v>1.61E-6</v>
      </c>
      <c r="E120" s="3"/>
      <c r="F120" s="38">
        <f t="shared" si="1"/>
        <v>9.724409448818897E-6</v>
      </c>
      <c r="G120" s="38">
        <f t="shared" si="1"/>
        <v>1.2874015748031496E-5</v>
      </c>
      <c r="H120" s="38">
        <f t="shared" si="1"/>
        <v>6.3385826771653557E-5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2300</v>
      </c>
      <c r="B121" s="38">
        <v>2.4600000000000001E-7</v>
      </c>
      <c r="C121" s="38">
        <v>3.2399999999999999E-7</v>
      </c>
      <c r="D121" s="38">
        <v>1.61E-6</v>
      </c>
      <c r="E121" s="3"/>
      <c r="F121" s="38">
        <f t="shared" si="1"/>
        <v>9.6850393700787418E-6</v>
      </c>
      <c r="G121" s="38">
        <f t="shared" si="1"/>
        <v>1.2755905511811025E-5</v>
      </c>
      <c r="H121" s="38">
        <f t="shared" si="1"/>
        <v>6.3385826771653557E-5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2320</v>
      </c>
      <c r="B122" s="38">
        <v>2.4499999999999998E-7</v>
      </c>
      <c r="C122" s="38">
        <v>3.22E-7</v>
      </c>
      <c r="D122" s="38">
        <v>1.5999999999999999E-6</v>
      </c>
      <c r="E122" s="3"/>
      <c r="F122" s="38">
        <f t="shared" si="1"/>
        <v>9.6456692913385831E-6</v>
      </c>
      <c r="G122" s="38">
        <f t="shared" si="1"/>
        <v>1.2677165354330709E-5</v>
      </c>
      <c r="H122" s="38">
        <f t="shared" si="1"/>
        <v>6.2992125984251971E-5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2340</v>
      </c>
      <c r="B123" s="38">
        <v>2.4499999999999998E-7</v>
      </c>
      <c r="C123" s="38">
        <v>3.2000000000000001E-7</v>
      </c>
      <c r="D123" s="38">
        <v>1.5999999999999999E-6</v>
      </c>
      <c r="E123" s="3"/>
      <c r="F123" s="38">
        <f t="shared" si="1"/>
        <v>9.6456692913385831E-6</v>
      </c>
      <c r="G123" s="38">
        <f t="shared" si="1"/>
        <v>1.2598425196850396E-5</v>
      </c>
      <c r="H123" s="38">
        <f t="shared" si="1"/>
        <v>6.2992125984251971E-5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2360</v>
      </c>
      <c r="B124" s="38">
        <v>2.4400000000000001E-7</v>
      </c>
      <c r="C124" s="38">
        <v>3.1699999999999999E-7</v>
      </c>
      <c r="D124" s="38">
        <v>1.5999999999999999E-6</v>
      </c>
      <c r="E124" s="3"/>
      <c r="F124" s="38">
        <f t="shared" si="1"/>
        <v>9.6062992125984262E-6</v>
      </c>
      <c r="G124" s="38">
        <f t="shared" si="1"/>
        <v>1.2480314960629923E-5</v>
      </c>
      <c r="H124" s="38">
        <f t="shared" si="1"/>
        <v>6.2992125984251971E-5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2380</v>
      </c>
      <c r="B125" s="38">
        <v>2.4400000000000001E-7</v>
      </c>
      <c r="C125" s="38">
        <v>3.15E-7</v>
      </c>
      <c r="D125" s="38">
        <v>1.5999999999999999E-6</v>
      </c>
      <c r="E125" s="3"/>
      <c r="F125" s="38">
        <f t="shared" si="1"/>
        <v>9.6062992125984262E-6</v>
      </c>
      <c r="G125" s="38">
        <f t="shared" si="1"/>
        <v>1.2401574803149607E-5</v>
      </c>
      <c r="H125" s="38">
        <f t="shared" si="1"/>
        <v>6.2992125984251971E-5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2400</v>
      </c>
      <c r="B126" s="38">
        <v>2.4299999999999999E-7</v>
      </c>
      <c r="C126" s="38">
        <v>3.1300000000000001E-7</v>
      </c>
      <c r="D126" s="38">
        <v>1.59E-6</v>
      </c>
      <c r="E126" s="3"/>
      <c r="F126" s="38">
        <f t="shared" si="1"/>
        <v>9.5669291338582675E-6</v>
      </c>
      <c r="G126" s="38">
        <f t="shared" si="1"/>
        <v>1.2322834645669293E-5</v>
      </c>
      <c r="H126" s="38">
        <f t="shared" si="1"/>
        <v>6.2598425196850398E-5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2.9799999999999998E-6</v>
      </c>
      <c r="C128" s="38">
        <f>MAX(C6:C126)</f>
        <v>7.7000000000000004E-7</v>
      </c>
      <c r="D128" s="38">
        <f>MAX(D6:D126)</f>
        <v>2.1799999999999999E-6</v>
      </c>
      <c r="E128" s="4"/>
      <c r="F128" s="38">
        <f>MAX(F20:F126)</f>
        <v>1.173228346456693E-4</v>
      </c>
      <c r="G128" s="38">
        <f>MAX(G20:G126)</f>
        <v>3.0314960629921263E-5</v>
      </c>
      <c r="H128" s="38">
        <f>MAX(H20:H126)</f>
        <v>8.5826771653543311E-5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5.6171676646185489E-4</v>
      </c>
      <c r="C129" s="38">
        <f>C128*limits!$E29</f>
        <v>1.4514158059584844E-4</v>
      </c>
      <c r="D129" s="38">
        <f>D128*limits!$E29</f>
        <v>4.1092031908954488E-4</v>
      </c>
      <c r="E129" s="4"/>
      <c r="F129" s="38">
        <f>F128*limits!$E29</f>
        <v>2.2114833325269881E-2</v>
      </c>
      <c r="G129" s="38">
        <f>G128*limits!$E29</f>
        <v>5.7142354565294668E-3</v>
      </c>
      <c r="H129" s="38">
        <f>H128*limits!$E29</f>
        <v>1.6177965318486021E-2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A4:A5"/>
    <mergeCell ref="B4:D4"/>
    <mergeCell ref="F4:H4"/>
  </mergeCells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39F3-CBD0-42A3-A096-B2A94980623A}">
  <dimension ref="A1:AD140"/>
  <sheetViews>
    <sheetView showGridLines="0" zoomScaleNormal="100" workbookViewId="0">
      <selection activeCell="O3" sqref="O3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34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38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2" t="s">
        <v>35</v>
      </c>
      <c r="B4" s="41" t="s">
        <v>36</v>
      </c>
      <c r="C4" s="41"/>
      <c r="D4" s="41"/>
      <c r="E4" s="3"/>
      <c r="F4" s="41" t="s">
        <v>37</v>
      </c>
      <c r="G4" s="41"/>
      <c r="H4" s="4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3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1.7500000000000001E-16</v>
      </c>
      <c r="C6" s="38">
        <v>1.5499999999999999E-17</v>
      </c>
      <c r="D6" s="38">
        <v>1.7E-16</v>
      </c>
      <c r="E6" s="3"/>
      <c r="F6" s="38">
        <f>B6*1000/25.4</f>
        <v>6.8897637795275601E-15</v>
      </c>
      <c r="G6" s="38">
        <f>C6*1000/25.4</f>
        <v>6.1023622047244103E-16</v>
      </c>
      <c r="H6" s="38">
        <f>D6*1000/25.4</f>
        <v>6.6929133858267723E-15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20</v>
      </c>
      <c r="B7" s="38">
        <v>7.7000000000000003E-10</v>
      </c>
      <c r="C7" s="38">
        <v>6.8100000000000003E-11</v>
      </c>
      <c r="D7" s="38">
        <v>7.4700000000000001E-10</v>
      </c>
      <c r="E7" s="3"/>
      <c r="F7" s="38">
        <f t="shared" ref="F7:H70" si="0">B7*1000/25.4</f>
        <v>3.0314960629921261E-8</v>
      </c>
      <c r="G7" s="38">
        <f t="shared" si="0"/>
        <v>2.681102362204725E-9</v>
      </c>
      <c r="H7" s="38">
        <f t="shared" si="0"/>
        <v>2.9409448818897639E-8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40</v>
      </c>
      <c r="B8" s="38">
        <v>3.0899999999999999E-9</v>
      </c>
      <c r="C8" s="38">
        <v>2.7399999999999998E-10</v>
      </c>
      <c r="D8" s="38">
        <v>3.0100000000000002E-9</v>
      </c>
      <c r="E8" s="3"/>
      <c r="F8" s="38">
        <f t="shared" si="0"/>
        <v>1.2165354330708663E-7</v>
      </c>
      <c r="G8" s="38">
        <f t="shared" si="0"/>
        <v>1.078740157480315E-8</v>
      </c>
      <c r="H8" s="38">
        <f t="shared" si="0"/>
        <v>1.1850393700787403E-7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60</v>
      </c>
      <c r="B9" s="38">
        <v>7.0100000000000004E-9</v>
      </c>
      <c r="C9" s="38">
        <v>6.2100000000000003E-10</v>
      </c>
      <c r="D9" s="38">
        <v>6.8400000000000004E-9</v>
      </c>
      <c r="E9" s="3"/>
      <c r="F9" s="38">
        <f t="shared" si="0"/>
        <v>2.7598425196850396E-7</v>
      </c>
      <c r="G9" s="38">
        <f t="shared" si="0"/>
        <v>2.44488188976378E-8</v>
      </c>
      <c r="H9" s="38">
        <f t="shared" si="0"/>
        <v>2.6929133858267723E-7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80</v>
      </c>
      <c r="B10" s="38">
        <v>1.26E-8</v>
      </c>
      <c r="C10" s="38">
        <v>1.1200000000000001E-9</v>
      </c>
      <c r="D10" s="38">
        <v>1.2299999999999999E-8</v>
      </c>
      <c r="E10" s="3"/>
      <c r="F10" s="38">
        <f t="shared" si="0"/>
        <v>4.960629921259843E-7</v>
      </c>
      <c r="G10" s="38">
        <f t="shared" si="0"/>
        <v>4.409448818897638E-8</v>
      </c>
      <c r="H10" s="38">
        <f t="shared" si="0"/>
        <v>4.8425196850393696E-7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100</v>
      </c>
      <c r="B11" s="38">
        <v>2E-8</v>
      </c>
      <c r="C11" s="38">
        <v>1.7700000000000001E-9</v>
      </c>
      <c r="D11" s="38">
        <v>1.9399999999999998E-8</v>
      </c>
      <c r="E11" s="3"/>
      <c r="F11" s="38">
        <f t="shared" si="0"/>
        <v>7.8740157480314972E-7</v>
      </c>
      <c r="G11" s="38">
        <f t="shared" si="0"/>
        <v>6.9685039370078741E-8</v>
      </c>
      <c r="H11" s="38">
        <f t="shared" si="0"/>
        <v>7.6377952755905504E-7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120</v>
      </c>
      <c r="B12" s="38">
        <v>2.92E-8</v>
      </c>
      <c r="C12" s="38">
        <v>2.6000000000000001E-9</v>
      </c>
      <c r="D12" s="38">
        <v>2.84E-8</v>
      </c>
      <c r="E12" s="3"/>
      <c r="F12" s="38">
        <f t="shared" si="0"/>
        <v>1.1496062992125985E-6</v>
      </c>
      <c r="G12" s="38">
        <f t="shared" si="0"/>
        <v>1.0236220472440946E-7</v>
      </c>
      <c r="H12" s="38">
        <f t="shared" si="0"/>
        <v>1.1181102362204725E-6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140</v>
      </c>
      <c r="B13" s="38">
        <v>4.0499999999999999E-8</v>
      </c>
      <c r="C13" s="38">
        <v>3.6199999999999999E-9</v>
      </c>
      <c r="D13" s="38">
        <v>3.9400000000000002E-8</v>
      </c>
      <c r="E13" s="3"/>
      <c r="F13" s="38">
        <f t="shared" si="0"/>
        <v>1.5944881889763781E-6</v>
      </c>
      <c r="G13" s="38">
        <f t="shared" si="0"/>
        <v>1.425196850393701E-7</v>
      </c>
      <c r="H13" s="38">
        <f t="shared" si="0"/>
        <v>1.551181102362205E-6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160</v>
      </c>
      <c r="B14" s="38">
        <v>5.4100000000000001E-8</v>
      </c>
      <c r="C14" s="38">
        <v>4.8399999999999998E-9</v>
      </c>
      <c r="D14" s="38">
        <v>5.2600000000000001E-8</v>
      </c>
      <c r="E14" s="3"/>
      <c r="F14" s="38">
        <f t="shared" si="0"/>
        <v>2.1299212598425198E-6</v>
      </c>
      <c r="G14" s="38">
        <f t="shared" si="0"/>
        <v>1.9055118110236223E-7</v>
      </c>
      <c r="H14" s="38">
        <f t="shared" si="0"/>
        <v>2.0708661417322835E-6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180</v>
      </c>
      <c r="B15" s="38">
        <v>7.0099999999999999E-8</v>
      </c>
      <c r="C15" s="38">
        <v>6.2900000000000004E-9</v>
      </c>
      <c r="D15" s="38">
        <v>6.8200000000000002E-8</v>
      </c>
      <c r="E15" s="3"/>
      <c r="F15" s="38">
        <f t="shared" si="0"/>
        <v>2.7598425196850392E-6</v>
      </c>
      <c r="G15" s="38">
        <f t="shared" si="0"/>
        <v>2.4763779527559059E-7</v>
      </c>
      <c r="H15" s="38">
        <f t="shared" si="0"/>
        <v>2.6850393700787406E-6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200</v>
      </c>
      <c r="B16" s="38">
        <v>8.9000000000000003E-8</v>
      </c>
      <c r="C16" s="38">
        <v>8.0100000000000003E-9</v>
      </c>
      <c r="D16" s="38">
        <v>8.6400000000000006E-8</v>
      </c>
      <c r="E16" s="3"/>
      <c r="F16" s="38">
        <f t="shared" si="0"/>
        <v>3.5039370078740162E-6</v>
      </c>
      <c r="G16" s="38">
        <f t="shared" si="0"/>
        <v>3.1535433070866139E-7</v>
      </c>
      <c r="H16" s="38">
        <f t="shared" si="0"/>
        <v>3.4015748031496063E-6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220</v>
      </c>
      <c r="B17" s="38">
        <v>1.11E-7</v>
      </c>
      <c r="C17" s="38">
        <v>1E-8</v>
      </c>
      <c r="D17" s="38">
        <v>1.08E-7</v>
      </c>
      <c r="E17" s="3"/>
      <c r="F17" s="38">
        <f t="shared" si="0"/>
        <v>4.3700787401574806E-6</v>
      </c>
      <c r="G17" s="38">
        <f t="shared" si="0"/>
        <v>3.9370078740157486E-7</v>
      </c>
      <c r="H17" s="38">
        <f t="shared" si="0"/>
        <v>4.2519685039370081E-6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240</v>
      </c>
      <c r="B18" s="38">
        <v>1.36E-7</v>
      </c>
      <c r="C18" s="38">
        <v>1.24E-8</v>
      </c>
      <c r="D18" s="38">
        <v>1.3199999999999999E-7</v>
      </c>
      <c r="E18" s="3"/>
      <c r="F18" s="38">
        <f t="shared" si="0"/>
        <v>5.3543307086614173E-6</v>
      </c>
      <c r="G18" s="38">
        <f t="shared" si="0"/>
        <v>4.8818897637795274E-7</v>
      </c>
      <c r="H18" s="38">
        <f t="shared" si="0"/>
        <v>5.1968503937007869E-6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260</v>
      </c>
      <c r="B19" s="38">
        <v>1.66E-7</v>
      </c>
      <c r="C19" s="38">
        <v>1.52E-8</v>
      </c>
      <c r="D19" s="38">
        <v>1.6E-7</v>
      </c>
      <c r="E19" s="3"/>
      <c r="F19" s="38">
        <f t="shared" si="0"/>
        <v>6.535433070866142E-6</v>
      </c>
      <c r="G19" s="38">
        <f t="shared" si="0"/>
        <v>5.9842519685039375E-7</v>
      </c>
      <c r="H19" s="38">
        <f t="shared" si="0"/>
        <v>6.2992125984251978E-6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280</v>
      </c>
      <c r="B20" s="38">
        <v>1.9999999999999999E-7</v>
      </c>
      <c r="C20" s="38">
        <v>1.8399999999999999E-8</v>
      </c>
      <c r="D20" s="38">
        <v>1.92E-7</v>
      </c>
      <c r="E20" s="3"/>
      <c r="F20" s="38">
        <f t="shared" si="0"/>
        <v>7.8740157480314964E-6</v>
      </c>
      <c r="G20" s="38">
        <f t="shared" si="0"/>
        <v>7.2440944881889766E-7</v>
      </c>
      <c r="H20" s="38">
        <f t="shared" si="0"/>
        <v>7.5590551181102365E-6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300</v>
      </c>
      <c r="B21" s="38">
        <v>2.3999999999999998E-7</v>
      </c>
      <c r="C21" s="38">
        <v>2.22E-8</v>
      </c>
      <c r="D21" s="38">
        <v>2.29E-7</v>
      </c>
      <c r="E21" s="3"/>
      <c r="F21" s="38">
        <f t="shared" si="0"/>
        <v>9.448818897637795E-6</v>
      </c>
      <c r="G21" s="38">
        <f t="shared" si="0"/>
        <v>8.7401574803149615E-7</v>
      </c>
      <c r="H21" s="38">
        <f t="shared" si="0"/>
        <v>9.0157480314960633E-6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320</v>
      </c>
      <c r="B22" s="38">
        <v>2.8700000000000002E-7</v>
      </c>
      <c r="C22" s="38">
        <v>2.66E-8</v>
      </c>
      <c r="D22" s="38">
        <v>2.72E-7</v>
      </c>
      <c r="E22" s="3"/>
      <c r="F22" s="38">
        <f t="shared" si="0"/>
        <v>1.1299212598425199E-5</v>
      </c>
      <c r="G22" s="38">
        <f t="shared" si="0"/>
        <v>1.0472440944881891E-6</v>
      </c>
      <c r="H22" s="38">
        <f t="shared" si="0"/>
        <v>1.0708661417322835E-5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340</v>
      </c>
      <c r="B23" s="38">
        <v>3.4200000000000002E-7</v>
      </c>
      <c r="C23" s="38">
        <v>3.1699999999999999E-8</v>
      </c>
      <c r="D23" s="38">
        <v>3.2000000000000001E-7</v>
      </c>
      <c r="E23" s="3"/>
      <c r="F23" s="38">
        <f t="shared" si="0"/>
        <v>1.346456692913386E-5</v>
      </c>
      <c r="G23" s="38">
        <f t="shared" si="0"/>
        <v>1.2480314960629922E-6</v>
      </c>
      <c r="H23" s="38">
        <f t="shared" si="0"/>
        <v>1.2598425196850396E-5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360</v>
      </c>
      <c r="B24" s="38">
        <v>4.0499999999999999E-7</v>
      </c>
      <c r="C24" s="38">
        <v>3.77E-8</v>
      </c>
      <c r="D24" s="38">
        <v>3.7599999999999998E-7</v>
      </c>
      <c r="E24" s="3"/>
      <c r="F24" s="38">
        <f t="shared" si="0"/>
        <v>1.5944881889763779E-5</v>
      </c>
      <c r="G24" s="38">
        <f t="shared" si="0"/>
        <v>1.4842519685039371E-6</v>
      </c>
      <c r="H24" s="38">
        <f t="shared" si="0"/>
        <v>1.4803149606299212E-5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380</v>
      </c>
      <c r="B25" s="38">
        <v>4.7899999999999999E-7</v>
      </c>
      <c r="C25" s="38">
        <v>4.4700000000000003E-8</v>
      </c>
      <c r="D25" s="38">
        <v>4.39E-7</v>
      </c>
      <c r="E25" s="3"/>
      <c r="F25" s="38">
        <f t="shared" si="0"/>
        <v>1.8858267716535435E-5</v>
      </c>
      <c r="G25" s="38">
        <f t="shared" si="0"/>
        <v>1.7598425196850396E-6</v>
      </c>
      <c r="H25" s="38">
        <f t="shared" si="0"/>
        <v>1.7283464566929136E-5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400</v>
      </c>
      <c r="B26" s="38">
        <v>5.6700000000000003E-7</v>
      </c>
      <c r="C26" s="38">
        <v>5.2999999999999998E-8</v>
      </c>
      <c r="D26" s="38">
        <v>5.1200000000000003E-7</v>
      </c>
      <c r="E26" s="3"/>
      <c r="F26" s="38">
        <f t="shared" si="0"/>
        <v>2.2322834645669294E-5</v>
      </c>
      <c r="G26" s="38">
        <f t="shared" si="0"/>
        <v>2.0866141732283467E-6</v>
      </c>
      <c r="H26" s="38">
        <f t="shared" si="0"/>
        <v>2.0157480314960633E-5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420</v>
      </c>
      <c r="B27" s="38">
        <v>6.7199999999999998E-7</v>
      </c>
      <c r="C27" s="38">
        <v>6.2800000000000006E-8</v>
      </c>
      <c r="D27" s="38">
        <v>5.9599999999999999E-7</v>
      </c>
      <c r="E27" s="3"/>
      <c r="F27" s="38">
        <f t="shared" si="0"/>
        <v>2.6456692913385827E-5</v>
      </c>
      <c r="G27" s="38">
        <f t="shared" si="0"/>
        <v>2.4724409448818902E-6</v>
      </c>
      <c r="H27" s="38">
        <f t="shared" si="0"/>
        <v>2.3464566929133858E-5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440</v>
      </c>
      <c r="B28" s="38">
        <v>7.9699999999999995E-7</v>
      </c>
      <c r="C28" s="38">
        <v>7.4499999999999999E-8</v>
      </c>
      <c r="D28" s="38">
        <v>6.9299999999999997E-7</v>
      </c>
      <c r="E28" s="3"/>
      <c r="F28" s="38">
        <f t="shared" si="0"/>
        <v>3.1377952755905509E-5</v>
      </c>
      <c r="G28" s="38">
        <f t="shared" si="0"/>
        <v>2.9330708661417322E-6</v>
      </c>
      <c r="H28" s="38">
        <f t="shared" si="0"/>
        <v>2.7283464566929132E-5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460</v>
      </c>
      <c r="B29" s="38">
        <v>9.4799999999999997E-7</v>
      </c>
      <c r="C29" s="38">
        <v>8.8399999999999997E-8</v>
      </c>
      <c r="D29" s="38">
        <v>8.0500000000000002E-7</v>
      </c>
      <c r="E29" s="3"/>
      <c r="F29" s="38">
        <f t="shared" si="0"/>
        <v>3.732283464566929E-5</v>
      </c>
      <c r="G29" s="38">
        <f t="shared" si="0"/>
        <v>3.480314960629921E-6</v>
      </c>
      <c r="H29" s="38">
        <f t="shared" si="0"/>
        <v>3.1692913385826779E-5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480</v>
      </c>
      <c r="B30" s="38">
        <v>1.13E-6</v>
      </c>
      <c r="C30" s="38">
        <v>1.05E-7</v>
      </c>
      <c r="D30" s="38">
        <v>9.33E-7</v>
      </c>
      <c r="E30" s="3"/>
      <c r="F30" s="38">
        <f t="shared" si="0"/>
        <v>4.4488188976377954E-5</v>
      </c>
      <c r="G30" s="38">
        <f t="shared" si="0"/>
        <v>4.1338582677165355E-6</v>
      </c>
      <c r="H30" s="38">
        <f t="shared" si="0"/>
        <v>3.673228346456693E-5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500</v>
      </c>
      <c r="B31" s="38">
        <v>1.35E-6</v>
      </c>
      <c r="C31" s="38">
        <v>1.2499999999999999E-7</v>
      </c>
      <c r="D31" s="38">
        <v>1.08E-6</v>
      </c>
      <c r="E31" s="3"/>
      <c r="F31" s="38">
        <f t="shared" si="0"/>
        <v>5.3149606299212606E-5</v>
      </c>
      <c r="G31" s="38">
        <f t="shared" si="0"/>
        <v>4.9212598425196856E-6</v>
      </c>
      <c r="H31" s="38">
        <f t="shared" si="0"/>
        <v>4.2519685039370082E-5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520</v>
      </c>
      <c r="B32" s="38">
        <v>1.6199999999999999E-6</v>
      </c>
      <c r="C32" s="38">
        <v>1.48E-7</v>
      </c>
      <c r="D32" s="38">
        <v>1.24E-6</v>
      </c>
      <c r="E32" s="3"/>
      <c r="F32" s="38">
        <f t="shared" si="0"/>
        <v>6.3779527559055117E-5</v>
      </c>
      <c r="G32" s="38">
        <f t="shared" si="0"/>
        <v>5.8267716535433075E-6</v>
      </c>
      <c r="H32" s="38">
        <f t="shared" si="0"/>
        <v>4.8818897637795277E-5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540</v>
      </c>
      <c r="B33" s="38">
        <v>1.9199999999999998E-6</v>
      </c>
      <c r="C33" s="38">
        <v>1.7499999999999999E-7</v>
      </c>
      <c r="D33" s="38">
        <v>1.4100000000000001E-6</v>
      </c>
      <c r="E33" s="3"/>
      <c r="F33" s="38">
        <f t="shared" si="0"/>
        <v>7.559055118110236E-5</v>
      </c>
      <c r="G33" s="38">
        <f t="shared" si="0"/>
        <v>6.8897637795275597E-6</v>
      </c>
      <c r="H33" s="38">
        <f t="shared" si="0"/>
        <v>5.5511811023622051E-5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560</v>
      </c>
      <c r="B34" s="38">
        <v>2.2500000000000001E-6</v>
      </c>
      <c r="C34" s="38">
        <v>2.0699999999999999E-7</v>
      </c>
      <c r="D34" s="38">
        <v>1.57E-6</v>
      </c>
      <c r="E34" s="3"/>
      <c r="F34" s="38">
        <f t="shared" si="0"/>
        <v>8.8582677165354348E-5</v>
      </c>
      <c r="G34" s="38">
        <f t="shared" si="0"/>
        <v>8.1496062992125984E-6</v>
      </c>
      <c r="H34" s="38">
        <f t="shared" si="0"/>
        <v>6.1811023622047252E-5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580</v>
      </c>
      <c r="B35" s="38">
        <v>2.5799999999999999E-6</v>
      </c>
      <c r="C35" s="38">
        <v>2.41E-7</v>
      </c>
      <c r="D35" s="38">
        <v>1.7E-6</v>
      </c>
      <c r="E35" s="3"/>
      <c r="F35" s="38">
        <f t="shared" si="0"/>
        <v>1.015748031496063E-4</v>
      </c>
      <c r="G35" s="38">
        <f t="shared" si="0"/>
        <v>9.4881889763779536E-6</v>
      </c>
      <c r="H35" s="38">
        <f t="shared" si="0"/>
        <v>6.6929133858267728E-5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600</v>
      </c>
      <c r="B36" s="38">
        <v>2.83E-6</v>
      </c>
      <c r="C36" s="38">
        <v>2.7700000000000001E-7</v>
      </c>
      <c r="D36" s="38">
        <v>1.77E-6</v>
      </c>
      <c r="E36" s="3"/>
      <c r="F36" s="38">
        <f t="shared" si="0"/>
        <v>1.1141732283464567E-4</v>
      </c>
      <c r="G36" s="38">
        <f t="shared" si="0"/>
        <v>1.0905511811023623E-5</v>
      </c>
      <c r="H36" s="38">
        <f t="shared" si="0"/>
        <v>6.9685039370078752E-5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620</v>
      </c>
      <c r="B37" s="38">
        <v>2.9699999999999999E-6</v>
      </c>
      <c r="C37" s="38">
        <v>3.1100000000000002E-7</v>
      </c>
      <c r="D37" s="38">
        <v>1.7600000000000001E-6</v>
      </c>
      <c r="E37" s="3"/>
      <c r="F37" s="38">
        <f t="shared" si="0"/>
        <v>1.1692913385826772E-4</v>
      </c>
      <c r="G37" s="38">
        <f t="shared" si="0"/>
        <v>1.2244094488188978E-5</v>
      </c>
      <c r="H37" s="38">
        <f t="shared" si="0"/>
        <v>6.9291338582677165E-5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640</v>
      </c>
      <c r="B38" s="38">
        <v>2.9799999999999998E-6</v>
      </c>
      <c r="C38" s="38">
        <v>3.3999999999999997E-7</v>
      </c>
      <c r="D38" s="38">
        <v>1.7099999999999999E-6</v>
      </c>
      <c r="E38" s="3"/>
      <c r="F38" s="38">
        <f t="shared" si="0"/>
        <v>1.173228346456693E-4</v>
      </c>
      <c r="G38" s="38">
        <f t="shared" si="0"/>
        <v>1.3385826771653543E-5</v>
      </c>
      <c r="H38" s="38">
        <f t="shared" si="0"/>
        <v>6.7322834645669287E-5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660</v>
      </c>
      <c r="B39" s="38">
        <v>2.8899999999999999E-6</v>
      </c>
      <c r="C39" s="38">
        <v>3.5999999999999999E-7</v>
      </c>
      <c r="D39" s="38">
        <v>1.6300000000000001E-6</v>
      </c>
      <c r="E39" s="3"/>
      <c r="F39" s="38">
        <f t="shared" si="0"/>
        <v>1.1377952755905511E-4</v>
      </c>
      <c r="G39" s="38">
        <f t="shared" si="0"/>
        <v>1.4173228346456692E-5</v>
      </c>
      <c r="H39" s="38">
        <f t="shared" si="0"/>
        <v>6.4173228346456703E-5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680</v>
      </c>
      <c r="B40" s="38">
        <v>2.7599999999999998E-6</v>
      </c>
      <c r="C40" s="38">
        <v>3.7099999999999997E-7</v>
      </c>
      <c r="D40" s="38">
        <v>1.5600000000000001E-6</v>
      </c>
      <c r="E40" s="3"/>
      <c r="F40" s="38">
        <f t="shared" si="0"/>
        <v>1.0866141732283465E-4</v>
      </c>
      <c r="G40" s="38">
        <f t="shared" si="0"/>
        <v>1.4606299212598424E-5</v>
      </c>
      <c r="H40" s="38">
        <f t="shared" si="0"/>
        <v>6.1417322834645679E-5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700</v>
      </c>
      <c r="B41" s="38">
        <v>2.61E-6</v>
      </c>
      <c r="C41" s="38">
        <v>3.7599999999999998E-7</v>
      </c>
      <c r="D41" s="38">
        <v>1.5099999999999999E-6</v>
      </c>
      <c r="E41" s="3"/>
      <c r="F41" s="38">
        <f t="shared" si="0"/>
        <v>1.0275590551181103E-4</v>
      </c>
      <c r="G41" s="38">
        <f t="shared" si="0"/>
        <v>1.4803149606299212E-5</v>
      </c>
      <c r="H41" s="38">
        <f t="shared" si="0"/>
        <v>5.9448818897637794E-5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720</v>
      </c>
      <c r="B42" s="38">
        <v>2.4700000000000001E-6</v>
      </c>
      <c r="C42" s="38">
        <v>3.7500000000000001E-7</v>
      </c>
      <c r="D42" s="38">
        <v>1.4699999999999999E-6</v>
      </c>
      <c r="E42" s="3"/>
      <c r="F42" s="38">
        <f t="shared" si="0"/>
        <v>9.7244094488188981E-5</v>
      </c>
      <c r="G42" s="38">
        <f t="shared" si="0"/>
        <v>1.4763779527559057E-5</v>
      </c>
      <c r="H42" s="38">
        <f t="shared" si="0"/>
        <v>5.7874015748031495E-5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740</v>
      </c>
      <c r="B43" s="38">
        <v>2.3499999999999999E-6</v>
      </c>
      <c r="C43" s="38">
        <v>3.7099999999999997E-7</v>
      </c>
      <c r="D43" s="38">
        <v>1.44E-6</v>
      </c>
      <c r="E43" s="3"/>
      <c r="F43" s="38">
        <f t="shared" si="0"/>
        <v>9.2519685039370092E-5</v>
      </c>
      <c r="G43" s="38">
        <f t="shared" si="0"/>
        <v>1.4606299212598424E-5</v>
      </c>
      <c r="H43" s="38">
        <f t="shared" si="0"/>
        <v>5.669291338582677E-5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760</v>
      </c>
      <c r="B44" s="38">
        <v>2.2400000000000002E-6</v>
      </c>
      <c r="C44" s="38">
        <v>3.6699999999999999E-7</v>
      </c>
      <c r="D44" s="38">
        <v>1.4300000000000001E-6</v>
      </c>
      <c r="E44" s="3"/>
      <c r="F44" s="38">
        <f t="shared" si="0"/>
        <v>8.8188976377952775E-5</v>
      </c>
      <c r="G44" s="38">
        <f t="shared" si="0"/>
        <v>1.4448818897637795E-5</v>
      </c>
      <c r="H44" s="38">
        <f t="shared" si="0"/>
        <v>5.6299212598425204E-5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780</v>
      </c>
      <c r="B45" s="38">
        <v>2.1600000000000001E-6</v>
      </c>
      <c r="C45" s="38">
        <v>3.6199999999999999E-7</v>
      </c>
      <c r="D45" s="38">
        <v>1.42E-6</v>
      </c>
      <c r="E45" s="3"/>
      <c r="F45" s="38">
        <f t="shared" si="0"/>
        <v>8.5039370078740165E-5</v>
      </c>
      <c r="G45" s="38">
        <f t="shared" si="0"/>
        <v>1.4251968503937008E-5</v>
      </c>
      <c r="H45" s="38">
        <f t="shared" si="0"/>
        <v>5.5905511811023624E-5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800</v>
      </c>
      <c r="B46" s="38">
        <v>2.08E-6</v>
      </c>
      <c r="C46" s="38">
        <v>3.58E-7</v>
      </c>
      <c r="D46" s="38">
        <v>1.4100000000000001E-6</v>
      </c>
      <c r="E46" s="3"/>
      <c r="F46" s="38">
        <f t="shared" si="0"/>
        <v>8.1889763779527554E-5</v>
      </c>
      <c r="G46" s="38">
        <f t="shared" si="0"/>
        <v>1.409448818897638E-5</v>
      </c>
      <c r="H46" s="38">
        <f t="shared" si="0"/>
        <v>5.5511811023622051E-5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820</v>
      </c>
      <c r="B47" s="38">
        <v>2.0200000000000001E-6</v>
      </c>
      <c r="C47" s="38">
        <v>3.5400000000000002E-7</v>
      </c>
      <c r="D47" s="38">
        <v>1.4100000000000001E-6</v>
      </c>
      <c r="E47" s="3"/>
      <c r="F47" s="38">
        <f t="shared" si="0"/>
        <v>7.9527559055118116E-5</v>
      </c>
      <c r="G47" s="38">
        <f t="shared" si="0"/>
        <v>1.3937007874015751E-5</v>
      </c>
      <c r="H47" s="38">
        <f t="shared" si="0"/>
        <v>5.5511811023622051E-5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840</v>
      </c>
      <c r="B48" s="38">
        <v>1.9700000000000002E-6</v>
      </c>
      <c r="C48" s="38">
        <v>3.5100000000000001E-7</v>
      </c>
      <c r="D48" s="38">
        <v>1.42E-6</v>
      </c>
      <c r="E48" s="3"/>
      <c r="F48" s="38">
        <f t="shared" si="0"/>
        <v>7.7559055118110252E-5</v>
      </c>
      <c r="G48" s="38">
        <f t="shared" si="0"/>
        <v>1.3818897637795276E-5</v>
      </c>
      <c r="H48" s="38">
        <f t="shared" si="0"/>
        <v>5.5905511811023624E-5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860</v>
      </c>
      <c r="B49" s="38">
        <v>1.9400000000000001E-6</v>
      </c>
      <c r="C49" s="38">
        <v>3.4799999999999999E-7</v>
      </c>
      <c r="D49" s="38">
        <v>1.44E-6</v>
      </c>
      <c r="E49" s="3"/>
      <c r="F49" s="38">
        <f t="shared" si="0"/>
        <v>7.6377952755905519E-5</v>
      </c>
      <c r="G49" s="38">
        <f t="shared" si="0"/>
        <v>1.3700787401574804E-5</v>
      </c>
      <c r="H49" s="38">
        <f t="shared" si="0"/>
        <v>5.669291338582677E-5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880</v>
      </c>
      <c r="B50" s="38">
        <v>1.9E-6</v>
      </c>
      <c r="C50" s="38">
        <v>3.46E-7</v>
      </c>
      <c r="D50" s="38">
        <v>1.46E-6</v>
      </c>
      <c r="E50" s="3"/>
      <c r="F50" s="38">
        <f t="shared" si="0"/>
        <v>7.4803149606299214E-5</v>
      </c>
      <c r="G50" s="38">
        <f t="shared" si="0"/>
        <v>1.362204724409449E-5</v>
      </c>
      <c r="H50" s="38">
        <f t="shared" si="0"/>
        <v>5.7480314960629922E-5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900</v>
      </c>
      <c r="B51" s="38">
        <v>1.88E-6</v>
      </c>
      <c r="C51" s="38">
        <v>3.4299999999999999E-7</v>
      </c>
      <c r="D51" s="38">
        <v>1.4899999999999999E-6</v>
      </c>
      <c r="E51" s="3"/>
      <c r="F51" s="38">
        <f t="shared" si="0"/>
        <v>7.4015748031496068E-5</v>
      </c>
      <c r="G51" s="38">
        <f t="shared" si="0"/>
        <v>1.3503937007874016E-5</v>
      </c>
      <c r="H51" s="38">
        <f t="shared" si="0"/>
        <v>5.8661417322834648E-5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920</v>
      </c>
      <c r="B52" s="38">
        <v>1.8700000000000001E-6</v>
      </c>
      <c r="C52" s="38">
        <v>3.41E-7</v>
      </c>
      <c r="D52" s="38">
        <v>1.5200000000000001E-6</v>
      </c>
      <c r="E52" s="3"/>
      <c r="F52" s="38">
        <f t="shared" si="0"/>
        <v>7.3622047244094495E-5</v>
      </c>
      <c r="G52" s="38">
        <f t="shared" si="0"/>
        <v>1.3425196850393702E-5</v>
      </c>
      <c r="H52" s="38">
        <f t="shared" si="0"/>
        <v>5.9842519685039374E-5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940</v>
      </c>
      <c r="B53" s="38">
        <v>1.8500000000000001E-6</v>
      </c>
      <c r="C53" s="38">
        <v>3.3799999999999998E-7</v>
      </c>
      <c r="D53" s="38">
        <v>1.5600000000000001E-6</v>
      </c>
      <c r="E53" s="3"/>
      <c r="F53" s="38">
        <f t="shared" si="0"/>
        <v>7.2834645669291349E-5</v>
      </c>
      <c r="G53" s="38">
        <f t="shared" si="0"/>
        <v>1.3307086614173228E-5</v>
      </c>
      <c r="H53" s="38">
        <f t="shared" si="0"/>
        <v>6.1417322834645679E-5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960</v>
      </c>
      <c r="B54" s="38">
        <v>1.8500000000000001E-6</v>
      </c>
      <c r="C54" s="38">
        <v>3.34E-7</v>
      </c>
      <c r="D54" s="38">
        <v>1.61E-6</v>
      </c>
      <c r="E54" s="3"/>
      <c r="F54" s="38">
        <f t="shared" si="0"/>
        <v>7.2834645669291349E-5</v>
      </c>
      <c r="G54" s="38">
        <f t="shared" si="0"/>
        <v>1.3149606299212598E-5</v>
      </c>
      <c r="H54" s="38">
        <f t="shared" si="0"/>
        <v>6.3385826771653557E-5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980</v>
      </c>
      <c r="B55" s="38">
        <v>1.8500000000000001E-6</v>
      </c>
      <c r="C55" s="38">
        <v>3.3099999999999999E-7</v>
      </c>
      <c r="D55" s="38">
        <v>1.66E-6</v>
      </c>
      <c r="E55" s="3"/>
      <c r="F55" s="38">
        <f t="shared" si="0"/>
        <v>7.2834645669291349E-5</v>
      </c>
      <c r="G55" s="38">
        <f t="shared" si="0"/>
        <v>1.3031496062992125E-5</v>
      </c>
      <c r="H55" s="38">
        <f t="shared" si="0"/>
        <v>6.5354330708661422E-5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1000</v>
      </c>
      <c r="B56" s="38">
        <v>1.8500000000000001E-6</v>
      </c>
      <c r="C56" s="38">
        <v>3.2800000000000003E-7</v>
      </c>
      <c r="D56" s="38">
        <v>1.72E-6</v>
      </c>
      <c r="E56" s="3"/>
      <c r="F56" s="38">
        <f t="shared" si="0"/>
        <v>7.2834645669291349E-5</v>
      </c>
      <c r="G56" s="38">
        <f t="shared" si="0"/>
        <v>1.2913385826771655E-5</v>
      </c>
      <c r="H56" s="38">
        <f t="shared" si="0"/>
        <v>6.7716535433070873E-5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1020</v>
      </c>
      <c r="B57" s="38">
        <v>1.8500000000000001E-6</v>
      </c>
      <c r="C57" s="38">
        <v>3.2599999999999998E-7</v>
      </c>
      <c r="D57" s="38">
        <v>1.79E-6</v>
      </c>
      <c r="E57" s="3"/>
      <c r="F57" s="38">
        <f t="shared" si="0"/>
        <v>7.2834645669291349E-5</v>
      </c>
      <c r="G57" s="38">
        <f t="shared" si="0"/>
        <v>1.2834645669291337E-5</v>
      </c>
      <c r="H57" s="38">
        <f t="shared" si="0"/>
        <v>7.0472440944881884E-5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1040</v>
      </c>
      <c r="B58" s="38">
        <v>1.86E-6</v>
      </c>
      <c r="C58" s="38">
        <v>3.2500000000000001E-7</v>
      </c>
      <c r="D58" s="38">
        <v>1.8500000000000001E-6</v>
      </c>
      <c r="E58" s="3"/>
      <c r="F58" s="38">
        <f t="shared" si="0"/>
        <v>7.3228346456692908E-5</v>
      </c>
      <c r="G58" s="38">
        <f t="shared" si="0"/>
        <v>1.2795275590551182E-5</v>
      </c>
      <c r="H58" s="38">
        <f t="shared" si="0"/>
        <v>7.2834645669291349E-5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1060</v>
      </c>
      <c r="B59" s="38">
        <v>1.8700000000000001E-6</v>
      </c>
      <c r="C59" s="39">
        <v>3.2800000000000003E-7</v>
      </c>
      <c r="D59" s="38">
        <v>1.9199999999999998E-6</v>
      </c>
      <c r="E59" s="3"/>
      <c r="F59" s="38">
        <f t="shared" si="0"/>
        <v>7.3622047244094495E-5</v>
      </c>
      <c r="G59" s="38">
        <f t="shared" si="0"/>
        <v>1.2913385826771655E-5</v>
      </c>
      <c r="H59" s="38">
        <f t="shared" si="0"/>
        <v>7.559055118110236E-5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1080</v>
      </c>
      <c r="B60" s="38">
        <v>1.8899999999999999E-6</v>
      </c>
      <c r="C60" s="38">
        <v>3.3299999999999998E-7</v>
      </c>
      <c r="D60" s="38">
        <v>1.9800000000000001E-6</v>
      </c>
      <c r="E60" s="3"/>
      <c r="F60" s="38">
        <f t="shared" si="0"/>
        <v>7.4409448818897641E-5</v>
      </c>
      <c r="G60" s="38">
        <f t="shared" si="0"/>
        <v>1.3110236220472441E-5</v>
      </c>
      <c r="H60" s="38">
        <f t="shared" si="0"/>
        <v>7.7952755905511811E-5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1100</v>
      </c>
      <c r="B61" s="38">
        <v>1.9E-6</v>
      </c>
      <c r="C61" s="38">
        <v>3.4400000000000001E-7</v>
      </c>
      <c r="D61" s="38">
        <v>2.03E-6</v>
      </c>
      <c r="E61" s="3"/>
      <c r="F61" s="38">
        <f t="shared" si="0"/>
        <v>7.4803149606299214E-5</v>
      </c>
      <c r="G61" s="38">
        <f t="shared" si="0"/>
        <v>1.3543307086614174E-5</v>
      </c>
      <c r="H61" s="38">
        <f t="shared" si="0"/>
        <v>7.9921259842519689E-5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1120</v>
      </c>
      <c r="B62" s="38">
        <v>1.9199999999999998E-6</v>
      </c>
      <c r="C62" s="38">
        <v>3.5900000000000003E-7</v>
      </c>
      <c r="D62" s="38">
        <v>2.08E-6</v>
      </c>
      <c r="E62" s="3"/>
      <c r="F62" s="38">
        <f t="shared" si="0"/>
        <v>7.559055118110236E-5</v>
      </c>
      <c r="G62" s="38">
        <f t="shared" si="0"/>
        <v>1.4133858267716535E-5</v>
      </c>
      <c r="H62" s="38">
        <f t="shared" si="0"/>
        <v>8.1889763779527554E-5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1140</v>
      </c>
      <c r="B63" s="38">
        <v>1.9400000000000001E-6</v>
      </c>
      <c r="C63" s="38">
        <v>3.7899999999999999E-7</v>
      </c>
      <c r="D63" s="38">
        <v>2.12E-6</v>
      </c>
      <c r="E63" s="3"/>
      <c r="F63" s="38">
        <f t="shared" si="0"/>
        <v>7.6377952755905519E-5</v>
      </c>
      <c r="G63" s="38">
        <f t="shared" si="0"/>
        <v>1.4921259842519686E-5</v>
      </c>
      <c r="H63" s="38">
        <f t="shared" si="0"/>
        <v>8.3464566929133859E-5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1160</v>
      </c>
      <c r="B64" s="38">
        <v>1.9700000000000002E-6</v>
      </c>
      <c r="C64" s="38">
        <v>4.0400000000000002E-7</v>
      </c>
      <c r="D64" s="38">
        <v>2.1600000000000001E-6</v>
      </c>
      <c r="E64" s="3"/>
      <c r="F64" s="38">
        <f t="shared" si="0"/>
        <v>7.7559055118110252E-5</v>
      </c>
      <c r="G64" s="38">
        <f t="shared" si="0"/>
        <v>1.5905511811023624E-5</v>
      </c>
      <c r="H64" s="38">
        <f t="shared" si="0"/>
        <v>8.5039370078740165E-5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1180</v>
      </c>
      <c r="B65" s="38">
        <v>1.99E-6</v>
      </c>
      <c r="C65" s="38">
        <v>4.3300000000000003E-7</v>
      </c>
      <c r="D65" s="38">
        <v>2.1799999999999999E-6</v>
      </c>
      <c r="E65" s="3"/>
      <c r="F65" s="38">
        <f t="shared" si="0"/>
        <v>7.8346456692913397E-5</v>
      </c>
      <c r="G65" s="38">
        <f t="shared" si="0"/>
        <v>1.7047244094488191E-5</v>
      </c>
      <c r="H65" s="38">
        <f t="shared" si="0"/>
        <v>8.5826771653543311E-5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1200</v>
      </c>
      <c r="B66" s="38">
        <v>2.0099999999999998E-6</v>
      </c>
      <c r="C66" s="38">
        <v>4.6699999999999999E-7</v>
      </c>
      <c r="D66" s="38">
        <v>2.2000000000000001E-6</v>
      </c>
      <c r="E66" s="3"/>
      <c r="F66" s="38">
        <f t="shared" si="0"/>
        <v>7.913385826771653E-5</v>
      </c>
      <c r="G66" s="38">
        <f t="shared" si="0"/>
        <v>1.8385826771653544E-5</v>
      </c>
      <c r="H66" s="38">
        <f t="shared" si="0"/>
        <v>8.661417322834647E-5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1220</v>
      </c>
      <c r="B67" s="38">
        <v>2.04E-6</v>
      </c>
      <c r="C67" s="38">
        <v>5.0500000000000004E-7</v>
      </c>
      <c r="D67" s="38">
        <v>2.2199999999999999E-6</v>
      </c>
      <c r="E67" s="3"/>
      <c r="F67" s="38">
        <f t="shared" si="0"/>
        <v>8.0314960629921276E-5</v>
      </c>
      <c r="G67" s="38">
        <f t="shared" si="0"/>
        <v>1.9881889763779529E-5</v>
      </c>
      <c r="H67" s="38">
        <f t="shared" si="0"/>
        <v>8.7401574803149602E-5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1240</v>
      </c>
      <c r="B68" s="38">
        <v>2.0600000000000002E-6</v>
      </c>
      <c r="C68" s="38">
        <v>5.4600000000000005E-7</v>
      </c>
      <c r="D68" s="38">
        <v>2.2199999999999999E-6</v>
      </c>
      <c r="E68" s="3"/>
      <c r="F68" s="38">
        <f t="shared" si="0"/>
        <v>8.1102362204724422E-5</v>
      </c>
      <c r="G68" s="38">
        <f t="shared" si="0"/>
        <v>2.1496062992125986E-5</v>
      </c>
      <c r="H68" s="38">
        <f t="shared" si="0"/>
        <v>8.7401574803149602E-5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1260</v>
      </c>
      <c r="B69" s="38">
        <v>2.08E-6</v>
      </c>
      <c r="C69" s="38">
        <v>5.8999999999999996E-7</v>
      </c>
      <c r="D69" s="38">
        <v>2.2199999999999999E-6</v>
      </c>
      <c r="E69" s="3"/>
      <c r="F69" s="38">
        <f t="shared" si="0"/>
        <v>8.1889763779527554E-5</v>
      </c>
      <c r="G69" s="38">
        <f t="shared" si="0"/>
        <v>2.3228346456692913E-5</v>
      </c>
      <c r="H69" s="38">
        <f t="shared" si="0"/>
        <v>8.7401574803149602E-5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1280</v>
      </c>
      <c r="B70" s="38">
        <v>2.0899999999999999E-6</v>
      </c>
      <c r="C70" s="38">
        <v>6.3499999999999996E-7</v>
      </c>
      <c r="D70" s="38">
        <v>2.2199999999999999E-6</v>
      </c>
      <c r="E70" s="3"/>
      <c r="F70" s="38">
        <f t="shared" si="0"/>
        <v>8.2283464566929127E-5</v>
      </c>
      <c r="G70" s="38">
        <f t="shared" si="0"/>
        <v>2.4999999999999998E-5</v>
      </c>
      <c r="H70" s="38">
        <f t="shared" si="0"/>
        <v>8.7401574803149602E-5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1300</v>
      </c>
      <c r="B71" s="38">
        <v>2.0999999999999998E-6</v>
      </c>
      <c r="C71" s="38">
        <v>6.8100000000000002E-7</v>
      </c>
      <c r="D71" s="38">
        <v>2.21E-6</v>
      </c>
      <c r="E71" s="3"/>
      <c r="F71" s="38">
        <f t="shared" ref="F71:H126" si="1">B71*1000/25.4</f>
        <v>8.2677165354330713E-5</v>
      </c>
      <c r="G71" s="38">
        <f t="shared" si="1"/>
        <v>2.6811023622047248E-5</v>
      </c>
      <c r="H71" s="38">
        <f t="shared" si="1"/>
        <v>8.7007874015748043E-5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1320</v>
      </c>
      <c r="B72" s="38">
        <v>2.0899999999999999E-6</v>
      </c>
      <c r="C72" s="38">
        <v>7.2500000000000005E-7</v>
      </c>
      <c r="D72" s="38">
        <v>2.1900000000000002E-6</v>
      </c>
      <c r="E72" s="3"/>
      <c r="F72" s="38">
        <f t="shared" si="1"/>
        <v>8.2283464566929127E-5</v>
      </c>
      <c r="G72" s="38">
        <f t="shared" si="1"/>
        <v>2.8543307086614178E-5</v>
      </c>
      <c r="H72" s="38">
        <f t="shared" si="1"/>
        <v>8.6220472440944897E-5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1340</v>
      </c>
      <c r="B73" s="38">
        <v>2.0700000000000001E-6</v>
      </c>
      <c r="C73" s="38">
        <v>7.6599999999999995E-7</v>
      </c>
      <c r="D73" s="38">
        <v>2.17E-6</v>
      </c>
      <c r="E73" s="3"/>
      <c r="F73" s="38">
        <f t="shared" si="1"/>
        <v>8.1496062992125995E-5</v>
      </c>
      <c r="G73" s="38">
        <f t="shared" si="1"/>
        <v>3.0157480314960632E-5</v>
      </c>
      <c r="H73" s="38">
        <f t="shared" si="1"/>
        <v>8.5433070866141738E-5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1360</v>
      </c>
      <c r="B74" s="38">
        <v>2.03E-6</v>
      </c>
      <c r="C74" s="38">
        <v>7.9999999999999996E-7</v>
      </c>
      <c r="D74" s="38">
        <v>2.1500000000000002E-6</v>
      </c>
      <c r="E74" s="3"/>
      <c r="F74" s="38">
        <f t="shared" si="1"/>
        <v>7.9921259842519689E-5</v>
      </c>
      <c r="G74" s="38">
        <f t="shared" si="1"/>
        <v>3.1496062992125985E-5</v>
      </c>
      <c r="H74" s="38">
        <f t="shared" si="1"/>
        <v>8.4645669291338592E-5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1380</v>
      </c>
      <c r="B75" s="38">
        <v>1.9800000000000001E-6</v>
      </c>
      <c r="C75" s="38">
        <v>8.2699999999999998E-7</v>
      </c>
      <c r="D75" s="38">
        <v>2.12E-6</v>
      </c>
      <c r="E75" s="3"/>
      <c r="F75" s="38">
        <f t="shared" si="1"/>
        <v>7.7952755905511811E-5</v>
      </c>
      <c r="G75" s="38">
        <f t="shared" si="1"/>
        <v>3.2559055118110235E-5</v>
      </c>
      <c r="H75" s="38">
        <f t="shared" si="1"/>
        <v>8.3464566929133859E-5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1400</v>
      </c>
      <c r="B76" s="38">
        <v>1.9099999999999999E-6</v>
      </c>
      <c r="C76" s="38">
        <v>8.4499999999999996E-7</v>
      </c>
      <c r="D76" s="38">
        <v>2.0899999999999999E-6</v>
      </c>
      <c r="E76" s="3"/>
      <c r="F76" s="38">
        <f t="shared" si="1"/>
        <v>7.5196850393700787E-5</v>
      </c>
      <c r="G76" s="38">
        <f t="shared" si="1"/>
        <v>3.3267716535433071E-5</v>
      </c>
      <c r="H76" s="38">
        <f t="shared" si="1"/>
        <v>8.2283464566929127E-5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1420</v>
      </c>
      <c r="B77" s="38">
        <v>1.8199999999999999E-6</v>
      </c>
      <c r="C77" s="38">
        <v>8.54E-7</v>
      </c>
      <c r="D77" s="38">
        <v>2.0600000000000002E-6</v>
      </c>
      <c r="E77" s="3"/>
      <c r="F77" s="38">
        <f t="shared" si="1"/>
        <v>7.1653543307086617E-5</v>
      </c>
      <c r="G77" s="38">
        <f t="shared" si="1"/>
        <v>3.3622047244094492E-5</v>
      </c>
      <c r="H77" s="38">
        <f t="shared" si="1"/>
        <v>8.1102362204724422E-5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1440</v>
      </c>
      <c r="B78" s="38">
        <v>1.72E-6</v>
      </c>
      <c r="C78" s="38">
        <v>8.5300000000000003E-7</v>
      </c>
      <c r="D78" s="38">
        <v>2.04E-6</v>
      </c>
      <c r="E78" s="3"/>
      <c r="F78" s="38">
        <f t="shared" si="1"/>
        <v>6.7716535433070873E-5</v>
      </c>
      <c r="G78" s="38">
        <f t="shared" si="1"/>
        <v>3.3582677165354333E-5</v>
      </c>
      <c r="H78" s="38">
        <f t="shared" si="1"/>
        <v>8.0314960629921276E-5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1460</v>
      </c>
      <c r="B79" s="38">
        <v>1.61E-6</v>
      </c>
      <c r="C79" s="38">
        <v>8.4600000000000003E-7</v>
      </c>
      <c r="D79" s="38">
        <v>2.0099999999999998E-6</v>
      </c>
      <c r="E79" s="3"/>
      <c r="F79" s="38">
        <f t="shared" si="1"/>
        <v>6.3385826771653557E-5</v>
      </c>
      <c r="G79" s="38">
        <f t="shared" si="1"/>
        <v>3.3307086614173236E-5</v>
      </c>
      <c r="H79" s="38">
        <f t="shared" si="1"/>
        <v>7.913385826771653E-5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1480</v>
      </c>
      <c r="B80" s="38">
        <v>1.5E-6</v>
      </c>
      <c r="C80" s="38">
        <v>8.3200000000000004E-7</v>
      </c>
      <c r="D80" s="38">
        <v>1.9800000000000001E-6</v>
      </c>
      <c r="E80" s="3"/>
      <c r="F80" s="38">
        <f t="shared" si="1"/>
        <v>5.9055118110236228E-5</v>
      </c>
      <c r="G80" s="38">
        <f t="shared" si="1"/>
        <v>3.2755905511811028E-5</v>
      </c>
      <c r="H80" s="38">
        <f t="shared" si="1"/>
        <v>7.7952755905511811E-5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1500</v>
      </c>
      <c r="B81" s="38">
        <v>1.3999999999999999E-6</v>
      </c>
      <c r="C81" s="38">
        <v>8.1399999999999996E-7</v>
      </c>
      <c r="D81" s="38">
        <v>1.95E-6</v>
      </c>
      <c r="E81" s="3"/>
      <c r="F81" s="38">
        <f t="shared" si="1"/>
        <v>5.5118110236220478E-5</v>
      </c>
      <c r="G81" s="38">
        <f t="shared" si="1"/>
        <v>3.2047244094488186E-5</v>
      </c>
      <c r="H81" s="38">
        <f t="shared" si="1"/>
        <v>7.6771653543307092E-5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1520</v>
      </c>
      <c r="B82" s="38">
        <v>1.2899999999999999E-6</v>
      </c>
      <c r="C82" s="38">
        <v>7.92E-7</v>
      </c>
      <c r="D82" s="38">
        <v>1.9300000000000002E-6</v>
      </c>
      <c r="E82" s="3"/>
      <c r="F82" s="38">
        <f t="shared" si="1"/>
        <v>5.0787401574803148E-5</v>
      </c>
      <c r="G82" s="38">
        <f t="shared" si="1"/>
        <v>3.1181102362204723E-5</v>
      </c>
      <c r="H82" s="38">
        <f t="shared" si="1"/>
        <v>7.5984251968503946E-5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1540</v>
      </c>
      <c r="B83" s="38">
        <v>1.1999999999999999E-6</v>
      </c>
      <c r="C83" s="38">
        <v>7.7000000000000004E-7</v>
      </c>
      <c r="D83" s="38">
        <v>1.9E-6</v>
      </c>
      <c r="E83" s="3"/>
      <c r="F83" s="38">
        <f t="shared" si="1"/>
        <v>4.7244094488188978E-5</v>
      </c>
      <c r="G83" s="38">
        <f t="shared" si="1"/>
        <v>3.0314960629921263E-5</v>
      </c>
      <c r="H83" s="38">
        <f t="shared" si="1"/>
        <v>7.4803149606299214E-5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1560</v>
      </c>
      <c r="B84" s="38">
        <v>1.11E-6</v>
      </c>
      <c r="C84" s="38">
        <v>7.4600000000000004E-7</v>
      </c>
      <c r="D84" s="38">
        <v>1.88E-6</v>
      </c>
      <c r="E84" s="3"/>
      <c r="F84" s="38">
        <f t="shared" si="1"/>
        <v>4.3700787401574801E-5</v>
      </c>
      <c r="G84" s="38">
        <f t="shared" si="1"/>
        <v>2.9370078740157483E-5</v>
      </c>
      <c r="H84" s="38">
        <f t="shared" si="1"/>
        <v>7.4015748031496068E-5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1580</v>
      </c>
      <c r="B85" s="38">
        <v>1.02E-6</v>
      </c>
      <c r="C85" s="38">
        <v>7.23E-7</v>
      </c>
      <c r="D85" s="38">
        <v>1.86E-6</v>
      </c>
      <c r="E85" s="3"/>
      <c r="F85" s="38">
        <f t="shared" si="1"/>
        <v>4.0157480314960638E-5</v>
      </c>
      <c r="G85" s="38">
        <f t="shared" si="1"/>
        <v>2.8464566929133861E-5</v>
      </c>
      <c r="H85" s="38">
        <f t="shared" si="1"/>
        <v>7.3228346456692908E-5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1600</v>
      </c>
      <c r="B86" s="38">
        <v>9.4499999999999995E-7</v>
      </c>
      <c r="C86" s="38">
        <v>6.9999999999999997E-7</v>
      </c>
      <c r="D86" s="38">
        <v>1.84E-6</v>
      </c>
      <c r="E86" s="3"/>
      <c r="F86" s="38">
        <f t="shared" si="1"/>
        <v>3.720472440944882E-5</v>
      </c>
      <c r="G86" s="38">
        <f t="shared" si="1"/>
        <v>2.7559055118110239E-5</v>
      </c>
      <c r="H86" s="38">
        <f t="shared" si="1"/>
        <v>7.2440944881889776E-5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1620</v>
      </c>
      <c r="B87" s="38">
        <v>8.7599999999999996E-7</v>
      </c>
      <c r="C87" s="38">
        <v>6.7800000000000001E-7</v>
      </c>
      <c r="D87" s="38">
        <v>1.8199999999999999E-6</v>
      </c>
      <c r="E87" s="3"/>
      <c r="F87" s="38">
        <f t="shared" si="1"/>
        <v>3.4488188976377955E-5</v>
      </c>
      <c r="G87" s="38">
        <f t="shared" si="1"/>
        <v>2.6692913385826772E-5</v>
      </c>
      <c r="H87" s="38">
        <f t="shared" si="1"/>
        <v>7.1653543307086617E-5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1640</v>
      </c>
      <c r="B88" s="38">
        <v>8.1200000000000002E-7</v>
      </c>
      <c r="C88" s="38">
        <v>6.5799999999999999E-7</v>
      </c>
      <c r="D88" s="38">
        <v>1.7999999999999999E-6</v>
      </c>
      <c r="E88" s="3"/>
      <c r="F88" s="38">
        <f t="shared" si="1"/>
        <v>3.1968503937007876E-5</v>
      </c>
      <c r="G88" s="38">
        <f t="shared" si="1"/>
        <v>2.5905511811023623E-5</v>
      </c>
      <c r="H88" s="38">
        <f t="shared" si="1"/>
        <v>7.0866141732283471E-5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1660</v>
      </c>
      <c r="B89" s="38">
        <v>7.5499999999999997E-7</v>
      </c>
      <c r="C89" s="38">
        <v>6.3799999999999997E-7</v>
      </c>
      <c r="D89" s="38">
        <v>1.7799999999999999E-6</v>
      </c>
      <c r="E89" s="3"/>
      <c r="F89" s="38">
        <f t="shared" si="1"/>
        <v>2.9724409448818897E-5</v>
      </c>
      <c r="G89" s="38">
        <f t="shared" si="1"/>
        <v>2.5118110236220474E-5</v>
      </c>
      <c r="H89" s="38">
        <f t="shared" si="1"/>
        <v>7.0078740157480311E-5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1680</v>
      </c>
      <c r="B90" s="38">
        <v>7.0200000000000001E-7</v>
      </c>
      <c r="C90" s="38">
        <v>6.1900000000000002E-7</v>
      </c>
      <c r="D90" s="38">
        <v>1.7600000000000001E-6</v>
      </c>
      <c r="E90" s="3"/>
      <c r="F90" s="38">
        <f t="shared" si="1"/>
        <v>2.7637795275590553E-5</v>
      </c>
      <c r="G90" s="38">
        <f t="shared" si="1"/>
        <v>2.437007874015748E-5</v>
      </c>
      <c r="H90" s="38">
        <f t="shared" si="1"/>
        <v>6.9291338582677165E-5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1700</v>
      </c>
      <c r="B91" s="38">
        <v>6.5499999999999998E-7</v>
      </c>
      <c r="C91" s="38">
        <v>6.0200000000000002E-7</v>
      </c>
      <c r="D91" s="38">
        <v>1.7400000000000001E-6</v>
      </c>
      <c r="E91" s="3"/>
      <c r="F91" s="38">
        <f t="shared" si="1"/>
        <v>2.578740157480315E-5</v>
      </c>
      <c r="G91" s="38">
        <f t="shared" si="1"/>
        <v>2.3700787401574803E-5</v>
      </c>
      <c r="H91" s="38">
        <f t="shared" si="1"/>
        <v>6.8503937007874019E-5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1720</v>
      </c>
      <c r="B92" s="38">
        <v>6.1200000000000003E-7</v>
      </c>
      <c r="C92" s="38">
        <v>5.8599999999999998E-7</v>
      </c>
      <c r="D92" s="38">
        <v>1.73E-6</v>
      </c>
      <c r="E92" s="3"/>
      <c r="F92" s="38">
        <f t="shared" si="1"/>
        <v>2.4094488188976379E-5</v>
      </c>
      <c r="G92" s="38">
        <f t="shared" si="1"/>
        <v>2.3070866141732282E-5</v>
      </c>
      <c r="H92" s="38">
        <f t="shared" si="1"/>
        <v>6.8110236220472446E-5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1740</v>
      </c>
      <c r="B93" s="38">
        <v>5.7299999999999996E-7</v>
      </c>
      <c r="C93" s="38">
        <v>5.7100000000000002E-7</v>
      </c>
      <c r="D93" s="38">
        <v>1.7099999999999999E-6</v>
      </c>
      <c r="E93" s="3"/>
      <c r="F93" s="38">
        <f t="shared" si="1"/>
        <v>2.2559055118110236E-5</v>
      </c>
      <c r="G93" s="38">
        <f t="shared" si="1"/>
        <v>2.2480314960629922E-5</v>
      </c>
      <c r="H93" s="38">
        <f t="shared" si="1"/>
        <v>6.7322834645669287E-5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1760</v>
      </c>
      <c r="B94" s="38">
        <v>5.3799999999999997E-7</v>
      </c>
      <c r="C94" s="38">
        <v>5.5599999999999995E-7</v>
      </c>
      <c r="D94" s="38">
        <v>1.7E-6</v>
      </c>
      <c r="E94" s="3"/>
      <c r="F94" s="38">
        <f t="shared" si="1"/>
        <v>2.1181102362204724E-5</v>
      </c>
      <c r="G94" s="38">
        <f t="shared" si="1"/>
        <v>2.1889763779527559E-5</v>
      </c>
      <c r="H94" s="38">
        <f t="shared" si="1"/>
        <v>6.6929133858267728E-5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1780</v>
      </c>
      <c r="B95" s="38">
        <v>5.06E-7</v>
      </c>
      <c r="C95" s="38">
        <v>5.4300000000000003E-7</v>
      </c>
      <c r="D95" s="38">
        <v>1.6899999999999999E-6</v>
      </c>
      <c r="E95" s="3"/>
      <c r="F95" s="38">
        <f t="shared" si="1"/>
        <v>1.9921259842519688E-5</v>
      </c>
      <c r="G95" s="38">
        <f t="shared" si="1"/>
        <v>2.1377952755905517E-5</v>
      </c>
      <c r="H95" s="38">
        <f t="shared" si="1"/>
        <v>6.6535433070866141E-5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1800</v>
      </c>
      <c r="B96" s="38">
        <v>4.7800000000000002E-7</v>
      </c>
      <c r="C96" s="38">
        <v>5.3099999999999998E-7</v>
      </c>
      <c r="D96" s="38">
        <v>1.6700000000000001E-6</v>
      </c>
      <c r="E96" s="3"/>
      <c r="F96" s="38">
        <f t="shared" si="1"/>
        <v>1.8818897637795276E-5</v>
      </c>
      <c r="G96" s="38">
        <f t="shared" si="1"/>
        <v>2.0905511811023623E-5</v>
      </c>
      <c r="H96" s="38">
        <f t="shared" si="1"/>
        <v>6.5748031496062995E-5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1820</v>
      </c>
      <c r="B97" s="38">
        <v>4.5200000000000002E-7</v>
      </c>
      <c r="C97" s="38">
        <v>5.1900000000000003E-7</v>
      </c>
      <c r="D97" s="38">
        <v>1.66E-6</v>
      </c>
      <c r="E97" s="3"/>
      <c r="F97" s="38">
        <f t="shared" si="1"/>
        <v>1.7795275590551185E-5</v>
      </c>
      <c r="G97" s="38">
        <f t="shared" si="1"/>
        <v>2.0433070866141737E-5</v>
      </c>
      <c r="H97" s="38">
        <f t="shared" si="1"/>
        <v>6.5354330708661422E-5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1840</v>
      </c>
      <c r="B98" s="38">
        <v>4.2899999999999999E-7</v>
      </c>
      <c r="C98" s="38">
        <v>5.0800000000000005E-7</v>
      </c>
      <c r="D98" s="38">
        <v>1.6500000000000001E-6</v>
      </c>
      <c r="E98" s="3"/>
      <c r="F98" s="38">
        <f t="shared" si="1"/>
        <v>1.688976377952756E-5</v>
      </c>
      <c r="G98" s="38">
        <f t="shared" si="1"/>
        <v>2.0000000000000005E-5</v>
      </c>
      <c r="H98" s="38">
        <f t="shared" si="1"/>
        <v>6.4960629921259849E-5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1860</v>
      </c>
      <c r="B99" s="38">
        <v>4.0699999999999998E-7</v>
      </c>
      <c r="C99" s="38">
        <v>4.9800000000000004E-7</v>
      </c>
      <c r="D99" s="38">
        <v>1.64E-6</v>
      </c>
      <c r="E99" s="3"/>
      <c r="F99" s="38">
        <f t="shared" si="1"/>
        <v>1.6023622047244093E-5</v>
      </c>
      <c r="G99" s="38">
        <f t="shared" si="1"/>
        <v>1.9606299212598429E-5</v>
      </c>
      <c r="H99" s="38">
        <f t="shared" si="1"/>
        <v>6.4566929133858276E-5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1880</v>
      </c>
      <c r="B100" s="38">
        <v>3.8799999999999998E-7</v>
      </c>
      <c r="C100" s="38">
        <v>4.8800000000000003E-7</v>
      </c>
      <c r="D100" s="38">
        <v>1.6300000000000001E-6</v>
      </c>
      <c r="E100" s="3"/>
      <c r="F100" s="38">
        <f t="shared" si="1"/>
        <v>1.5275590551181102E-5</v>
      </c>
      <c r="G100" s="38">
        <f t="shared" si="1"/>
        <v>1.9212598425196852E-5</v>
      </c>
      <c r="H100" s="38">
        <f t="shared" si="1"/>
        <v>6.4173228346456703E-5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1900</v>
      </c>
      <c r="B101" s="38">
        <v>3.7099999999999997E-7</v>
      </c>
      <c r="C101" s="38">
        <v>4.7899999999999999E-7</v>
      </c>
      <c r="D101" s="38">
        <v>1.6300000000000001E-6</v>
      </c>
      <c r="E101" s="3"/>
      <c r="F101" s="38">
        <f t="shared" si="1"/>
        <v>1.4606299212598424E-5</v>
      </c>
      <c r="G101" s="38">
        <f t="shared" si="1"/>
        <v>1.8858267716535435E-5</v>
      </c>
      <c r="H101" s="38">
        <f t="shared" si="1"/>
        <v>6.4173228346456703E-5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1920</v>
      </c>
      <c r="B102" s="38">
        <v>3.5499999999999999E-7</v>
      </c>
      <c r="C102" s="38">
        <v>4.7100000000000002E-7</v>
      </c>
      <c r="D102" s="38">
        <v>1.6199999999999999E-6</v>
      </c>
      <c r="E102" s="3"/>
      <c r="F102" s="38">
        <f t="shared" si="1"/>
        <v>1.3976377952755906E-5</v>
      </c>
      <c r="G102" s="38">
        <f t="shared" si="1"/>
        <v>1.8543307086614176E-5</v>
      </c>
      <c r="H102" s="38">
        <f t="shared" si="1"/>
        <v>6.3779527559055117E-5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1940</v>
      </c>
      <c r="B103" s="38">
        <v>3.41E-7</v>
      </c>
      <c r="C103" s="38">
        <v>4.63E-7</v>
      </c>
      <c r="D103" s="38">
        <v>1.61E-6</v>
      </c>
      <c r="E103" s="3"/>
      <c r="F103" s="38">
        <f t="shared" si="1"/>
        <v>1.3425196850393702E-5</v>
      </c>
      <c r="G103" s="38">
        <f t="shared" si="1"/>
        <v>1.8228346456692913E-5</v>
      </c>
      <c r="H103" s="38">
        <f t="shared" si="1"/>
        <v>6.3385826771653557E-5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1960</v>
      </c>
      <c r="B104" s="38">
        <v>3.2899999999999999E-7</v>
      </c>
      <c r="C104" s="38">
        <v>4.5499999999999998E-7</v>
      </c>
      <c r="D104" s="38">
        <v>1.5999999999999999E-6</v>
      </c>
      <c r="E104" s="3"/>
      <c r="F104" s="38">
        <f t="shared" si="1"/>
        <v>1.2952755905511812E-5</v>
      </c>
      <c r="G104" s="38">
        <f t="shared" si="1"/>
        <v>1.7913385826771654E-5</v>
      </c>
      <c r="H104" s="38">
        <f t="shared" si="1"/>
        <v>6.2992125984251971E-5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1980</v>
      </c>
      <c r="B105" s="38">
        <v>3.1800000000000002E-7</v>
      </c>
      <c r="C105" s="38">
        <v>4.4799999999999999E-7</v>
      </c>
      <c r="D105" s="38">
        <v>1.5999999999999999E-6</v>
      </c>
      <c r="E105" s="3"/>
      <c r="F105" s="38">
        <f t="shared" si="1"/>
        <v>1.251968503937008E-5</v>
      </c>
      <c r="G105" s="38">
        <f t="shared" si="1"/>
        <v>1.763779527559055E-5</v>
      </c>
      <c r="H105" s="38">
        <f t="shared" si="1"/>
        <v>6.2992125984251971E-5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2000</v>
      </c>
      <c r="B106" s="38">
        <v>3.0800000000000001E-7</v>
      </c>
      <c r="C106" s="38">
        <v>4.4200000000000001E-7</v>
      </c>
      <c r="D106" s="38">
        <v>1.59E-6</v>
      </c>
      <c r="E106" s="3"/>
      <c r="F106" s="38">
        <f t="shared" si="1"/>
        <v>1.2125984251968505E-5</v>
      </c>
      <c r="G106" s="38">
        <f t="shared" si="1"/>
        <v>1.7401574803149609E-5</v>
      </c>
      <c r="H106" s="38">
        <f t="shared" si="1"/>
        <v>6.2598425196850398E-5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2020</v>
      </c>
      <c r="B107" s="38">
        <v>2.9900000000000002E-7</v>
      </c>
      <c r="C107" s="38">
        <v>4.3500000000000002E-7</v>
      </c>
      <c r="D107" s="38">
        <v>1.59E-6</v>
      </c>
      <c r="E107" s="3"/>
      <c r="F107" s="38">
        <f t="shared" si="1"/>
        <v>1.1771653543307088E-5</v>
      </c>
      <c r="G107" s="38">
        <f t="shared" si="1"/>
        <v>1.7125984251968505E-5</v>
      </c>
      <c r="H107" s="38">
        <f t="shared" si="1"/>
        <v>6.2598425196850398E-5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2040</v>
      </c>
      <c r="B108" s="38">
        <v>2.91E-7</v>
      </c>
      <c r="C108" s="38">
        <v>4.2899999999999999E-7</v>
      </c>
      <c r="D108" s="38">
        <v>1.5799999999999999E-6</v>
      </c>
      <c r="E108" s="3"/>
      <c r="F108" s="38">
        <f t="shared" si="1"/>
        <v>1.1456692913385827E-5</v>
      </c>
      <c r="G108" s="38">
        <f t="shared" si="1"/>
        <v>1.688976377952756E-5</v>
      </c>
      <c r="H108" s="38">
        <f t="shared" si="1"/>
        <v>6.2204724409448811E-5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2060</v>
      </c>
      <c r="B109" s="38">
        <v>2.84E-7</v>
      </c>
      <c r="C109" s="38">
        <v>4.2399999999999999E-7</v>
      </c>
      <c r="D109" s="38">
        <v>1.57E-6</v>
      </c>
      <c r="E109" s="3"/>
      <c r="F109" s="38">
        <f t="shared" si="1"/>
        <v>1.1181102362204726E-5</v>
      </c>
      <c r="G109" s="38">
        <f t="shared" si="1"/>
        <v>1.6692913385826773E-5</v>
      </c>
      <c r="H109" s="38">
        <f t="shared" si="1"/>
        <v>6.1811023622047252E-5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2080</v>
      </c>
      <c r="B110" s="38">
        <v>2.7799999999999997E-7</v>
      </c>
      <c r="C110" s="38">
        <v>4.1800000000000001E-7</v>
      </c>
      <c r="D110" s="38">
        <v>1.57E-6</v>
      </c>
      <c r="E110" s="3"/>
      <c r="F110" s="38">
        <f t="shared" si="1"/>
        <v>1.094488188976378E-5</v>
      </c>
      <c r="G110" s="38">
        <f t="shared" si="1"/>
        <v>1.6456692913385828E-5</v>
      </c>
      <c r="H110" s="38">
        <f t="shared" si="1"/>
        <v>6.1811023622047252E-5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2100</v>
      </c>
      <c r="B111" s="38">
        <v>2.72E-7</v>
      </c>
      <c r="C111" s="38">
        <v>4.1300000000000001E-7</v>
      </c>
      <c r="D111" s="38">
        <v>1.57E-6</v>
      </c>
      <c r="E111" s="3"/>
      <c r="F111" s="38">
        <f t="shared" si="1"/>
        <v>1.0708661417322835E-5</v>
      </c>
      <c r="G111" s="38">
        <f t="shared" si="1"/>
        <v>1.6259842519685042E-5</v>
      </c>
      <c r="H111" s="38">
        <f t="shared" si="1"/>
        <v>6.1811023622047252E-5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2120</v>
      </c>
      <c r="B112" s="38">
        <v>2.67E-7</v>
      </c>
      <c r="C112" s="38">
        <v>4.08E-7</v>
      </c>
      <c r="D112" s="38">
        <v>1.5600000000000001E-6</v>
      </c>
      <c r="E112" s="3"/>
      <c r="F112" s="38">
        <f t="shared" si="1"/>
        <v>1.0511811023622048E-5</v>
      </c>
      <c r="G112" s="38">
        <f t="shared" si="1"/>
        <v>1.6062992125984252E-5</v>
      </c>
      <c r="H112" s="38">
        <f t="shared" si="1"/>
        <v>6.1417322834645679E-5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2140</v>
      </c>
      <c r="B113" s="38">
        <v>2.6300000000000001E-7</v>
      </c>
      <c r="C113" s="38">
        <v>4.03E-7</v>
      </c>
      <c r="D113" s="38">
        <v>1.5600000000000001E-6</v>
      </c>
      <c r="E113" s="3"/>
      <c r="F113" s="38">
        <f t="shared" si="1"/>
        <v>1.0354330708661419E-5</v>
      </c>
      <c r="G113" s="38">
        <f t="shared" si="1"/>
        <v>1.5866141732283465E-5</v>
      </c>
      <c r="H113" s="38">
        <f t="shared" si="1"/>
        <v>6.1417322834645679E-5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2160</v>
      </c>
      <c r="B114" s="38">
        <v>2.6E-7</v>
      </c>
      <c r="C114" s="38">
        <v>3.9900000000000001E-7</v>
      </c>
      <c r="D114" s="38">
        <v>1.55E-6</v>
      </c>
      <c r="E114" s="3"/>
      <c r="F114" s="38">
        <f t="shared" si="1"/>
        <v>1.0236220472440944E-5</v>
      </c>
      <c r="G114" s="38">
        <f t="shared" si="1"/>
        <v>1.5708661417322834E-5</v>
      </c>
      <c r="H114" s="38">
        <f t="shared" si="1"/>
        <v>6.1023622047244093E-5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2180</v>
      </c>
      <c r="B115" s="38">
        <v>2.5699999999999999E-7</v>
      </c>
      <c r="C115" s="38">
        <v>3.9499999999999998E-7</v>
      </c>
      <c r="D115" s="38">
        <v>1.55E-6</v>
      </c>
      <c r="E115" s="3"/>
      <c r="F115" s="38">
        <f t="shared" si="1"/>
        <v>1.0118110236220472E-5</v>
      </c>
      <c r="G115" s="38">
        <f t="shared" si="1"/>
        <v>1.5551181102362203E-5</v>
      </c>
      <c r="H115" s="38">
        <f t="shared" si="1"/>
        <v>6.1023622047244093E-5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2200</v>
      </c>
      <c r="B116" s="38">
        <v>2.5400000000000002E-7</v>
      </c>
      <c r="C116" s="38">
        <v>3.9000000000000002E-7</v>
      </c>
      <c r="D116" s="38">
        <v>1.55E-6</v>
      </c>
      <c r="E116" s="3"/>
      <c r="F116" s="38">
        <f t="shared" si="1"/>
        <v>1.0000000000000003E-5</v>
      </c>
      <c r="G116" s="38">
        <f t="shared" si="1"/>
        <v>1.535433070866142E-5</v>
      </c>
      <c r="H116" s="38">
        <f t="shared" si="1"/>
        <v>6.1023622047244093E-5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2220</v>
      </c>
      <c r="B117" s="38">
        <v>2.5199999999999998E-7</v>
      </c>
      <c r="C117" s="38">
        <v>3.8599999999999999E-7</v>
      </c>
      <c r="D117" s="38">
        <v>1.5400000000000001E-6</v>
      </c>
      <c r="E117" s="3"/>
      <c r="F117" s="38">
        <f t="shared" si="1"/>
        <v>9.9212598425196852E-6</v>
      </c>
      <c r="G117" s="38">
        <f t="shared" si="1"/>
        <v>1.5196850393700789E-5</v>
      </c>
      <c r="H117" s="38">
        <f t="shared" si="1"/>
        <v>6.0629921259842526E-5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2240</v>
      </c>
      <c r="B118" s="38">
        <v>2.4999999999999999E-7</v>
      </c>
      <c r="C118" s="38">
        <v>3.8299999999999998E-7</v>
      </c>
      <c r="D118" s="38">
        <v>1.5400000000000001E-6</v>
      </c>
      <c r="E118" s="3"/>
      <c r="F118" s="38">
        <f t="shared" si="1"/>
        <v>9.8425196850393713E-6</v>
      </c>
      <c r="G118" s="38">
        <f t="shared" si="1"/>
        <v>1.5078740157480316E-5</v>
      </c>
      <c r="H118" s="38">
        <f t="shared" si="1"/>
        <v>6.0629921259842526E-5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2260</v>
      </c>
      <c r="B119" s="38">
        <v>2.4900000000000002E-7</v>
      </c>
      <c r="C119" s="38">
        <v>3.7899999999999999E-7</v>
      </c>
      <c r="D119" s="38">
        <v>1.5400000000000001E-6</v>
      </c>
      <c r="E119" s="3"/>
      <c r="F119" s="38">
        <f t="shared" si="1"/>
        <v>9.8031496062992143E-6</v>
      </c>
      <c r="G119" s="38">
        <f t="shared" si="1"/>
        <v>1.4921259842519686E-5</v>
      </c>
      <c r="H119" s="38">
        <f t="shared" si="1"/>
        <v>6.0629921259842526E-5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2280</v>
      </c>
      <c r="B120" s="38">
        <v>2.4699999999999998E-7</v>
      </c>
      <c r="C120" s="38">
        <v>3.7500000000000001E-7</v>
      </c>
      <c r="D120" s="38">
        <v>1.5400000000000001E-6</v>
      </c>
      <c r="E120" s="3"/>
      <c r="F120" s="38">
        <f t="shared" si="1"/>
        <v>9.724409448818897E-6</v>
      </c>
      <c r="G120" s="38">
        <f t="shared" si="1"/>
        <v>1.4763779527559057E-5</v>
      </c>
      <c r="H120" s="38">
        <f t="shared" si="1"/>
        <v>6.0629921259842526E-5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2300</v>
      </c>
      <c r="B121" s="38">
        <v>2.4600000000000001E-7</v>
      </c>
      <c r="C121" s="38">
        <v>3.72E-7</v>
      </c>
      <c r="D121" s="38">
        <v>1.5400000000000001E-6</v>
      </c>
      <c r="E121" s="3"/>
      <c r="F121" s="38">
        <f t="shared" si="1"/>
        <v>9.6850393700787418E-6</v>
      </c>
      <c r="G121" s="38">
        <f t="shared" si="1"/>
        <v>1.4645669291338583E-5</v>
      </c>
      <c r="H121" s="38">
        <f t="shared" si="1"/>
        <v>6.0629921259842526E-5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2320</v>
      </c>
      <c r="B122" s="38">
        <v>2.4499999999999998E-7</v>
      </c>
      <c r="C122" s="38">
        <v>3.6899999999999998E-7</v>
      </c>
      <c r="D122" s="38">
        <v>1.5400000000000001E-6</v>
      </c>
      <c r="E122" s="3"/>
      <c r="F122" s="38">
        <f t="shared" si="1"/>
        <v>9.6456692913385831E-6</v>
      </c>
      <c r="G122" s="38">
        <f t="shared" si="1"/>
        <v>1.452755905511811E-5</v>
      </c>
      <c r="H122" s="38">
        <f t="shared" si="1"/>
        <v>6.0629921259842526E-5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2340</v>
      </c>
      <c r="B123" s="38">
        <v>2.4499999999999998E-7</v>
      </c>
      <c r="C123" s="38">
        <v>3.6600000000000002E-7</v>
      </c>
      <c r="D123" s="38">
        <v>1.53E-6</v>
      </c>
      <c r="E123" s="3"/>
      <c r="F123" s="38">
        <f t="shared" si="1"/>
        <v>9.6456692913385831E-6</v>
      </c>
      <c r="G123" s="38">
        <f t="shared" si="1"/>
        <v>1.4409448818897639E-5</v>
      </c>
      <c r="H123" s="38">
        <f t="shared" si="1"/>
        <v>6.0236220472440947E-5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2360</v>
      </c>
      <c r="B124" s="38">
        <v>2.4400000000000001E-7</v>
      </c>
      <c r="C124" s="38">
        <v>3.6300000000000001E-7</v>
      </c>
      <c r="D124" s="38">
        <v>1.53E-6</v>
      </c>
      <c r="E124" s="3"/>
      <c r="F124" s="38">
        <f t="shared" si="1"/>
        <v>9.6062992125984262E-6</v>
      </c>
      <c r="G124" s="38">
        <f t="shared" si="1"/>
        <v>1.4291338582677165E-5</v>
      </c>
      <c r="H124" s="38">
        <f t="shared" si="1"/>
        <v>6.0236220472440947E-5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2380</v>
      </c>
      <c r="B125" s="38">
        <v>2.4400000000000001E-7</v>
      </c>
      <c r="C125" s="38">
        <v>3.5999999999999999E-7</v>
      </c>
      <c r="D125" s="38">
        <v>1.53E-6</v>
      </c>
      <c r="E125" s="3"/>
      <c r="F125" s="38">
        <f t="shared" si="1"/>
        <v>9.6062992125984262E-6</v>
      </c>
      <c r="G125" s="38">
        <f t="shared" si="1"/>
        <v>1.4173228346456692E-5</v>
      </c>
      <c r="H125" s="38">
        <f t="shared" si="1"/>
        <v>6.0236220472440947E-5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2400</v>
      </c>
      <c r="B126" s="38">
        <v>2.4299999999999999E-7</v>
      </c>
      <c r="C126" s="38">
        <v>3.5699999999999998E-7</v>
      </c>
      <c r="D126" s="38">
        <v>1.53E-6</v>
      </c>
      <c r="E126" s="3"/>
      <c r="F126" s="38">
        <f t="shared" si="1"/>
        <v>9.5669291338582675E-6</v>
      </c>
      <c r="G126" s="38">
        <f t="shared" si="1"/>
        <v>1.4055118110236222E-5</v>
      </c>
      <c r="H126" s="38">
        <f t="shared" si="1"/>
        <v>6.0236220472440947E-5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2.9799999999999998E-6</v>
      </c>
      <c r="C128" s="38">
        <f>MAX(C6:C126)</f>
        <v>8.54E-7</v>
      </c>
      <c r="D128" s="38">
        <f>MAX(D6:D126)</f>
        <v>2.2199999999999999E-6</v>
      </c>
      <c r="E128" s="4"/>
      <c r="F128" s="38">
        <f>MAX(F20:F126)</f>
        <v>1.173228346456693E-4</v>
      </c>
      <c r="G128" s="38">
        <f>MAX(G20:G126)</f>
        <v>3.3622047244094492E-5</v>
      </c>
      <c r="H128" s="38">
        <f>MAX(H20:H126)</f>
        <v>8.7401574803149602E-5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5.6171676646185489E-4</v>
      </c>
      <c r="C129" s="38">
        <f>C128*limits!$E29</f>
        <v>1.6097520756994099E-4</v>
      </c>
      <c r="D129" s="38">
        <f>D128*limits!$E29</f>
        <v>4.184601414581604E-4</v>
      </c>
      <c r="E129" s="4"/>
      <c r="F129" s="38">
        <f>F128*limits!$E29</f>
        <v>2.2114833325269881E-2</v>
      </c>
      <c r="G129" s="38">
        <f>G128*limits!$E29</f>
        <v>6.3376065972417716E-3</v>
      </c>
      <c r="H129" s="38">
        <f>H128*limits!$E29</f>
        <v>1.6474808718825212E-2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A4:A5"/>
    <mergeCell ref="B4:D4"/>
    <mergeCell ref="F4:H4"/>
  </mergeCells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26AA-E23B-4215-95C7-85CB57108586}">
  <dimension ref="A1:AD140"/>
  <sheetViews>
    <sheetView showGridLines="0" topLeftCell="C2" zoomScaleNormal="100" workbookViewId="0">
      <selection activeCell="X49" sqref="X49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33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38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2" t="s">
        <v>35</v>
      </c>
      <c r="B4" s="41" t="s">
        <v>36</v>
      </c>
      <c r="C4" s="41"/>
      <c r="D4" s="41"/>
      <c r="E4" s="3"/>
      <c r="F4" s="41" t="s">
        <v>37</v>
      </c>
      <c r="G4" s="41"/>
      <c r="H4" s="4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3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2.08E-16</v>
      </c>
      <c r="C6" s="38">
        <v>1.5499999999999999E-17</v>
      </c>
      <c r="D6" s="38">
        <v>1.3100000000000001E-16</v>
      </c>
      <c r="E6" s="3"/>
      <c r="F6" s="38">
        <f>B6*1000/25.4</f>
        <v>8.1889763779527567E-15</v>
      </c>
      <c r="G6" s="38">
        <f>C6*1000/25.4</f>
        <v>6.1023622047244103E-16</v>
      </c>
      <c r="H6" s="38">
        <f>D6*1000/25.4</f>
        <v>5.1574803149606298E-15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20</v>
      </c>
      <c r="B7" s="38">
        <v>9.1500000000000005E-10</v>
      </c>
      <c r="C7" s="38">
        <v>6.8100000000000003E-11</v>
      </c>
      <c r="D7" s="38">
        <v>5.7999999999999996E-10</v>
      </c>
      <c r="E7" s="3"/>
      <c r="F7" s="38">
        <f t="shared" ref="F7:H70" si="0">B7*1000/25.4</f>
        <v>3.6023622047244101E-8</v>
      </c>
      <c r="G7" s="38">
        <f t="shared" si="0"/>
        <v>2.681102362204725E-9</v>
      </c>
      <c r="H7" s="38">
        <f t="shared" si="0"/>
        <v>2.2834645669291337E-8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40</v>
      </c>
      <c r="B8" s="38">
        <v>3.6699999999999999E-9</v>
      </c>
      <c r="C8" s="38">
        <v>2.7399999999999998E-10</v>
      </c>
      <c r="D8" s="38">
        <v>2.3400000000000002E-9</v>
      </c>
      <c r="E8" s="3"/>
      <c r="F8" s="38">
        <f t="shared" si="0"/>
        <v>1.4448818897637796E-7</v>
      </c>
      <c r="G8" s="38">
        <f t="shared" si="0"/>
        <v>1.078740157480315E-8</v>
      </c>
      <c r="H8" s="38">
        <f t="shared" si="0"/>
        <v>9.2125984251968514E-8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60</v>
      </c>
      <c r="B9" s="38">
        <v>8.3199999999999994E-9</v>
      </c>
      <c r="C9" s="38">
        <v>6.2100000000000003E-10</v>
      </c>
      <c r="D9" s="38">
        <v>5.3400000000000002E-9</v>
      </c>
      <c r="E9" s="3"/>
      <c r="F9" s="38">
        <f t="shared" si="0"/>
        <v>3.2755905511811024E-7</v>
      </c>
      <c r="G9" s="38">
        <f t="shared" si="0"/>
        <v>2.44488188976378E-8</v>
      </c>
      <c r="H9" s="38">
        <f t="shared" si="0"/>
        <v>2.1023622047244097E-7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80</v>
      </c>
      <c r="B10" s="38">
        <v>1.4899999999999999E-8</v>
      </c>
      <c r="C10" s="38">
        <v>1.1200000000000001E-9</v>
      </c>
      <c r="D10" s="38">
        <v>9.6299999999999992E-9</v>
      </c>
      <c r="E10" s="3"/>
      <c r="F10" s="38">
        <f t="shared" si="0"/>
        <v>5.8661417322834651E-7</v>
      </c>
      <c r="G10" s="38">
        <f t="shared" si="0"/>
        <v>4.409448818897638E-8</v>
      </c>
      <c r="H10" s="38">
        <f t="shared" si="0"/>
        <v>3.7913385826771652E-7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100</v>
      </c>
      <c r="B11" s="38">
        <v>2.36E-8</v>
      </c>
      <c r="C11" s="38">
        <v>1.7700000000000001E-9</v>
      </c>
      <c r="D11" s="38">
        <v>1.5300000000000001E-8</v>
      </c>
      <c r="E11" s="3"/>
      <c r="F11" s="38">
        <f t="shared" si="0"/>
        <v>9.2913385826771665E-7</v>
      </c>
      <c r="G11" s="38">
        <f t="shared" si="0"/>
        <v>6.9685039370078741E-8</v>
      </c>
      <c r="H11" s="38">
        <f t="shared" si="0"/>
        <v>6.0236220472440963E-7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120</v>
      </c>
      <c r="B12" s="38">
        <v>3.4499999999999998E-8</v>
      </c>
      <c r="C12" s="38">
        <v>2.6000000000000001E-9</v>
      </c>
      <c r="D12" s="38">
        <v>2.2399999999999999E-8</v>
      </c>
      <c r="E12" s="3"/>
      <c r="F12" s="38">
        <f t="shared" si="0"/>
        <v>1.358267716535433E-6</v>
      </c>
      <c r="G12" s="38">
        <f t="shared" si="0"/>
        <v>1.0236220472440946E-7</v>
      </c>
      <c r="H12" s="38">
        <f t="shared" si="0"/>
        <v>8.818897637795276E-7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140</v>
      </c>
      <c r="B13" s="38">
        <v>4.7799999999999998E-8</v>
      </c>
      <c r="C13" s="38">
        <v>3.6199999999999999E-9</v>
      </c>
      <c r="D13" s="38">
        <v>3.1200000000000001E-8</v>
      </c>
      <c r="E13" s="3"/>
      <c r="F13" s="38">
        <f t="shared" si="0"/>
        <v>1.8818897637795276E-6</v>
      </c>
      <c r="G13" s="38">
        <f t="shared" si="0"/>
        <v>1.425196850393701E-7</v>
      </c>
      <c r="H13" s="38">
        <f t="shared" si="0"/>
        <v>1.2283464566929135E-6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160</v>
      </c>
      <c r="B14" s="38">
        <v>6.3699999999999995E-8</v>
      </c>
      <c r="C14" s="38">
        <v>4.8399999999999998E-9</v>
      </c>
      <c r="D14" s="38">
        <v>4.1899999999999998E-8</v>
      </c>
      <c r="E14" s="3"/>
      <c r="F14" s="38">
        <f t="shared" si="0"/>
        <v>2.5078740157480313E-6</v>
      </c>
      <c r="G14" s="38">
        <f t="shared" si="0"/>
        <v>1.9055118110236223E-7</v>
      </c>
      <c r="H14" s="38">
        <f t="shared" si="0"/>
        <v>1.6496062992125984E-6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180</v>
      </c>
      <c r="B15" s="38">
        <v>8.2399999999999997E-8</v>
      </c>
      <c r="C15" s="38">
        <v>6.2900000000000004E-9</v>
      </c>
      <c r="D15" s="38">
        <v>5.4499999999999998E-8</v>
      </c>
      <c r="E15" s="3"/>
      <c r="F15" s="38">
        <f t="shared" si="0"/>
        <v>3.2440944881889763E-6</v>
      </c>
      <c r="G15" s="38">
        <f t="shared" si="0"/>
        <v>2.4763779527559059E-7</v>
      </c>
      <c r="H15" s="38">
        <f t="shared" si="0"/>
        <v>2.1456692913385825E-6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200</v>
      </c>
      <c r="B16" s="38">
        <v>1.04E-7</v>
      </c>
      <c r="C16" s="38">
        <v>8.0100000000000003E-9</v>
      </c>
      <c r="D16" s="38">
        <v>6.9300000000000005E-8</v>
      </c>
      <c r="E16" s="3"/>
      <c r="F16" s="38">
        <f t="shared" si="0"/>
        <v>4.0944881889763785E-6</v>
      </c>
      <c r="G16" s="38">
        <f t="shared" si="0"/>
        <v>3.1535433070866139E-7</v>
      </c>
      <c r="H16" s="38">
        <f t="shared" si="0"/>
        <v>2.7283464566929138E-6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220</v>
      </c>
      <c r="B17" s="38">
        <v>1.29E-7</v>
      </c>
      <c r="C17" s="38">
        <v>1E-8</v>
      </c>
      <c r="D17" s="38">
        <v>8.6700000000000002E-8</v>
      </c>
      <c r="E17" s="3"/>
      <c r="F17" s="38">
        <f t="shared" si="0"/>
        <v>5.0787401574803152E-6</v>
      </c>
      <c r="G17" s="38">
        <f t="shared" si="0"/>
        <v>3.9370078740157486E-7</v>
      </c>
      <c r="H17" s="38">
        <f t="shared" si="0"/>
        <v>3.413385826771654E-6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240</v>
      </c>
      <c r="B18" s="38">
        <v>1.5900000000000001E-7</v>
      </c>
      <c r="C18" s="38">
        <v>1.24E-8</v>
      </c>
      <c r="D18" s="38">
        <v>1.0700000000000001E-7</v>
      </c>
      <c r="E18" s="3"/>
      <c r="F18" s="38">
        <f t="shared" si="0"/>
        <v>6.25984251968504E-6</v>
      </c>
      <c r="G18" s="38">
        <f t="shared" si="0"/>
        <v>4.8818897637795274E-7</v>
      </c>
      <c r="H18" s="38">
        <f t="shared" si="0"/>
        <v>4.2125984251968503E-6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260</v>
      </c>
      <c r="B19" s="38">
        <v>1.92E-7</v>
      </c>
      <c r="C19" s="38">
        <v>1.52E-8</v>
      </c>
      <c r="D19" s="38">
        <v>1.3E-7</v>
      </c>
      <c r="E19" s="3"/>
      <c r="F19" s="38">
        <f t="shared" si="0"/>
        <v>7.5590551181102365E-6</v>
      </c>
      <c r="G19" s="38">
        <f t="shared" si="0"/>
        <v>5.9842519685039375E-7</v>
      </c>
      <c r="H19" s="38">
        <f t="shared" si="0"/>
        <v>5.1181102362204721E-6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280</v>
      </c>
      <c r="B20" s="38">
        <v>2.3099999999999999E-7</v>
      </c>
      <c r="C20" s="38">
        <v>1.8399999999999999E-8</v>
      </c>
      <c r="D20" s="38">
        <v>1.5699999999999999E-7</v>
      </c>
      <c r="E20" s="3"/>
      <c r="F20" s="38">
        <f t="shared" si="0"/>
        <v>9.0944881889763773E-6</v>
      </c>
      <c r="G20" s="38">
        <f t="shared" si="0"/>
        <v>7.2440944881889766E-7</v>
      </c>
      <c r="H20" s="38">
        <f t="shared" si="0"/>
        <v>6.1811023622047244E-6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300</v>
      </c>
      <c r="B21" s="38">
        <v>2.7599999999999998E-7</v>
      </c>
      <c r="C21" s="38">
        <v>2.22E-8</v>
      </c>
      <c r="D21" s="38">
        <v>1.8900000000000001E-7</v>
      </c>
      <c r="E21" s="3"/>
      <c r="F21" s="38">
        <f t="shared" si="0"/>
        <v>1.0866141732283464E-5</v>
      </c>
      <c r="G21" s="38">
        <f t="shared" si="0"/>
        <v>8.7401574803149615E-7</v>
      </c>
      <c r="H21" s="38">
        <f t="shared" si="0"/>
        <v>7.4409448818897648E-6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320</v>
      </c>
      <c r="B22" s="38">
        <v>3.2800000000000003E-7</v>
      </c>
      <c r="C22" s="38">
        <v>2.66E-8</v>
      </c>
      <c r="D22" s="38">
        <v>2.2499999999999999E-7</v>
      </c>
      <c r="E22" s="3"/>
      <c r="F22" s="38">
        <f t="shared" si="0"/>
        <v>1.2913385826771655E-5</v>
      </c>
      <c r="G22" s="38">
        <f t="shared" si="0"/>
        <v>1.0472440944881891E-6</v>
      </c>
      <c r="H22" s="38">
        <f t="shared" si="0"/>
        <v>8.8582677165354338E-6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340</v>
      </c>
      <c r="B23" s="38">
        <v>3.8799999999999998E-7</v>
      </c>
      <c r="C23" s="38">
        <v>3.1699999999999999E-8</v>
      </c>
      <c r="D23" s="38">
        <v>2.6800000000000002E-7</v>
      </c>
      <c r="E23" s="3"/>
      <c r="F23" s="38">
        <f t="shared" si="0"/>
        <v>1.5275590551181102E-5</v>
      </c>
      <c r="G23" s="38">
        <f t="shared" si="0"/>
        <v>1.2480314960629922E-6</v>
      </c>
      <c r="H23" s="38">
        <f t="shared" si="0"/>
        <v>1.0551181102362205E-5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360</v>
      </c>
      <c r="B24" s="38">
        <v>4.5699999999999998E-7</v>
      </c>
      <c r="C24" s="38">
        <v>3.77E-8</v>
      </c>
      <c r="D24" s="38">
        <v>3.1600000000000002E-7</v>
      </c>
      <c r="E24" s="3"/>
      <c r="F24" s="38">
        <f t="shared" si="0"/>
        <v>1.7992125984251968E-5</v>
      </c>
      <c r="G24" s="38">
        <f t="shared" si="0"/>
        <v>1.4842519685039371E-6</v>
      </c>
      <c r="H24" s="38">
        <f t="shared" si="0"/>
        <v>1.2440944881889766E-5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380</v>
      </c>
      <c r="B25" s="38">
        <v>5.37E-7</v>
      </c>
      <c r="C25" s="38">
        <v>4.4700000000000003E-8</v>
      </c>
      <c r="D25" s="38">
        <v>3.7300000000000002E-7</v>
      </c>
      <c r="E25" s="3"/>
      <c r="F25" s="38">
        <f t="shared" si="0"/>
        <v>2.1141732283464569E-5</v>
      </c>
      <c r="G25" s="38">
        <f t="shared" si="0"/>
        <v>1.7598425196850396E-6</v>
      </c>
      <c r="H25" s="38">
        <f t="shared" si="0"/>
        <v>1.4685039370078741E-5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400</v>
      </c>
      <c r="B26" s="38">
        <v>6.3099999999999997E-7</v>
      </c>
      <c r="C26" s="38">
        <v>5.2999999999999998E-8</v>
      </c>
      <c r="D26" s="38">
        <v>4.3799999999999998E-7</v>
      </c>
      <c r="E26" s="3"/>
      <c r="F26" s="38">
        <f t="shared" si="0"/>
        <v>2.484251968503937E-5</v>
      </c>
      <c r="G26" s="38">
        <f t="shared" si="0"/>
        <v>2.0866141732283467E-6</v>
      </c>
      <c r="H26" s="38">
        <f t="shared" si="0"/>
        <v>1.7244094488188977E-5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420</v>
      </c>
      <c r="B27" s="38">
        <v>7.4300000000000002E-7</v>
      </c>
      <c r="C27" s="38">
        <v>6.2800000000000006E-8</v>
      </c>
      <c r="D27" s="38">
        <v>5.1500000000000005E-7</v>
      </c>
      <c r="E27" s="3"/>
      <c r="F27" s="38">
        <f t="shared" si="0"/>
        <v>2.9251968503937014E-5</v>
      </c>
      <c r="G27" s="38">
        <f t="shared" si="0"/>
        <v>2.4724409448818902E-6</v>
      </c>
      <c r="H27" s="38">
        <f t="shared" si="0"/>
        <v>2.0275590551181105E-5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440</v>
      </c>
      <c r="B28" s="38">
        <v>8.7499999999999999E-7</v>
      </c>
      <c r="C28" s="38">
        <v>7.4499999999999999E-8</v>
      </c>
      <c r="D28" s="38">
        <v>6.0500000000000003E-7</v>
      </c>
      <c r="E28" s="3"/>
      <c r="F28" s="38">
        <f t="shared" si="0"/>
        <v>3.4448818897637796E-5</v>
      </c>
      <c r="G28" s="38">
        <f t="shared" si="0"/>
        <v>2.9330708661417322E-6</v>
      </c>
      <c r="H28" s="38">
        <f t="shared" si="0"/>
        <v>2.3818897637795279E-5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460</v>
      </c>
      <c r="B29" s="38">
        <v>1.0300000000000001E-6</v>
      </c>
      <c r="C29" s="38">
        <v>8.8399999999999997E-8</v>
      </c>
      <c r="D29" s="38">
        <v>7.1200000000000002E-7</v>
      </c>
      <c r="E29" s="3"/>
      <c r="F29" s="38">
        <f t="shared" si="0"/>
        <v>4.0551181102362211E-5</v>
      </c>
      <c r="G29" s="38">
        <f t="shared" si="0"/>
        <v>3.480314960629921E-6</v>
      </c>
      <c r="H29" s="38">
        <f t="shared" si="0"/>
        <v>2.8031496062992129E-5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480</v>
      </c>
      <c r="B30" s="38">
        <v>1.22E-6</v>
      </c>
      <c r="C30" s="38">
        <v>1.05E-7</v>
      </c>
      <c r="D30" s="38">
        <v>8.3699999999999999E-7</v>
      </c>
      <c r="E30" s="3"/>
      <c r="F30" s="38">
        <f t="shared" si="0"/>
        <v>4.8031496062992124E-5</v>
      </c>
      <c r="G30" s="38">
        <f t="shared" si="0"/>
        <v>4.1338582677165355E-6</v>
      </c>
      <c r="H30" s="38">
        <f t="shared" si="0"/>
        <v>3.2952755905511808E-5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500</v>
      </c>
      <c r="B31" s="38">
        <v>1.4500000000000001E-6</v>
      </c>
      <c r="C31" s="38">
        <v>1.2499999999999999E-7</v>
      </c>
      <c r="D31" s="38">
        <v>9.8200000000000008E-7</v>
      </c>
      <c r="E31" s="3"/>
      <c r="F31" s="38">
        <f t="shared" si="0"/>
        <v>5.7086614173228356E-5</v>
      </c>
      <c r="G31" s="38">
        <f t="shared" si="0"/>
        <v>4.9212598425196856E-6</v>
      </c>
      <c r="H31" s="38">
        <f t="shared" si="0"/>
        <v>3.866141732283465E-5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520</v>
      </c>
      <c r="B32" s="38">
        <v>1.7099999999999999E-6</v>
      </c>
      <c r="C32" s="38">
        <v>1.48E-7</v>
      </c>
      <c r="D32" s="38">
        <v>1.15E-6</v>
      </c>
      <c r="E32" s="3"/>
      <c r="F32" s="38">
        <f t="shared" si="0"/>
        <v>6.7322834645669287E-5</v>
      </c>
      <c r="G32" s="38">
        <f t="shared" si="0"/>
        <v>5.8267716535433075E-6</v>
      </c>
      <c r="H32" s="38">
        <f t="shared" si="0"/>
        <v>4.5275590551181107E-5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540</v>
      </c>
      <c r="B33" s="38">
        <v>2.0099999999999998E-6</v>
      </c>
      <c r="C33" s="38">
        <v>1.7499999999999999E-7</v>
      </c>
      <c r="D33" s="38">
        <v>1.33E-6</v>
      </c>
      <c r="E33" s="3"/>
      <c r="F33" s="38">
        <f t="shared" si="0"/>
        <v>7.913385826771653E-5</v>
      </c>
      <c r="G33" s="38">
        <f t="shared" si="0"/>
        <v>6.8897637795275597E-6</v>
      </c>
      <c r="H33" s="38">
        <f t="shared" si="0"/>
        <v>5.2362204724409454E-5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560</v>
      </c>
      <c r="B34" s="38">
        <v>2.34E-6</v>
      </c>
      <c r="C34" s="38">
        <v>2.0699999999999999E-7</v>
      </c>
      <c r="D34" s="38">
        <v>1.5200000000000001E-6</v>
      </c>
      <c r="E34" s="3"/>
      <c r="F34" s="38">
        <f t="shared" si="0"/>
        <v>9.2125984251968505E-5</v>
      </c>
      <c r="G34" s="38">
        <f t="shared" si="0"/>
        <v>8.1496062992125984E-6</v>
      </c>
      <c r="H34" s="38">
        <f t="shared" si="0"/>
        <v>5.9842519685039374E-5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580</v>
      </c>
      <c r="B35" s="38">
        <v>2.6400000000000001E-6</v>
      </c>
      <c r="C35" s="38">
        <v>2.41E-7</v>
      </c>
      <c r="D35" s="38">
        <v>1.68E-6</v>
      </c>
      <c r="E35" s="3"/>
      <c r="F35" s="38">
        <f t="shared" si="0"/>
        <v>1.0393700787401575E-4</v>
      </c>
      <c r="G35" s="38">
        <f t="shared" si="0"/>
        <v>9.4881889763779536E-6</v>
      </c>
      <c r="H35" s="38">
        <f t="shared" si="0"/>
        <v>6.6141732283464568E-5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600</v>
      </c>
      <c r="B36" s="38">
        <v>2.8700000000000001E-6</v>
      </c>
      <c r="C36" s="38">
        <v>2.7700000000000001E-7</v>
      </c>
      <c r="D36" s="38">
        <v>1.7999999999999999E-6</v>
      </c>
      <c r="E36" s="3"/>
      <c r="F36" s="38">
        <f t="shared" si="0"/>
        <v>1.1299212598425198E-4</v>
      </c>
      <c r="G36" s="38">
        <f t="shared" si="0"/>
        <v>1.0905511811023623E-5</v>
      </c>
      <c r="H36" s="38">
        <f t="shared" si="0"/>
        <v>7.0866141732283471E-5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620</v>
      </c>
      <c r="B37" s="38">
        <v>2.96E-6</v>
      </c>
      <c r="C37" s="38">
        <v>3.1100000000000002E-7</v>
      </c>
      <c r="D37" s="38">
        <v>1.8300000000000001E-6</v>
      </c>
      <c r="E37" s="3"/>
      <c r="F37" s="38">
        <f t="shared" si="0"/>
        <v>1.1653543307086615E-4</v>
      </c>
      <c r="G37" s="38">
        <f t="shared" si="0"/>
        <v>1.2244094488188978E-5</v>
      </c>
      <c r="H37" s="38">
        <f t="shared" si="0"/>
        <v>7.2047244094488189E-5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640</v>
      </c>
      <c r="B38" s="38">
        <v>2.9299999999999999E-6</v>
      </c>
      <c r="C38" s="38">
        <v>3.3999999999999997E-7</v>
      </c>
      <c r="D38" s="38">
        <v>1.7999999999999999E-6</v>
      </c>
      <c r="E38" s="3"/>
      <c r="F38" s="38">
        <f t="shared" si="0"/>
        <v>1.1535433070866142E-4</v>
      </c>
      <c r="G38" s="38">
        <f t="shared" si="0"/>
        <v>1.3385826771653543E-5</v>
      </c>
      <c r="H38" s="38">
        <f t="shared" si="0"/>
        <v>7.0866141732283471E-5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660</v>
      </c>
      <c r="B39" s="38">
        <v>2.7999999999999999E-6</v>
      </c>
      <c r="C39" s="38">
        <v>3.5999999999999999E-7</v>
      </c>
      <c r="D39" s="38">
        <v>1.73E-6</v>
      </c>
      <c r="E39" s="3"/>
      <c r="F39" s="38">
        <f t="shared" si="0"/>
        <v>1.1023622047244096E-4</v>
      </c>
      <c r="G39" s="38">
        <f t="shared" si="0"/>
        <v>1.4173228346456692E-5</v>
      </c>
      <c r="H39" s="38">
        <f t="shared" si="0"/>
        <v>6.8110236220472446E-5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680</v>
      </c>
      <c r="B40" s="38">
        <v>2.6299999999999998E-6</v>
      </c>
      <c r="C40" s="38">
        <v>3.7099999999999997E-7</v>
      </c>
      <c r="D40" s="38">
        <v>1.6500000000000001E-6</v>
      </c>
      <c r="E40" s="3"/>
      <c r="F40" s="38">
        <f t="shared" si="0"/>
        <v>1.0354330708661417E-4</v>
      </c>
      <c r="G40" s="38">
        <f t="shared" si="0"/>
        <v>1.4606299212598424E-5</v>
      </c>
      <c r="H40" s="38">
        <f t="shared" si="0"/>
        <v>6.4960629921259849E-5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700</v>
      </c>
      <c r="B41" s="38">
        <v>2.4499999999999998E-6</v>
      </c>
      <c r="C41" s="38">
        <v>3.7599999999999998E-7</v>
      </c>
      <c r="D41" s="38">
        <v>1.5799999999999999E-6</v>
      </c>
      <c r="E41" s="3"/>
      <c r="F41" s="38">
        <f t="shared" si="0"/>
        <v>9.6456692913385835E-5</v>
      </c>
      <c r="G41" s="38">
        <f t="shared" si="0"/>
        <v>1.4803149606299212E-5</v>
      </c>
      <c r="H41" s="38">
        <f t="shared" si="0"/>
        <v>6.2204724409448811E-5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720</v>
      </c>
      <c r="B42" s="38">
        <v>2.2800000000000002E-6</v>
      </c>
      <c r="C42" s="38">
        <v>3.7500000000000001E-7</v>
      </c>
      <c r="D42" s="38">
        <v>1.5400000000000001E-6</v>
      </c>
      <c r="E42" s="3"/>
      <c r="F42" s="38">
        <f t="shared" si="0"/>
        <v>8.9763779527559067E-5</v>
      </c>
      <c r="G42" s="38">
        <f t="shared" si="0"/>
        <v>1.4763779527559057E-5</v>
      </c>
      <c r="H42" s="38">
        <f t="shared" si="0"/>
        <v>6.0629921259842526E-5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740</v>
      </c>
      <c r="B43" s="38">
        <v>2.12E-6</v>
      </c>
      <c r="C43" s="38">
        <v>3.7099999999999997E-7</v>
      </c>
      <c r="D43" s="38">
        <v>1.5099999999999999E-6</v>
      </c>
      <c r="E43" s="3"/>
      <c r="F43" s="38">
        <f t="shared" si="0"/>
        <v>8.3464566929133859E-5</v>
      </c>
      <c r="G43" s="38">
        <f t="shared" si="0"/>
        <v>1.4606299212598424E-5</v>
      </c>
      <c r="H43" s="38">
        <f t="shared" si="0"/>
        <v>5.9448818897637794E-5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760</v>
      </c>
      <c r="B44" s="38">
        <v>1.99E-6</v>
      </c>
      <c r="C44" s="38">
        <v>3.6699999999999999E-7</v>
      </c>
      <c r="D44" s="38">
        <v>1.4899999999999999E-6</v>
      </c>
      <c r="E44" s="3"/>
      <c r="F44" s="38">
        <f t="shared" si="0"/>
        <v>7.8346456692913397E-5</v>
      </c>
      <c r="G44" s="38">
        <f t="shared" si="0"/>
        <v>1.4448818897637795E-5</v>
      </c>
      <c r="H44" s="38">
        <f t="shared" si="0"/>
        <v>5.8661417322834648E-5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780</v>
      </c>
      <c r="B45" s="38">
        <v>1.8700000000000001E-6</v>
      </c>
      <c r="C45" s="38">
        <v>3.6199999999999999E-7</v>
      </c>
      <c r="D45" s="38">
        <v>1.48E-6</v>
      </c>
      <c r="E45" s="3"/>
      <c r="F45" s="38">
        <f t="shared" si="0"/>
        <v>7.3622047244094495E-5</v>
      </c>
      <c r="G45" s="38">
        <f t="shared" si="0"/>
        <v>1.4251968503937008E-5</v>
      </c>
      <c r="H45" s="38">
        <f t="shared" si="0"/>
        <v>5.8267716535433075E-5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800</v>
      </c>
      <c r="B46" s="38">
        <v>1.77E-6</v>
      </c>
      <c r="C46" s="38">
        <v>3.58E-7</v>
      </c>
      <c r="D46" s="38">
        <v>1.48E-6</v>
      </c>
      <c r="E46" s="3"/>
      <c r="F46" s="38">
        <f t="shared" si="0"/>
        <v>6.9685039370078752E-5</v>
      </c>
      <c r="G46" s="38">
        <f t="shared" si="0"/>
        <v>1.409448818897638E-5</v>
      </c>
      <c r="H46" s="38">
        <f t="shared" si="0"/>
        <v>5.8267716535433075E-5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820</v>
      </c>
      <c r="B47" s="38">
        <v>1.68E-6</v>
      </c>
      <c r="C47" s="38">
        <v>3.5400000000000002E-7</v>
      </c>
      <c r="D47" s="38">
        <v>1.4899999999999999E-6</v>
      </c>
      <c r="E47" s="3"/>
      <c r="F47" s="38">
        <f t="shared" si="0"/>
        <v>6.6141732283464568E-5</v>
      </c>
      <c r="G47" s="38">
        <f t="shared" si="0"/>
        <v>1.3937007874015751E-5</v>
      </c>
      <c r="H47" s="38">
        <f t="shared" si="0"/>
        <v>5.8661417322834648E-5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840</v>
      </c>
      <c r="B48" s="38">
        <v>1.5999999999999999E-6</v>
      </c>
      <c r="C48" s="38">
        <v>3.5100000000000001E-7</v>
      </c>
      <c r="D48" s="38">
        <v>1.5E-6</v>
      </c>
      <c r="E48" s="3"/>
      <c r="F48" s="38">
        <f t="shared" si="0"/>
        <v>6.2992125984251971E-5</v>
      </c>
      <c r="G48" s="38">
        <f t="shared" si="0"/>
        <v>1.3818897637795276E-5</v>
      </c>
      <c r="H48" s="38">
        <f t="shared" si="0"/>
        <v>5.9055118110236228E-5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860</v>
      </c>
      <c r="B49" s="38">
        <v>1.5200000000000001E-6</v>
      </c>
      <c r="C49" s="38">
        <v>3.4799999999999999E-7</v>
      </c>
      <c r="D49" s="38">
        <v>1.5099999999999999E-6</v>
      </c>
      <c r="E49" s="3"/>
      <c r="F49" s="38">
        <f t="shared" si="0"/>
        <v>5.9842519685039374E-5</v>
      </c>
      <c r="G49" s="38">
        <f t="shared" si="0"/>
        <v>1.3700787401574804E-5</v>
      </c>
      <c r="H49" s="38">
        <f t="shared" si="0"/>
        <v>5.9448818897637794E-5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880</v>
      </c>
      <c r="B50" s="38">
        <v>1.46E-6</v>
      </c>
      <c r="C50" s="38">
        <v>3.46E-7</v>
      </c>
      <c r="D50" s="38">
        <v>1.5200000000000001E-6</v>
      </c>
      <c r="E50" s="3"/>
      <c r="F50" s="38">
        <f t="shared" si="0"/>
        <v>5.7480314960629922E-5</v>
      </c>
      <c r="G50" s="38">
        <f t="shared" si="0"/>
        <v>1.362204724409449E-5</v>
      </c>
      <c r="H50" s="38">
        <f t="shared" si="0"/>
        <v>5.9842519685039374E-5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900</v>
      </c>
      <c r="B51" s="38">
        <v>1.3999999999999999E-6</v>
      </c>
      <c r="C51" s="38">
        <v>3.4299999999999999E-7</v>
      </c>
      <c r="D51" s="38">
        <v>1.53E-6</v>
      </c>
      <c r="E51" s="3"/>
      <c r="F51" s="38">
        <f t="shared" si="0"/>
        <v>5.5118110236220478E-5</v>
      </c>
      <c r="G51" s="38">
        <f t="shared" si="0"/>
        <v>1.3503937007874016E-5</v>
      </c>
      <c r="H51" s="38">
        <f t="shared" si="0"/>
        <v>6.0236220472440947E-5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920</v>
      </c>
      <c r="B52" s="38">
        <v>1.3400000000000001E-6</v>
      </c>
      <c r="C52" s="38">
        <v>3.41E-7</v>
      </c>
      <c r="D52" s="38">
        <v>1.5400000000000001E-6</v>
      </c>
      <c r="E52" s="3"/>
      <c r="F52" s="38">
        <f t="shared" si="0"/>
        <v>5.2755905511811027E-5</v>
      </c>
      <c r="G52" s="38">
        <f t="shared" si="0"/>
        <v>1.3425196850393702E-5</v>
      </c>
      <c r="H52" s="38">
        <f t="shared" si="0"/>
        <v>6.0629921259842526E-5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940</v>
      </c>
      <c r="B53" s="38">
        <v>1.2899999999999999E-6</v>
      </c>
      <c r="C53" s="38">
        <v>3.3799999999999998E-7</v>
      </c>
      <c r="D53" s="38">
        <v>1.55E-6</v>
      </c>
      <c r="E53" s="3"/>
      <c r="F53" s="38">
        <f t="shared" si="0"/>
        <v>5.0787401574803148E-5</v>
      </c>
      <c r="G53" s="38">
        <f t="shared" si="0"/>
        <v>1.3307086614173228E-5</v>
      </c>
      <c r="H53" s="38">
        <f t="shared" si="0"/>
        <v>6.1023622047244093E-5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960</v>
      </c>
      <c r="B54" s="38">
        <v>1.24E-6</v>
      </c>
      <c r="C54" s="38">
        <v>3.34E-7</v>
      </c>
      <c r="D54" s="38">
        <v>1.55E-6</v>
      </c>
      <c r="E54" s="3"/>
      <c r="F54" s="38">
        <f t="shared" si="0"/>
        <v>4.8818897637795277E-5</v>
      </c>
      <c r="G54" s="38">
        <f t="shared" si="0"/>
        <v>1.3149606299212598E-5</v>
      </c>
      <c r="H54" s="38">
        <f t="shared" si="0"/>
        <v>6.1023622047244093E-5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980</v>
      </c>
      <c r="B55" s="38">
        <v>1.19E-6</v>
      </c>
      <c r="C55" s="38">
        <v>3.3099999999999999E-7</v>
      </c>
      <c r="D55" s="38">
        <v>1.5600000000000001E-6</v>
      </c>
      <c r="E55" s="3"/>
      <c r="F55" s="38">
        <f t="shared" si="0"/>
        <v>4.6850393700787405E-5</v>
      </c>
      <c r="G55" s="38">
        <f t="shared" si="0"/>
        <v>1.3031496062992125E-5</v>
      </c>
      <c r="H55" s="38">
        <f t="shared" si="0"/>
        <v>6.1417322834645679E-5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1000</v>
      </c>
      <c r="B56" s="38">
        <v>1.1400000000000001E-6</v>
      </c>
      <c r="C56" s="38">
        <v>3.2800000000000003E-7</v>
      </c>
      <c r="D56" s="38">
        <v>1.57E-6</v>
      </c>
      <c r="E56" s="3"/>
      <c r="F56" s="38">
        <f t="shared" si="0"/>
        <v>4.4881889763779534E-5</v>
      </c>
      <c r="G56" s="38">
        <f t="shared" si="0"/>
        <v>1.2913385826771655E-5</v>
      </c>
      <c r="H56" s="38">
        <f t="shared" si="0"/>
        <v>6.1811023622047252E-5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1020</v>
      </c>
      <c r="B57" s="38">
        <v>1.1000000000000001E-6</v>
      </c>
      <c r="C57" s="38">
        <v>3.2599999999999998E-7</v>
      </c>
      <c r="D57" s="38">
        <v>1.5799999999999999E-6</v>
      </c>
      <c r="E57" s="3"/>
      <c r="F57" s="38">
        <f t="shared" si="0"/>
        <v>4.3307086614173235E-5</v>
      </c>
      <c r="G57" s="38">
        <f t="shared" si="0"/>
        <v>1.2834645669291337E-5</v>
      </c>
      <c r="H57" s="38">
        <f t="shared" si="0"/>
        <v>6.2204724409448811E-5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1040</v>
      </c>
      <c r="B58" s="38">
        <v>1.0499999999999999E-6</v>
      </c>
      <c r="C58" s="38">
        <v>3.2500000000000001E-7</v>
      </c>
      <c r="D58" s="38">
        <v>1.5799999999999999E-6</v>
      </c>
      <c r="E58" s="3"/>
      <c r="F58" s="38">
        <f t="shared" si="0"/>
        <v>4.1338582677165357E-5</v>
      </c>
      <c r="G58" s="38">
        <f t="shared" si="0"/>
        <v>1.2795275590551182E-5</v>
      </c>
      <c r="H58" s="38">
        <f t="shared" si="0"/>
        <v>6.2204724409448811E-5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1060</v>
      </c>
      <c r="B59" s="38">
        <v>1.0100000000000001E-6</v>
      </c>
      <c r="C59" s="39">
        <v>3.2800000000000003E-7</v>
      </c>
      <c r="D59" s="38">
        <v>1.59E-6</v>
      </c>
      <c r="E59" s="3"/>
      <c r="F59" s="38">
        <f t="shared" si="0"/>
        <v>3.9763779527559058E-5</v>
      </c>
      <c r="G59" s="38">
        <f t="shared" si="0"/>
        <v>1.2913385826771655E-5</v>
      </c>
      <c r="H59" s="38">
        <f t="shared" si="0"/>
        <v>6.2598425196850398E-5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1080</v>
      </c>
      <c r="B60" s="38">
        <v>9.6700000000000002E-7</v>
      </c>
      <c r="C60" s="38">
        <v>3.3299999999999998E-7</v>
      </c>
      <c r="D60" s="38">
        <v>1.5999999999999999E-6</v>
      </c>
      <c r="E60" s="3"/>
      <c r="F60" s="38">
        <f t="shared" si="0"/>
        <v>3.8070866141732284E-5</v>
      </c>
      <c r="G60" s="38">
        <f t="shared" si="0"/>
        <v>1.3110236220472441E-5</v>
      </c>
      <c r="H60" s="38">
        <f t="shared" si="0"/>
        <v>6.2992125984251971E-5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1100</v>
      </c>
      <c r="B61" s="38">
        <v>9.2600000000000001E-7</v>
      </c>
      <c r="C61" s="38">
        <v>3.4400000000000001E-7</v>
      </c>
      <c r="D61" s="38">
        <v>1.6199999999999999E-6</v>
      </c>
      <c r="E61" s="3"/>
      <c r="F61" s="38">
        <f t="shared" si="0"/>
        <v>3.6456692913385826E-5</v>
      </c>
      <c r="G61" s="38">
        <f t="shared" si="0"/>
        <v>1.3543307086614174E-5</v>
      </c>
      <c r="H61" s="38">
        <f t="shared" si="0"/>
        <v>6.3779527559055117E-5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1120</v>
      </c>
      <c r="B62" s="38">
        <v>8.8999999999999995E-7</v>
      </c>
      <c r="C62" s="38">
        <v>3.5900000000000003E-7</v>
      </c>
      <c r="D62" s="38">
        <v>1.6300000000000001E-6</v>
      </c>
      <c r="E62" s="3"/>
      <c r="F62" s="38">
        <f t="shared" si="0"/>
        <v>3.5039370078740156E-5</v>
      </c>
      <c r="G62" s="38">
        <f t="shared" si="0"/>
        <v>1.4133858267716535E-5</v>
      </c>
      <c r="H62" s="38">
        <f t="shared" si="0"/>
        <v>6.4173228346456703E-5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1140</v>
      </c>
      <c r="B63" s="38">
        <v>8.5899999999999995E-7</v>
      </c>
      <c r="C63" s="38">
        <v>3.7899999999999999E-7</v>
      </c>
      <c r="D63" s="38">
        <v>1.6500000000000001E-6</v>
      </c>
      <c r="E63" s="3"/>
      <c r="F63" s="38">
        <f t="shared" si="0"/>
        <v>3.3818897637795278E-5</v>
      </c>
      <c r="G63" s="38">
        <f t="shared" si="0"/>
        <v>1.4921259842519686E-5</v>
      </c>
      <c r="H63" s="38">
        <f t="shared" si="0"/>
        <v>6.4960629921259849E-5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1160</v>
      </c>
      <c r="B64" s="38">
        <v>8.3799999999999996E-7</v>
      </c>
      <c r="C64" s="38">
        <v>4.0400000000000002E-7</v>
      </c>
      <c r="D64" s="38">
        <v>1.6700000000000001E-6</v>
      </c>
      <c r="E64" s="3"/>
      <c r="F64" s="38">
        <f t="shared" si="0"/>
        <v>3.2992125984251967E-5</v>
      </c>
      <c r="G64" s="38">
        <f t="shared" si="0"/>
        <v>1.5905511811023624E-5</v>
      </c>
      <c r="H64" s="38">
        <f t="shared" si="0"/>
        <v>6.5748031496062995E-5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1180</v>
      </c>
      <c r="B65" s="38">
        <v>8.2900000000000002E-7</v>
      </c>
      <c r="C65" s="38">
        <v>4.3300000000000003E-7</v>
      </c>
      <c r="D65" s="38">
        <v>1.68E-6</v>
      </c>
      <c r="E65" s="3"/>
      <c r="F65" s="38">
        <f t="shared" si="0"/>
        <v>3.2637795275590552E-5</v>
      </c>
      <c r="G65" s="38">
        <f t="shared" si="0"/>
        <v>1.7047244094488191E-5</v>
      </c>
      <c r="H65" s="38">
        <f t="shared" si="0"/>
        <v>6.6141732283464568E-5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1200</v>
      </c>
      <c r="B66" s="38">
        <v>8.3699999999999999E-7</v>
      </c>
      <c r="C66" s="38">
        <v>4.6699999999999999E-7</v>
      </c>
      <c r="D66" s="38">
        <v>1.7E-6</v>
      </c>
      <c r="E66" s="3"/>
      <c r="F66" s="38">
        <f t="shared" si="0"/>
        <v>3.2952755905511808E-5</v>
      </c>
      <c r="G66" s="38">
        <f t="shared" si="0"/>
        <v>1.8385826771653544E-5</v>
      </c>
      <c r="H66" s="38">
        <f t="shared" si="0"/>
        <v>6.6929133858267728E-5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1220</v>
      </c>
      <c r="B67" s="38">
        <v>8.6700000000000002E-7</v>
      </c>
      <c r="C67" s="38">
        <v>5.0500000000000004E-7</v>
      </c>
      <c r="D67" s="38">
        <v>1.72E-6</v>
      </c>
      <c r="E67" s="3"/>
      <c r="F67" s="38">
        <f t="shared" si="0"/>
        <v>3.413385826771654E-5</v>
      </c>
      <c r="G67" s="38">
        <f t="shared" si="0"/>
        <v>1.9881889763779529E-5</v>
      </c>
      <c r="H67" s="38">
        <f t="shared" si="0"/>
        <v>6.7716535433070873E-5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1240</v>
      </c>
      <c r="B68" s="38">
        <v>9.1999999999999998E-7</v>
      </c>
      <c r="C68" s="38">
        <v>5.4600000000000005E-7</v>
      </c>
      <c r="D68" s="38">
        <v>1.73E-6</v>
      </c>
      <c r="E68" s="3"/>
      <c r="F68" s="38">
        <f t="shared" si="0"/>
        <v>3.6220472440944888E-5</v>
      </c>
      <c r="G68" s="38">
        <f t="shared" si="0"/>
        <v>2.1496062992125986E-5</v>
      </c>
      <c r="H68" s="38">
        <f t="shared" si="0"/>
        <v>6.8110236220472446E-5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1260</v>
      </c>
      <c r="B69" s="38">
        <v>9.9699999999999994E-7</v>
      </c>
      <c r="C69" s="38">
        <v>5.8999999999999996E-7</v>
      </c>
      <c r="D69" s="38">
        <v>1.7400000000000001E-6</v>
      </c>
      <c r="E69" s="3"/>
      <c r="F69" s="38">
        <f t="shared" si="0"/>
        <v>3.9251968503937002E-5</v>
      </c>
      <c r="G69" s="38">
        <f t="shared" si="0"/>
        <v>2.3228346456692913E-5</v>
      </c>
      <c r="H69" s="38">
        <f t="shared" si="0"/>
        <v>6.8503937007874019E-5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1280</v>
      </c>
      <c r="B70" s="38">
        <v>1.0899999999999999E-6</v>
      </c>
      <c r="C70" s="38">
        <v>6.3499999999999996E-7</v>
      </c>
      <c r="D70" s="38">
        <v>1.7400000000000001E-6</v>
      </c>
      <c r="E70" s="3"/>
      <c r="F70" s="38">
        <f t="shared" si="0"/>
        <v>4.2913385826771655E-5</v>
      </c>
      <c r="G70" s="38">
        <f t="shared" si="0"/>
        <v>2.4999999999999998E-5</v>
      </c>
      <c r="H70" s="38">
        <f t="shared" si="0"/>
        <v>6.8503937007874019E-5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1300</v>
      </c>
      <c r="B71" s="38">
        <v>1.2100000000000001E-6</v>
      </c>
      <c r="C71" s="38">
        <v>6.8100000000000002E-7</v>
      </c>
      <c r="D71" s="38">
        <v>1.7400000000000001E-6</v>
      </c>
      <c r="E71" s="3"/>
      <c r="F71" s="38">
        <f t="shared" ref="F71:H126" si="1">B71*1000/25.4</f>
        <v>4.7637795275590558E-5</v>
      </c>
      <c r="G71" s="38">
        <f t="shared" si="1"/>
        <v>2.6811023622047248E-5</v>
      </c>
      <c r="H71" s="38">
        <f t="shared" si="1"/>
        <v>6.8503937007874019E-5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1320</v>
      </c>
      <c r="B72" s="38">
        <v>1.3400000000000001E-6</v>
      </c>
      <c r="C72" s="38">
        <v>7.2500000000000005E-7</v>
      </c>
      <c r="D72" s="38">
        <v>1.7400000000000001E-6</v>
      </c>
      <c r="E72" s="3"/>
      <c r="F72" s="38">
        <f t="shared" si="1"/>
        <v>5.2755905511811027E-5</v>
      </c>
      <c r="G72" s="38">
        <f t="shared" si="1"/>
        <v>2.8543307086614178E-5</v>
      </c>
      <c r="H72" s="38">
        <f t="shared" si="1"/>
        <v>6.8503937007874019E-5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1340</v>
      </c>
      <c r="B73" s="38">
        <v>1.4699999999999999E-6</v>
      </c>
      <c r="C73" s="38">
        <v>7.6599999999999995E-7</v>
      </c>
      <c r="D73" s="38">
        <v>1.73E-6</v>
      </c>
      <c r="E73" s="3"/>
      <c r="F73" s="38">
        <f t="shared" si="1"/>
        <v>5.7874015748031495E-5</v>
      </c>
      <c r="G73" s="38">
        <f t="shared" si="1"/>
        <v>3.0157480314960632E-5</v>
      </c>
      <c r="H73" s="38">
        <f t="shared" si="1"/>
        <v>6.8110236220472446E-5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1360</v>
      </c>
      <c r="B74" s="38">
        <v>1.5999999999999999E-6</v>
      </c>
      <c r="C74" s="38">
        <v>7.9999999999999996E-7</v>
      </c>
      <c r="D74" s="38">
        <v>1.72E-6</v>
      </c>
      <c r="E74" s="3"/>
      <c r="F74" s="38">
        <f t="shared" si="1"/>
        <v>6.2992125984251971E-5</v>
      </c>
      <c r="G74" s="38">
        <f t="shared" si="1"/>
        <v>3.1496062992125985E-5</v>
      </c>
      <c r="H74" s="38">
        <f t="shared" si="1"/>
        <v>6.7716535433070873E-5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1380</v>
      </c>
      <c r="B75" s="38">
        <v>1.72E-6</v>
      </c>
      <c r="C75" s="38">
        <v>8.2699999999999998E-7</v>
      </c>
      <c r="D75" s="38">
        <v>1.7099999999999999E-6</v>
      </c>
      <c r="E75" s="3"/>
      <c r="F75" s="38">
        <f t="shared" si="1"/>
        <v>6.7716535433070873E-5</v>
      </c>
      <c r="G75" s="38">
        <f t="shared" si="1"/>
        <v>3.2559055118110235E-5</v>
      </c>
      <c r="H75" s="38">
        <f t="shared" si="1"/>
        <v>6.7322834645669287E-5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1400</v>
      </c>
      <c r="B76" s="38">
        <v>1.8300000000000001E-6</v>
      </c>
      <c r="C76" s="38">
        <v>8.4499999999999996E-7</v>
      </c>
      <c r="D76" s="38">
        <v>1.6899999999999999E-6</v>
      </c>
      <c r="E76" s="3"/>
      <c r="F76" s="38">
        <f t="shared" si="1"/>
        <v>7.2047244094488189E-5</v>
      </c>
      <c r="G76" s="38">
        <f t="shared" si="1"/>
        <v>3.3267716535433071E-5</v>
      </c>
      <c r="H76" s="38">
        <f t="shared" si="1"/>
        <v>6.6535433070866141E-5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1420</v>
      </c>
      <c r="B77" s="38">
        <v>1.9199999999999998E-6</v>
      </c>
      <c r="C77" s="38">
        <v>8.54E-7</v>
      </c>
      <c r="D77" s="38">
        <v>1.6700000000000001E-6</v>
      </c>
      <c r="E77" s="3"/>
      <c r="F77" s="38">
        <f t="shared" si="1"/>
        <v>7.559055118110236E-5</v>
      </c>
      <c r="G77" s="38">
        <f t="shared" si="1"/>
        <v>3.3622047244094492E-5</v>
      </c>
      <c r="H77" s="38">
        <f t="shared" si="1"/>
        <v>6.5748031496062995E-5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1440</v>
      </c>
      <c r="B78" s="38">
        <v>1.9800000000000001E-6</v>
      </c>
      <c r="C78" s="38">
        <v>8.5300000000000003E-7</v>
      </c>
      <c r="D78" s="38">
        <v>1.6500000000000001E-6</v>
      </c>
      <c r="E78" s="3"/>
      <c r="F78" s="38">
        <f t="shared" si="1"/>
        <v>7.7952755905511811E-5</v>
      </c>
      <c r="G78" s="38">
        <f t="shared" si="1"/>
        <v>3.3582677165354333E-5</v>
      </c>
      <c r="H78" s="38">
        <f t="shared" si="1"/>
        <v>6.4960629921259849E-5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1460</v>
      </c>
      <c r="B79" s="38">
        <v>2.03E-6</v>
      </c>
      <c r="C79" s="38">
        <v>8.4600000000000003E-7</v>
      </c>
      <c r="D79" s="38">
        <v>1.6300000000000001E-6</v>
      </c>
      <c r="E79" s="3"/>
      <c r="F79" s="38">
        <f t="shared" si="1"/>
        <v>7.9921259842519689E-5</v>
      </c>
      <c r="G79" s="38">
        <f t="shared" si="1"/>
        <v>3.3307086614173236E-5</v>
      </c>
      <c r="H79" s="38">
        <f t="shared" si="1"/>
        <v>6.4173228346456703E-5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1480</v>
      </c>
      <c r="B80" s="38">
        <v>2.0600000000000002E-6</v>
      </c>
      <c r="C80" s="38">
        <v>8.3200000000000004E-7</v>
      </c>
      <c r="D80" s="38">
        <v>1.61E-6</v>
      </c>
      <c r="E80" s="3"/>
      <c r="F80" s="38">
        <f t="shared" si="1"/>
        <v>8.1102362204724422E-5</v>
      </c>
      <c r="G80" s="38">
        <f t="shared" si="1"/>
        <v>3.2755905511811028E-5</v>
      </c>
      <c r="H80" s="38">
        <f t="shared" si="1"/>
        <v>6.3385826771653557E-5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1500</v>
      </c>
      <c r="B81" s="38">
        <v>2.0700000000000001E-6</v>
      </c>
      <c r="C81" s="38">
        <v>8.1399999999999996E-7</v>
      </c>
      <c r="D81" s="38">
        <v>1.59E-6</v>
      </c>
      <c r="E81" s="3"/>
      <c r="F81" s="38">
        <f t="shared" si="1"/>
        <v>8.1496062992125995E-5</v>
      </c>
      <c r="G81" s="38">
        <f t="shared" si="1"/>
        <v>3.2047244094488186E-5</v>
      </c>
      <c r="H81" s="38">
        <f t="shared" si="1"/>
        <v>6.2598425196850398E-5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1520</v>
      </c>
      <c r="B82" s="38">
        <v>2.0700000000000001E-6</v>
      </c>
      <c r="C82" s="38">
        <v>7.92E-7</v>
      </c>
      <c r="D82" s="38">
        <v>1.57E-6</v>
      </c>
      <c r="E82" s="3"/>
      <c r="F82" s="38">
        <f t="shared" si="1"/>
        <v>8.1496062992125995E-5</v>
      </c>
      <c r="G82" s="38">
        <f t="shared" si="1"/>
        <v>3.1181102362204723E-5</v>
      </c>
      <c r="H82" s="38">
        <f t="shared" si="1"/>
        <v>6.1811023622047252E-5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1540</v>
      </c>
      <c r="B83" s="38">
        <v>2.0600000000000002E-6</v>
      </c>
      <c r="C83" s="38">
        <v>7.7000000000000004E-7</v>
      </c>
      <c r="D83" s="38">
        <v>1.55E-6</v>
      </c>
      <c r="E83" s="3"/>
      <c r="F83" s="38">
        <f t="shared" si="1"/>
        <v>8.1102362204724422E-5</v>
      </c>
      <c r="G83" s="38">
        <f t="shared" si="1"/>
        <v>3.0314960629921263E-5</v>
      </c>
      <c r="H83" s="38">
        <f t="shared" si="1"/>
        <v>6.1023622047244093E-5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1560</v>
      </c>
      <c r="B84" s="38">
        <v>2.04E-6</v>
      </c>
      <c r="C84" s="38">
        <v>7.4600000000000004E-7</v>
      </c>
      <c r="D84" s="38">
        <v>1.53E-6</v>
      </c>
      <c r="E84" s="3"/>
      <c r="F84" s="38">
        <f t="shared" si="1"/>
        <v>8.0314960629921276E-5</v>
      </c>
      <c r="G84" s="38">
        <f t="shared" si="1"/>
        <v>2.9370078740157483E-5</v>
      </c>
      <c r="H84" s="38">
        <f t="shared" si="1"/>
        <v>6.0236220472440947E-5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1580</v>
      </c>
      <c r="B85" s="38">
        <v>2.0200000000000001E-6</v>
      </c>
      <c r="C85" s="38">
        <v>7.23E-7</v>
      </c>
      <c r="D85" s="38">
        <v>1.5099999999999999E-6</v>
      </c>
      <c r="E85" s="3"/>
      <c r="F85" s="38">
        <f t="shared" si="1"/>
        <v>7.9527559055118116E-5</v>
      </c>
      <c r="G85" s="38">
        <f t="shared" si="1"/>
        <v>2.8464566929133861E-5</v>
      </c>
      <c r="H85" s="38">
        <f t="shared" si="1"/>
        <v>5.9448818897637794E-5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1600</v>
      </c>
      <c r="B86" s="38">
        <v>1.9999999999999999E-6</v>
      </c>
      <c r="C86" s="38">
        <v>6.9999999999999997E-7</v>
      </c>
      <c r="D86" s="38">
        <v>1.4899999999999999E-6</v>
      </c>
      <c r="E86" s="3"/>
      <c r="F86" s="38">
        <f t="shared" si="1"/>
        <v>7.874015748031497E-5</v>
      </c>
      <c r="G86" s="38">
        <f t="shared" si="1"/>
        <v>2.7559055118110239E-5</v>
      </c>
      <c r="H86" s="38">
        <f t="shared" si="1"/>
        <v>5.8661417322834648E-5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1620</v>
      </c>
      <c r="B87" s="38">
        <v>1.9700000000000002E-6</v>
      </c>
      <c r="C87" s="38">
        <v>6.7800000000000001E-7</v>
      </c>
      <c r="D87" s="38">
        <v>1.4699999999999999E-6</v>
      </c>
      <c r="E87" s="3"/>
      <c r="F87" s="38">
        <f t="shared" si="1"/>
        <v>7.7559055118110252E-5</v>
      </c>
      <c r="G87" s="38">
        <f t="shared" si="1"/>
        <v>2.6692913385826772E-5</v>
      </c>
      <c r="H87" s="38">
        <f t="shared" si="1"/>
        <v>5.7874015748031495E-5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1640</v>
      </c>
      <c r="B88" s="38">
        <v>1.95E-6</v>
      </c>
      <c r="C88" s="38">
        <v>6.5799999999999999E-7</v>
      </c>
      <c r="D88" s="38">
        <v>1.46E-6</v>
      </c>
      <c r="E88" s="3"/>
      <c r="F88" s="38">
        <f t="shared" si="1"/>
        <v>7.6771653543307092E-5</v>
      </c>
      <c r="G88" s="38">
        <f t="shared" si="1"/>
        <v>2.5905511811023623E-5</v>
      </c>
      <c r="H88" s="38">
        <f t="shared" si="1"/>
        <v>5.7480314960629922E-5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1660</v>
      </c>
      <c r="B89" s="38">
        <v>1.9199999999999998E-6</v>
      </c>
      <c r="C89" s="38">
        <v>6.3799999999999997E-7</v>
      </c>
      <c r="D89" s="38">
        <v>1.44E-6</v>
      </c>
      <c r="E89" s="3"/>
      <c r="F89" s="38">
        <f t="shared" si="1"/>
        <v>7.559055118110236E-5</v>
      </c>
      <c r="G89" s="38">
        <f t="shared" si="1"/>
        <v>2.5118110236220474E-5</v>
      </c>
      <c r="H89" s="38">
        <f t="shared" si="1"/>
        <v>5.669291338582677E-5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1680</v>
      </c>
      <c r="B90" s="38">
        <v>1.9E-6</v>
      </c>
      <c r="C90" s="38">
        <v>6.1900000000000002E-7</v>
      </c>
      <c r="D90" s="38">
        <v>1.4300000000000001E-6</v>
      </c>
      <c r="E90" s="3"/>
      <c r="F90" s="38">
        <f t="shared" si="1"/>
        <v>7.4803149606299214E-5</v>
      </c>
      <c r="G90" s="38">
        <f t="shared" si="1"/>
        <v>2.437007874015748E-5</v>
      </c>
      <c r="H90" s="38">
        <f t="shared" si="1"/>
        <v>5.6299212598425204E-5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1700</v>
      </c>
      <c r="B91" s="38">
        <v>1.8700000000000001E-6</v>
      </c>
      <c r="C91" s="38">
        <v>6.0200000000000002E-7</v>
      </c>
      <c r="D91" s="38">
        <v>1.4100000000000001E-6</v>
      </c>
      <c r="E91" s="3"/>
      <c r="F91" s="38">
        <f t="shared" si="1"/>
        <v>7.3622047244094495E-5</v>
      </c>
      <c r="G91" s="38">
        <f t="shared" si="1"/>
        <v>2.3700787401574803E-5</v>
      </c>
      <c r="H91" s="38">
        <f t="shared" si="1"/>
        <v>5.5511811023622051E-5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1720</v>
      </c>
      <c r="B92" s="38">
        <v>1.8500000000000001E-6</v>
      </c>
      <c r="C92" s="38">
        <v>5.8599999999999998E-7</v>
      </c>
      <c r="D92" s="38">
        <v>1.3999999999999999E-6</v>
      </c>
      <c r="E92" s="3"/>
      <c r="F92" s="38">
        <f t="shared" si="1"/>
        <v>7.2834645669291349E-5</v>
      </c>
      <c r="G92" s="38">
        <f t="shared" si="1"/>
        <v>2.3070866141732282E-5</v>
      </c>
      <c r="H92" s="38">
        <f t="shared" si="1"/>
        <v>5.5118110236220478E-5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1740</v>
      </c>
      <c r="B93" s="38">
        <v>1.8300000000000001E-6</v>
      </c>
      <c r="C93" s="38">
        <v>5.7100000000000002E-7</v>
      </c>
      <c r="D93" s="38">
        <v>1.3799999999999999E-6</v>
      </c>
      <c r="E93" s="3"/>
      <c r="F93" s="38">
        <f t="shared" si="1"/>
        <v>7.2047244094488189E-5</v>
      </c>
      <c r="G93" s="38">
        <f t="shared" si="1"/>
        <v>2.2480314960629922E-5</v>
      </c>
      <c r="H93" s="38">
        <f t="shared" si="1"/>
        <v>5.4330708661417325E-5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1760</v>
      </c>
      <c r="B94" s="38">
        <v>1.81E-6</v>
      </c>
      <c r="C94" s="38">
        <v>5.5599999999999995E-7</v>
      </c>
      <c r="D94" s="38">
        <v>1.37E-6</v>
      </c>
      <c r="E94" s="3"/>
      <c r="F94" s="38">
        <f t="shared" si="1"/>
        <v>7.1259842519685044E-5</v>
      </c>
      <c r="G94" s="38">
        <f t="shared" si="1"/>
        <v>2.1889763779527559E-5</v>
      </c>
      <c r="H94" s="38">
        <f t="shared" si="1"/>
        <v>5.3937007874015745E-5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1780</v>
      </c>
      <c r="B95" s="38">
        <v>1.79E-6</v>
      </c>
      <c r="C95" s="38">
        <v>5.4300000000000003E-7</v>
      </c>
      <c r="D95" s="38">
        <v>1.3599999999999999E-6</v>
      </c>
      <c r="E95" s="3"/>
      <c r="F95" s="38">
        <f t="shared" si="1"/>
        <v>7.0472440944881884E-5</v>
      </c>
      <c r="G95" s="38">
        <f t="shared" si="1"/>
        <v>2.1377952755905517E-5</v>
      </c>
      <c r="H95" s="38">
        <f t="shared" si="1"/>
        <v>5.3543307086614173E-5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1800</v>
      </c>
      <c r="B96" s="38">
        <v>1.77E-6</v>
      </c>
      <c r="C96" s="38">
        <v>5.3099999999999998E-7</v>
      </c>
      <c r="D96" s="38">
        <v>1.35E-6</v>
      </c>
      <c r="E96" s="3"/>
      <c r="F96" s="38">
        <f t="shared" si="1"/>
        <v>6.9685039370078752E-5</v>
      </c>
      <c r="G96" s="38">
        <f t="shared" si="1"/>
        <v>2.0905511811023623E-5</v>
      </c>
      <c r="H96" s="38">
        <f t="shared" si="1"/>
        <v>5.3149606299212606E-5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1820</v>
      </c>
      <c r="B97" s="38">
        <v>1.75E-6</v>
      </c>
      <c r="C97" s="38">
        <v>5.1900000000000003E-7</v>
      </c>
      <c r="D97" s="38">
        <v>1.3400000000000001E-6</v>
      </c>
      <c r="E97" s="3"/>
      <c r="F97" s="38">
        <f t="shared" si="1"/>
        <v>6.8897637795275592E-5</v>
      </c>
      <c r="G97" s="38">
        <f t="shared" si="1"/>
        <v>2.0433070866141737E-5</v>
      </c>
      <c r="H97" s="38">
        <f t="shared" si="1"/>
        <v>5.2755905511811027E-5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1840</v>
      </c>
      <c r="B98" s="38">
        <v>1.73E-6</v>
      </c>
      <c r="C98" s="38">
        <v>5.0800000000000005E-7</v>
      </c>
      <c r="D98" s="38">
        <v>1.33E-6</v>
      </c>
      <c r="E98" s="3"/>
      <c r="F98" s="38">
        <f t="shared" si="1"/>
        <v>6.8110236220472446E-5</v>
      </c>
      <c r="G98" s="38">
        <f t="shared" si="1"/>
        <v>2.0000000000000005E-5</v>
      </c>
      <c r="H98" s="38">
        <f t="shared" si="1"/>
        <v>5.2362204724409454E-5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1860</v>
      </c>
      <c r="B99" s="38">
        <v>1.7099999999999999E-6</v>
      </c>
      <c r="C99" s="38">
        <v>4.9800000000000004E-7</v>
      </c>
      <c r="D99" s="38">
        <v>1.3200000000000001E-6</v>
      </c>
      <c r="E99" s="3"/>
      <c r="F99" s="38">
        <f t="shared" si="1"/>
        <v>6.7322834645669287E-5</v>
      </c>
      <c r="G99" s="38">
        <f t="shared" si="1"/>
        <v>1.9606299212598429E-5</v>
      </c>
      <c r="H99" s="38">
        <f t="shared" si="1"/>
        <v>5.1968503937007874E-5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1880</v>
      </c>
      <c r="B100" s="38">
        <v>1.7E-6</v>
      </c>
      <c r="C100" s="38">
        <v>4.8800000000000003E-7</v>
      </c>
      <c r="D100" s="38">
        <v>1.31E-6</v>
      </c>
      <c r="E100" s="3"/>
      <c r="F100" s="38">
        <f t="shared" si="1"/>
        <v>6.6929133858267728E-5</v>
      </c>
      <c r="G100" s="38">
        <f t="shared" si="1"/>
        <v>1.9212598425196852E-5</v>
      </c>
      <c r="H100" s="38">
        <f t="shared" si="1"/>
        <v>5.1574803149606301E-5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1900</v>
      </c>
      <c r="B101" s="38">
        <v>1.68E-6</v>
      </c>
      <c r="C101" s="38">
        <v>4.7899999999999999E-7</v>
      </c>
      <c r="D101" s="38">
        <v>1.3E-6</v>
      </c>
      <c r="E101" s="3"/>
      <c r="F101" s="38">
        <f t="shared" si="1"/>
        <v>6.6141732283464568E-5</v>
      </c>
      <c r="G101" s="38">
        <f t="shared" si="1"/>
        <v>1.8858267716535435E-5</v>
      </c>
      <c r="H101" s="38">
        <f t="shared" si="1"/>
        <v>5.1181102362204728E-5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1920</v>
      </c>
      <c r="B102" s="38">
        <v>1.6700000000000001E-6</v>
      </c>
      <c r="C102" s="38">
        <v>4.7100000000000002E-7</v>
      </c>
      <c r="D102" s="38">
        <v>1.2899999999999999E-6</v>
      </c>
      <c r="E102" s="3"/>
      <c r="F102" s="38">
        <f t="shared" si="1"/>
        <v>6.5748031496062995E-5</v>
      </c>
      <c r="G102" s="38">
        <f t="shared" si="1"/>
        <v>1.8543307086614176E-5</v>
      </c>
      <c r="H102" s="38">
        <f t="shared" si="1"/>
        <v>5.0787401574803148E-5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1940</v>
      </c>
      <c r="B103" s="38">
        <v>1.66E-6</v>
      </c>
      <c r="C103" s="38">
        <v>4.63E-7</v>
      </c>
      <c r="D103" s="38">
        <v>1.28E-6</v>
      </c>
      <c r="E103" s="3"/>
      <c r="F103" s="38">
        <f t="shared" si="1"/>
        <v>6.5354330708661422E-5</v>
      </c>
      <c r="G103" s="38">
        <f t="shared" si="1"/>
        <v>1.8228346456692913E-5</v>
      </c>
      <c r="H103" s="38">
        <f t="shared" si="1"/>
        <v>5.0393700787401582E-5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1960</v>
      </c>
      <c r="B104" s="38">
        <v>1.64E-6</v>
      </c>
      <c r="C104" s="38">
        <v>4.5499999999999998E-7</v>
      </c>
      <c r="D104" s="38">
        <v>1.2699999999999999E-6</v>
      </c>
      <c r="E104" s="3"/>
      <c r="F104" s="38">
        <f t="shared" si="1"/>
        <v>6.4566929133858276E-5</v>
      </c>
      <c r="G104" s="38">
        <f t="shared" si="1"/>
        <v>1.7913385826771654E-5</v>
      </c>
      <c r="H104" s="38">
        <f t="shared" si="1"/>
        <v>4.9999999999999996E-5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1980</v>
      </c>
      <c r="B105" s="38">
        <v>1.6300000000000001E-6</v>
      </c>
      <c r="C105" s="38">
        <v>4.4799999999999999E-7</v>
      </c>
      <c r="D105" s="38">
        <v>1.26E-6</v>
      </c>
      <c r="E105" s="3"/>
      <c r="F105" s="38">
        <f t="shared" si="1"/>
        <v>6.4173228346456703E-5</v>
      </c>
      <c r="G105" s="38">
        <f t="shared" si="1"/>
        <v>1.763779527559055E-5</v>
      </c>
      <c r="H105" s="38">
        <f t="shared" si="1"/>
        <v>4.9606299212598429E-5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2000</v>
      </c>
      <c r="B106" s="38">
        <v>1.6199999999999999E-6</v>
      </c>
      <c r="C106" s="38">
        <v>4.4200000000000001E-7</v>
      </c>
      <c r="D106" s="38">
        <v>1.26E-6</v>
      </c>
      <c r="E106" s="3"/>
      <c r="F106" s="38">
        <f t="shared" si="1"/>
        <v>6.3779527559055117E-5</v>
      </c>
      <c r="G106" s="38">
        <f t="shared" si="1"/>
        <v>1.7401574803149609E-5</v>
      </c>
      <c r="H106" s="38">
        <f t="shared" si="1"/>
        <v>4.9606299212598429E-5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2020</v>
      </c>
      <c r="B107" s="38">
        <v>1.61E-6</v>
      </c>
      <c r="C107" s="38">
        <v>4.3500000000000002E-7</v>
      </c>
      <c r="D107" s="38">
        <v>1.2500000000000001E-6</v>
      </c>
      <c r="E107" s="3"/>
      <c r="F107" s="38">
        <f t="shared" si="1"/>
        <v>6.3385826771653557E-5</v>
      </c>
      <c r="G107" s="38">
        <f t="shared" si="1"/>
        <v>1.7125984251968505E-5</v>
      </c>
      <c r="H107" s="38">
        <f t="shared" si="1"/>
        <v>4.9212598425196856E-5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2040</v>
      </c>
      <c r="B108" s="38">
        <v>1.5999999999999999E-6</v>
      </c>
      <c r="C108" s="38">
        <v>4.2899999999999999E-7</v>
      </c>
      <c r="D108" s="38">
        <v>1.24E-6</v>
      </c>
      <c r="E108" s="3"/>
      <c r="F108" s="38">
        <f t="shared" si="1"/>
        <v>6.2992125984251971E-5</v>
      </c>
      <c r="G108" s="38">
        <f t="shared" si="1"/>
        <v>1.688976377952756E-5</v>
      </c>
      <c r="H108" s="38">
        <f t="shared" si="1"/>
        <v>4.8818897637795277E-5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2060</v>
      </c>
      <c r="B109" s="38">
        <v>1.59E-6</v>
      </c>
      <c r="C109" s="38">
        <v>4.2399999999999999E-7</v>
      </c>
      <c r="D109" s="38">
        <v>1.24E-6</v>
      </c>
      <c r="E109" s="3"/>
      <c r="F109" s="38">
        <f t="shared" si="1"/>
        <v>6.2598425196850398E-5</v>
      </c>
      <c r="G109" s="38">
        <f t="shared" si="1"/>
        <v>1.6692913385826773E-5</v>
      </c>
      <c r="H109" s="38">
        <f t="shared" si="1"/>
        <v>4.8818897637795277E-5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2080</v>
      </c>
      <c r="B110" s="38">
        <v>1.5799999999999999E-6</v>
      </c>
      <c r="C110" s="38">
        <v>4.1800000000000001E-7</v>
      </c>
      <c r="D110" s="38">
        <v>1.2300000000000001E-6</v>
      </c>
      <c r="E110" s="3"/>
      <c r="F110" s="38">
        <f t="shared" si="1"/>
        <v>6.2204724409448811E-5</v>
      </c>
      <c r="G110" s="38">
        <f t="shared" si="1"/>
        <v>1.6456692913385828E-5</v>
      </c>
      <c r="H110" s="38">
        <f t="shared" si="1"/>
        <v>4.8425196850393711E-5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2100</v>
      </c>
      <c r="B111" s="38">
        <v>1.57E-6</v>
      </c>
      <c r="C111" s="38">
        <v>4.1300000000000001E-7</v>
      </c>
      <c r="D111" s="38">
        <v>1.22E-6</v>
      </c>
      <c r="E111" s="3"/>
      <c r="F111" s="38">
        <f t="shared" si="1"/>
        <v>6.1811023622047252E-5</v>
      </c>
      <c r="G111" s="38">
        <f t="shared" si="1"/>
        <v>1.6259842519685042E-5</v>
      </c>
      <c r="H111" s="38">
        <f t="shared" si="1"/>
        <v>4.8031496062992124E-5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2120</v>
      </c>
      <c r="B112" s="38">
        <v>1.5600000000000001E-6</v>
      </c>
      <c r="C112" s="38">
        <v>4.08E-7</v>
      </c>
      <c r="D112" s="38">
        <v>1.22E-6</v>
      </c>
      <c r="E112" s="3"/>
      <c r="F112" s="38">
        <f t="shared" si="1"/>
        <v>6.1417322834645679E-5</v>
      </c>
      <c r="G112" s="38">
        <f t="shared" si="1"/>
        <v>1.6062992125984252E-5</v>
      </c>
      <c r="H112" s="38">
        <f t="shared" si="1"/>
        <v>4.8031496062992124E-5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2140</v>
      </c>
      <c r="B113" s="38">
        <v>1.55E-6</v>
      </c>
      <c r="C113" s="38">
        <v>4.03E-7</v>
      </c>
      <c r="D113" s="38">
        <v>1.2100000000000001E-6</v>
      </c>
      <c r="E113" s="3"/>
      <c r="F113" s="38">
        <f t="shared" si="1"/>
        <v>6.1023622047244093E-5</v>
      </c>
      <c r="G113" s="38">
        <f t="shared" si="1"/>
        <v>1.5866141732283465E-5</v>
      </c>
      <c r="H113" s="38">
        <f t="shared" si="1"/>
        <v>4.7637795275590558E-5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2160</v>
      </c>
      <c r="B114" s="38">
        <v>1.5400000000000001E-6</v>
      </c>
      <c r="C114" s="38">
        <v>3.9900000000000001E-7</v>
      </c>
      <c r="D114" s="38">
        <v>1.2100000000000001E-6</v>
      </c>
      <c r="E114" s="3"/>
      <c r="F114" s="38">
        <f t="shared" si="1"/>
        <v>6.0629921259842526E-5</v>
      </c>
      <c r="G114" s="38">
        <f t="shared" si="1"/>
        <v>1.5708661417322834E-5</v>
      </c>
      <c r="H114" s="38">
        <f t="shared" si="1"/>
        <v>4.7637795275590558E-5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2180</v>
      </c>
      <c r="B115" s="38">
        <v>1.5400000000000001E-6</v>
      </c>
      <c r="C115" s="38">
        <v>3.9499999999999998E-7</v>
      </c>
      <c r="D115" s="38">
        <v>1.1999999999999999E-6</v>
      </c>
      <c r="E115" s="3"/>
      <c r="F115" s="38">
        <f t="shared" si="1"/>
        <v>6.0629921259842526E-5</v>
      </c>
      <c r="G115" s="38">
        <f t="shared" si="1"/>
        <v>1.5551181102362203E-5</v>
      </c>
      <c r="H115" s="38">
        <f t="shared" si="1"/>
        <v>4.7244094488188978E-5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2200</v>
      </c>
      <c r="B116" s="38">
        <v>1.53E-6</v>
      </c>
      <c r="C116" s="38">
        <v>3.9000000000000002E-7</v>
      </c>
      <c r="D116" s="38">
        <v>1.1999999999999999E-6</v>
      </c>
      <c r="E116" s="3"/>
      <c r="F116" s="38">
        <f t="shared" si="1"/>
        <v>6.0236220472440947E-5</v>
      </c>
      <c r="G116" s="38">
        <f t="shared" si="1"/>
        <v>1.535433070866142E-5</v>
      </c>
      <c r="H116" s="38">
        <f t="shared" si="1"/>
        <v>4.7244094488188978E-5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2220</v>
      </c>
      <c r="B117" s="38">
        <v>1.5200000000000001E-6</v>
      </c>
      <c r="C117" s="38">
        <v>3.8599999999999999E-7</v>
      </c>
      <c r="D117" s="38">
        <v>1.19E-6</v>
      </c>
      <c r="E117" s="3"/>
      <c r="F117" s="38">
        <f t="shared" si="1"/>
        <v>5.9842519685039374E-5</v>
      </c>
      <c r="G117" s="38">
        <f t="shared" si="1"/>
        <v>1.5196850393700789E-5</v>
      </c>
      <c r="H117" s="38">
        <f t="shared" si="1"/>
        <v>4.6850393700787405E-5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2240</v>
      </c>
      <c r="B118" s="38">
        <v>1.5099999999999999E-6</v>
      </c>
      <c r="C118" s="38">
        <v>3.8299999999999998E-7</v>
      </c>
      <c r="D118" s="38">
        <v>1.19E-6</v>
      </c>
      <c r="E118" s="3"/>
      <c r="F118" s="38">
        <f t="shared" si="1"/>
        <v>5.9448818897637794E-5</v>
      </c>
      <c r="G118" s="38">
        <f t="shared" si="1"/>
        <v>1.5078740157480316E-5</v>
      </c>
      <c r="H118" s="38">
        <f t="shared" si="1"/>
        <v>4.6850393700787405E-5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2260</v>
      </c>
      <c r="B119" s="38">
        <v>1.5099999999999999E-6</v>
      </c>
      <c r="C119" s="38">
        <v>3.7899999999999999E-7</v>
      </c>
      <c r="D119" s="38">
        <v>1.19E-6</v>
      </c>
      <c r="E119" s="3"/>
      <c r="F119" s="38">
        <f t="shared" si="1"/>
        <v>5.9448818897637794E-5</v>
      </c>
      <c r="G119" s="38">
        <f t="shared" si="1"/>
        <v>1.4921259842519686E-5</v>
      </c>
      <c r="H119" s="38">
        <f t="shared" si="1"/>
        <v>4.6850393700787405E-5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2280</v>
      </c>
      <c r="B120" s="38">
        <v>1.5E-6</v>
      </c>
      <c r="C120" s="38">
        <v>3.7500000000000001E-7</v>
      </c>
      <c r="D120" s="38">
        <v>1.1799999999999999E-6</v>
      </c>
      <c r="E120" s="3"/>
      <c r="F120" s="38">
        <f t="shared" si="1"/>
        <v>5.9055118110236228E-5</v>
      </c>
      <c r="G120" s="38">
        <f t="shared" si="1"/>
        <v>1.4763779527559057E-5</v>
      </c>
      <c r="H120" s="38">
        <f t="shared" si="1"/>
        <v>4.6456692913385825E-5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2300</v>
      </c>
      <c r="B121" s="38">
        <v>1.4899999999999999E-6</v>
      </c>
      <c r="C121" s="38">
        <v>3.72E-7</v>
      </c>
      <c r="D121" s="38">
        <v>1.1799999999999999E-6</v>
      </c>
      <c r="E121" s="3"/>
      <c r="F121" s="38">
        <f t="shared" si="1"/>
        <v>5.8661417322834648E-5</v>
      </c>
      <c r="G121" s="38">
        <f t="shared" si="1"/>
        <v>1.4645669291338583E-5</v>
      </c>
      <c r="H121" s="38">
        <f t="shared" si="1"/>
        <v>4.6456692913385825E-5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2320</v>
      </c>
      <c r="B122" s="38">
        <v>1.4899999999999999E-6</v>
      </c>
      <c r="C122" s="38">
        <v>3.6899999999999998E-7</v>
      </c>
      <c r="D122" s="38">
        <v>1.1799999999999999E-6</v>
      </c>
      <c r="E122" s="3"/>
      <c r="F122" s="38">
        <f t="shared" si="1"/>
        <v>5.8661417322834648E-5</v>
      </c>
      <c r="G122" s="38">
        <f t="shared" si="1"/>
        <v>1.452755905511811E-5</v>
      </c>
      <c r="H122" s="38">
        <f t="shared" si="1"/>
        <v>4.6456692913385825E-5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2340</v>
      </c>
      <c r="B123" s="38">
        <v>1.48E-6</v>
      </c>
      <c r="C123" s="38">
        <v>3.6600000000000002E-7</v>
      </c>
      <c r="D123" s="38">
        <v>1.17E-6</v>
      </c>
      <c r="E123" s="3"/>
      <c r="F123" s="38">
        <f t="shared" si="1"/>
        <v>5.8267716535433075E-5</v>
      </c>
      <c r="G123" s="38">
        <f t="shared" si="1"/>
        <v>1.4409448818897639E-5</v>
      </c>
      <c r="H123" s="38">
        <f t="shared" si="1"/>
        <v>4.6062992125984253E-5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2360</v>
      </c>
      <c r="B124" s="38">
        <v>1.48E-6</v>
      </c>
      <c r="C124" s="38">
        <v>3.6300000000000001E-7</v>
      </c>
      <c r="D124" s="38">
        <v>1.17E-6</v>
      </c>
      <c r="E124" s="3"/>
      <c r="F124" s="38">
        <f t="shared" si="1"/>
        <v>5.8267716535433075E-5</v>
      </c>
      <c r="G124" s="38">
        <f t="shared" si="1"/>
        <v>1.4291338582677165E-5</v>
      </c>
      <c r="H124" s="38">
        <f t="shared" si="1"/>
        <v>4.6062992125984253E-5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2380</v>
      </c>
      <c r="B125" s="38">
        <v>1.4699999999999999E-6</v>
      </c>
      <c r="C125" s="38">
        <v>3.5999999999999999E-7</v>
      </c>
      <c r="D125" s="38">
        <v>1.17E-6</v>
      </c>
      <c r="E125" s="3"/>
      <c r="F125" s="38">
        <f t="shared" si="1"/>
        <v>5.7874015748031495E-5</v>
      </c>
      <c r="G125" s="38">
        <f t="shared" si="1"/>
        <v>1.4173228346456692E-5</v>
      </c>
      <c r="H125" s="38">
        <f t="shared" si="1"/>
        <v>4.6062992125984253E-5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2400</v>
      </c>
      <c r="B126" s="38">
        <v>1.4699999999999999E-6</v>
      </c>
      <c r="C126" s="38">
        <v>3.5699999999999998E-7</v>
      </c>
      <c r="D126" s="38">
        <v>1.1599999999999999E-6</v>
      </c>
      <c r="E126" s="3"/>
      <c r="F126" s="38">
        <f t="shared" si="1"/>
        <v>5.7874015748031495E-5</v>
      </c>
      <c r="G126" s="38">
        <f t="shared" si="1"/>
        <v>1.4055118110236222E-5</v>
      </c>
      <c r="H126" s="38">
        <f t="shared" si="1"/>
        <v>4.566929133858268E-5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2.96E-6</v>
      </c>
      <c r="C128" s="38">
        <f>MAX(C6:C126)</f>
        <v>8.54E-7</v>
      </c>
      <c r="D128" s="38">
        <f>MAX(D6:D126)</f>
        <v>1.8300000000000001E-6</v>
      </c>
      <c r="E128" s="4"/>
      <c r="F128" s="38">
        <f>MAX(F20:F126)</f>
        <v>1.1653543307086615E-4</v>
      </c>
      <c r="G128" s="38">
        <f>MAX(G20:G126)</f>
        <v>3.3622047244094492E-5</v>
      </c>
      <c r="H128" s="38">
        <f>MAX(H20:H126)</f>
        <v>7.2047244094488189E-5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5.5794685527754727E-4</v>
      </c>
      <c r="C129" s="38">
        <f>C128*limits!$E29</f>
        <v>1.6097520756994099E-4</v>
      </c>
      <c r="D129" s="38">
        <f>D128*limits!$E29</f>
        <v>3.4494687336415926E-4</v>
      </c>
      <c r="E129" s="4"/>
      <c r="F129" s="38">
        <f>F128*limits!$E29</f>
        <v>2.1966411625100286E-2</v>
      </c>
      <c r="G129" s="38">
        <f>G128*limits!$E29</f>
        <v>6.3376065972417716E-3</v>
      </c>
      <c r="H129" s="38">
        <f>H128*limits!$E29</f>
        <v>1.3580585565518081E-2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A4:A5"/>
    <mergeCell ref="B4:D4"/>
    <mergeCell ref="F4:H4"/>
  </mergeCells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61394-7115-41EE-ADDE-F8647DB4D8F8}">
  <dimension ref="A1:AD140"/>
  <sheetViews>
    <sheetView showGridLines="0" topLeftCell="A4" zoomScaleNormal="100" workbookViewId="0">
      <selection activeCell="U13" sqref="U13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31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40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2" t="s">
        <v>35</v>
      </c>
      <c r="B4" s="41" t="s">
        <v>36</v>
      </c>
      <c r="C4" s="41"/>
      <c r="D4" s="41"/>
      <c r="E4" s="3"/>
      <c r="F4" s="41" t="s">
        <v>37</v>
      </c>
      <c r="G4" s="41"/>
      <c r="H4" s="4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3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1.03E-16</v>
      </c>
      <c r="C6" s="38">
        <v>7.7499999999999996E-18</v>
      </c>
      <c r="D6" s="38">
        <v>6.0199999999999997E-17</v>
      </c>
      <c r="E6" s="3"/>
      <c r="F6" s="38">
        <f>B6*1000/25.4</f>
        <v>4.0551181102362211E-15</v>
      </c>
      <c r="G6" s="38">
        <f>C6*1000/25.4</f>
        <v>3.0511811023622051E-16</v>
      </c>
      <c r="H6" s="38">
        <f>D6*1000/25.4</f>
        <v>2.3700787401574806E-15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20</v>
      </c>
      <c r="B7" s="38">
        <v>4.5099999999999999E-10</v>
      </c>
      <c r="C7" s="38">
        <v>3.3999999999999999E-11</v>
      </c>
      <c r="D7" s="38">
        <v>2.6300000000000002E-10</v>
      </c>
      <c r="E7" s="3"/>
      <c r="F7" s="38">
        <f t="shared" ref="F7:H70" si="0">B7*1000/25.4</f>
        <v>1.7755905511811026E-8</v>
      </c>
      <c r="G7" s="38">
        <f t="shared" si="0"/>
        <v>1.3385826771653545E-9</v>
      </c>
      <c r="H7" s="38">
        <f t="shared" si="0"/>
        <v>1.0354330708661419E-8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40</v>
      </c>
      <c r="B8" s="38">
        <v>1.81E-9</v>
      </c>
      <c r="C8" s="38">
        <v>1.36E-10</v>
      </c>
      <c r="D8" s="38">
        <v>1.0500000000000001E-9</v>
      </c>
      <c r="E8" s="3"/>
      <c r="F8" s="38">
        <f t="shared" si="0"/>
        <v>7.1259842519685048E-8</v>
      </c>
      <c r="G8" s="38">
        <f t="shared" si="0"/>
        <v>5.354330708661418E-9</v>
      </c>
      <c r="H8" s="38">
        <f t="shared" si="0"/>
        <v>4.1338582677165363E-8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60</v>
      </c>
      <c r="B9" s="38">
        <v>4.08E-9</v>
      </c>
      <c r="C9" s="38">
        <v>3.0700000000000003E-10</v>
      </c>
      <c r="D9" s="38">
        <v>2.3600000000000001E-9</v>
      </c>
      <c r="E9" s="3"/>
      <c r="F9" s="38">
        <f t="shared" si="0"/>
        <v>1.6062992125984253E-7</v>
      </c>
      <c r="G9" s="38">
        <f t="shared" si="0"/>
        <v>1.2086614173228348E-8</v>
      </c>
      <c r="H9" s="38">
        <f t="shared" si="0"/>
        <v>9.2913385826771668E-8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80</v>
      </c>
      <c r="B10" s="38">
        <v>7.2799999999999997E-9</v>
      </c>
      <c r="C10" s="38">
        <v>5.4899999999999997E-10</v>
      </c>
      <c r="D10" s="38">
        <v>4.2000000000000004E-9</v>
      </c>
      <c r="E10" s="3"/>
      <c r="F10" s="38">
        <f t="shared" si="0"/>
        <v>2.8661417322834647E-7</v>
      </c>
      <c r="G10" s="38">
        <f t="shared" si="0"/>
        <v>2.1614173228346457E-8</v>
      </c>
      <c r="H10" s="38">
        <f t="shared" si="0"/>
        <v>1.6535433070866145E-7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100</v>
      </c>
      <c r="B11" s="38">
        <v>1.15E-8</v>
      </c>
      <c r="C11" s="38">
        <v>8.6300000000000002E-10</v>
      </c>
      <c r="D11" s="38">
        <v>6.5499999999999999E-9</v>
      </c>
      <c r="E11" s="3"/>
      <c r="F11" s="38">
        <f t="shared" si="0"/>
        <v>4.5275590551181104E-7</v>
      </c>
      <c r="G11" s="38">
        <f t="shared" si="0"/>
        <v>3.3976377952755911E-8</v>
      </c>
      <c r="H11" s="38">
        <f t="shared" si="0"/>
        <v>2.578740157480315E-7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120</v>
      </c>
      <c r="B12" s="38">
        <v>1.66E-8</v>
      </c>
      <c r="C12" s="38">
        <v>1.25E-9</v>
      </c>
      <c r="D12" s="38">
        <v>9.4300000000000007E-9</v>
      </c>
      <c r="E12" s="3"/>
      <c r="F12" s="38">
        <f t="shared" si="0"/>
        <v>6.5354330708661425E-7</v>
      </c>
      <c r="G12" s="38">
        <f t="shared" si="0"/>
        <v>4.9212598425196858E-8</v>
      </c>
      <c r="H12" s="38">
        <f t="shared" si="0"/>
        <v>3.7125984251968511E-7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140</v>
      </c>
      <c r="B13" s="38">
        <v>2.2799999999999999E-8</v>
      </c>
      <c r="C13" s="38">
        <v>1.7200000000000001E-9</v>
      </c>
      <c r="D13" s="38">
        <v>1.29E-8</v>
      </c>
      <c r="E13" s="3"/>
      <c r="F13" s="38">
        <f t="shared" si="0"/>
        <v>8.9763779527559051E-7</v>
      </c>
      <c r="G13" s="38">
        <f t="shared" si="0"/>
        <v>6.7716535433070877E-8</v>
      </c>
      <c r="H13" s="38">
        <f t="shared" si="0"/>
        <v>5.0787401574803154E-7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160</v>
      </c>
      <c r="B14" s="38">
        <v>3.0099999999999998E-8</v>
      </c>
      <c r="C14" s="38">
        <v>2.2600000000000001E-9</v>
      </c>
      <c r="D14" s="38">
        <v>1.6800000000000002E-8</v>
      </c>
      <c r="E14" s="3"/>
      <c r="F14" s="38">
        <f t="shared" si="0"/>
        <v>1.1850393700787401E-6</v>
      </c>
      <c r="G14" s="38">
        <f t="shared" si="0"/>
        <v>8.8976377952755914E-8</v>
      </c>
      <c r="H14" s="38">
        <f t="shared" si="0"/>
        <v>6.6141732283464581E-7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180</v>
      </c>
      <c r="B15" s="38">
        <v>3.8500000000000001E-8</v>
      </c>
      <c r="C15" s="38">
        <v>2.8900000000000002E-9</v>
      </c>
      <c r="D15" s="38">
        <v>2.14E-8</v>
      </c>
      <c r="E15" s="3"/>
      <c r="F15" s="38">
        <f t="shared" si="0"/>
        <v>1.5157480314960632E-6</v>
      </c>
      <c r="G15" s="38">
        <f t="shared" si="0"/>
        <v>1.1377952755905513E-7</v>
      </c>
      <c r="H15" s="38">
        <f t="shared" si="0"/>
        <v>8.4251968503937001E-7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200</v>
      </c>
      <c r="B16" s="38">
        <v>4.8100000000000001E-8</v>
      </c>
      <c r="C16" s="38">
        <v>3.6199999999999999E-9</v>
      </c>
      <c r="D16" s="38">
        <v>2.66E-8</v>
      </c>
      <c r="E16" s="3"/>
      <c r="F16" s="38">
        <f t="shared" si="0"/>
        <v>1.8937007874015751E-6</v>
      </c>
      <c r="G16" s="38">
        <f t="shared" si="0"/>
        <v>1.425196850393701E-7</v>
      </c>
      <c r="H16" s="38">
        <f t="shared" si="0"/>
        <v>1.0472440944881891E-6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220</v>
      </c>
      <c r="B17" s="38">
        <v>5.8999999999999999E-8</v>
      </c>
      <c r="C17" s="38">
        <v>4.4299999999999998E-9</v>
      </c>
      <c r="D17" s="38">
        <v>3.2399999999999999E-8</v>
      </c>
      <c r="E17" s="3"/>
      <c r="F17" s="38">
        <f t="shared" si="0"/>
        <v>2.3228346456692914E-6</v>
      </c>
      <c r="G17" s="38">
        <f t="shared" si="0"/>
        <v>1.7440944881889766E-7</v>
      </c>
      <c r="H17" s="38">
        <f t="shared" si="0"/>
        <v>1.2755905511811025E-6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240</v>
      </c>
      <c r="B18" s="38">
        <v>7.1299999999999997E-8</v>
      </c>
      <c r="C18" s="38">
        <v>5.3499999999999999E-9</v>
      </c>
      <c r="D18" s="38">
        <v>3.8899999999999998E-8</v>
      </c>
      <c r="E18" s="3"/>
      <c r="F18" s="38">
        <f t="shared" si="0"/>
        <v>2.8070866141732285E-6</v>
      </c>
      <c r="G18" s="38">
        <f t="shared" si="0"/>
        <v>2.106299212598425E-7</v>
      </c>
      <c r="H18" s="38">
        <f t="shared" si="0"/>
        <v>1.5314960629921259E-6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260</v>
      </c>
      <c r="B19" s="38">
        <v>8.4999999999999994E-8</v>
      </c>
      <c r="C19" s="38">
        <v>6.3700000000000001E-9</v>
      </c>
      <c r="D19" s="38">
        <v>4.6100000000000003E-8</v>
      </c>
      <c r="E19" s="3"/>
      <c r="F19" s="38">
        <f t="shared" si="0"/>
        <v>3.3464566929133858E-6</v>
      </c>
      <c r="G19" s="38">
        <f t="shared" si="0"/>
        <v>2.5078740157480316E-7</v>
      </c>
      <c r="H19" s="38">
        <f t="shared" si="0"/>
        <v>1.8149606299212601E-6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280</v>
      </c>
      <c r="B20" s="38">
        <v>9.9999999999999995E-8</v>
      </c>
      <c r="C20" s="38">
        <v>7.4999999999999993E-9</v>
      </c>
      <c r="D20" s="38">
        <v>5.4100000000000001E-8</v>
      </c>
      <c r="E20" s="3"/>
      <c r="F20" s="38">
        <f t="shared" si="0"/>
        <v>3.9370078740157482E-6</v>
      </c>
      <c r="G20" s="38">
        <f t="shared" si="0"/>
        <v>2.9527559055118109E-7</v>
      </c>
      <c r="H20" s="38">
        <f t="shared" si="0"/>
        <v>2.1299212598425198E-6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300</v>
      </c>
      <c r="B21" s="38">
        <v>1.17E-7</v>
      </c>
      <c r="C21" s="38">
        <v>8.7500000000000006E-9</v>
      </c>
      <c r="D21" s="38">
        <v>6.2800000000000006E-8</v>
      </c>
      <c r="E21" s="3"/>
      <c r="F21" s="38">
        <f t="shared" si="0"/>
        <v>4.6062992125984258E-6</v>
      </c>
      <c r="G21" s="38">
        <f t="shared" si="0"/>
        <v>3.4448818897637803E-7</v>
      </c>
      <c r="H21" s="38">
        <f t="shared" si="0"/>
        <v>2.4724409448818902E-6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320</v>
      </c>
      <c r="B22" s="38">
        <v>1.36E-7</v>
      </c>
      <c r="C22" s="38">
        <v>1.0099999999999999E-8</v>
      </c>
      <c r="D22" s="38">
        <v>7.24E-8</v>
      </c>
      <c r="E22" s="3"/>
      <c r="F22" s="38">
        <f t="shared" si="0"/>
        <v>5.3543307086614173E-6</v>
      </c>
      <c r="G22" s="38">
        <f t="shared" si="0"/>
        <v>3.9763779527559059E-7</v>
      </c>
      <c r="H22" s="38">
        <f t="shared" si="0"/>
        <v>2.8503937007874017E-6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340</v>
      </c>
      <c r="B23" s="38">
        <v>1.5699999999999999E-7</v>
      </c>
      <c r="C23" s="38">
        <v>1.1700000000000001E-8</v>
      </c>
      <c r="D23" s="38">
        <v>8.2899999999999995E-8</v>
      </c>
      <c r="E23" s="3"/>
      <c r="F23" s="38">
        <f t="shared" si="0"/>
        <v>6.1811023622047244E-6</v>
      </c>
      <c r="G23" s="38">
        <f t="shared" si="0"/>
        <v>4.6062992125984254E-7</v>
      </c>
      <c r="H23" s="38">
        <f t="shared" si="0"/>
        <v>3.2637795275590552E-6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360</v>
      </c>
      <c r="B24" s="38">
        <v>1.8E-7</v>
      </c>
      <c r="C24" s="38">
        <v>1.33E-8</v>
      </c>
      <c r="D24" s="38">
        <v>9.4399999999999998E-8</v>
      </c>
      <c r="E24" s="3"/>
      <c r="F24" s="38">
        <f t="shared" si="0"/>
        <v>7.0866141732283462E-6</v>
      </c>
      <c r="G24" s="38">
        <f t="shared" si="0"/>
        <v>5.2362204724409455E-7</v>
      </c>
      <c r="H24" s="38">
        <f t="shared" si="0"/>
        <v>3.7165354330708666E-6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380</v>
      </c>
      <c r="B25" s="38">
        <v>2.05E-7</v>
      </c>
      <c r="C25" s="38">
        <v>1.52E-8</v>
      </c>
      <c r="D25" s="38">
        <v>1.0700000000000001E-7</v>
      </c>
      <c r="E25" s="3"/>
      <c r="F25" s="38">
        <f t="shared" si="0"/>
        <v>8.0708661417322845E-6</v>
      </c>
      <c r="G25" s="38">
        <f t="shared" si="0"/>
        <v>5.9842519685039375E-7</v>
      </c>
      <c r="H25" s="38">
        <f t="shared" si="0"/>
        <v>4.2125984251968503E-6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400</v>
      </c>
      <c r="B26" s="38">
        <v>2.3300000000000001E-7</v>
      </c>
      <c r="C26" s="38">
        <v>1.7199999999999999E-8</v>
      </c>
      <c r="D26" s="38">
        <v>1.1999999999999999E-7</v>
      </c>
      <c r="E26" s="3"/>
      <c r="F26" s="38">
        <f t="shared" si="0"/>
        <v>9.1732283464566929E-6</v>
      </c>
      <c r="G26" s="38">
        <f t="shared" si="0"/>
        <v>6.7716535433070861E-7</v>
      </c>
      <c r="H26" s="38">
        <f t="shared" si="0"/>
        <v>4.7244094488188975E-6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420</v>
      </c>
      <c r="B27" s="38">
        <v>2.6399999999999998E-7</v>
      </c>
      <c r="C27" s="38">
        <v>1.9399999999999998E-8</v>
      </c>
      <c r="D27" s="38">
        <v>1.35E-7</v>
      </c>
      <c r="E27" s="3"/>
      <c r="F27" s="38">
        <f t="shared" si="0"/>
        <v>1.0393700787401574E-5</v>
      </c>
      <c r="G27" s="38">
        <f t="shared" si="0"/>
        <v>7.6377952755905504E-7</v>
      </c>
      <c r="H27" s="38">
        <f t="shared" si="0"/>
        <v>5.3149606299212603E-6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440</v>
      </c>
      <c r="B28" s="38">
        <v>2.9799999999999999E-7</v>
      </c>
      <c r="C28" s="38">
        <v>2.1900000000000001E-8</v>
      </c>
      <c r="D28" s="38">
        <v>1.5200000000000001E-7</v>
      </c>
      <c r="E28" s="3"/>
      <c r="F28" s="38">
        <f t="shared" si="0"/>
        <v>1.1732283464566929E-5</v>
      </c>
      <c r="G28" s="38">
        <f t="shared" si="0"/>
        <v>8.6220472440944891E-7</v>
      </c>
      <c r="H28" s="38">
        <f t="shared" si="0"/>
        <v>5.9842519685039379E-6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460</v>
      </c>
      <c r="B29" s="38">
        <v>3.3599999999999999E-7</v>
      </c>
      <c r="C29" s="38">
        <v>2.4500000000000001E-8</v>
      </c>
      <c r="D29" s="38">
        <v>1.6899999999999999E-7</v>
      </c>
      <c r="E29" s="3"/>
      <c r="F29" s="38">
        <f t="shared" si="0"/>
        <v>1.3228346456692914E-5</v>
      </c>
      <c r="G29" s="38">
        <f t="shared" si="0"/>
        <v>9.6456692913385835E-7</v>
      </c>
      <c r="H29" s="38">
        <f t="shared" si="0"/>
        <v>6.6535433070866138E-6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480</v>
      </c>
      <c r="B30" s="38">
        <v>3.77E-7</v>
      </c>
      <c r="C30" s="38">
        <v>2.7400000000000001E-8</v>
      </c>
      <c r="D30" s="38">
        <v>1.8900000000000001E-7</v>
      </c>
      <c r="E30" s="3"/>
      <c r="F30" s="38">
        <f t="shared" si="0"/>
        <v>1.4842519685039371E-5</v>
      </c>
      <c r="G30" s="38">
        <f t="shared" si="0"/>
        <v>1.0787401574803151E-6</v>
      </c>
      <c r="H30" s="38">
        <f t="shared" si="0"/>
        <v>7.4409448818897648E-6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500</v>
      </c>
      <c r="B31" s="38">
        <v>4.2399999999999999E-7</v>
      </c>
      <c r="C31" s="38">
        <v>3.0600000000000003E-8</v>
      </c>
      <c r="D31" s="38">
        <v>2.11E-7</v>
      </c>
      <c r="E31" s="3"/>
      <c r="F31" s="38">
        <f t="shared" si="0"/>
        <v>1.6692913385826773E-5</v>
      </c>
      <c r="G31" s="38">
        <f t="shared" si="0"/>
        <v>1.2047244094488193E-6</v>
      </c>
      <c r="H31" s="38">
        <f t="shared" si="0"/>
        <v>8.3070866141732297E-6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520</v>
      </c>
      <c r="B32" s="38">
        <v>4.75E-7</v>
      </c>
      <c r="C32" s="38">
        <v>3.4100000000000001E-8</v>
      </c>
      <c r="D32" s="38">
        <v>2.35E-7</v>
      </c>
      <c r="E32" s="3"/>
      <c r="F32" s="38">
        <f t="shared" si="0"/>
        <v>1.8700787401574803E-5</v>
      </c>
      <c r="G32" s="38">
        <f t="shared" si="0"/>
        <v>1.3425196850393703E-6</v>
      </c>
      <c r="H32" s="38">
        <f t="shared" si="0"/>
        <v>9.2519685039370085E-6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540</v>
      </c>
      <c r="B33" s="38">
        <v>5.3300000000000002E-7</v>
      </c>
      <c r="C33" s="38">
        <v>3.7900000000000002E-8</v>
      </c>
      <c r="D33" s="38">
        <v>2.6100000000000002E-7</v>
      </c>
      <c r="E33" s="3"/>
      <c r="F33" s="38">
        <f t="shared" si="0"/>
        <v>2.0984251968503941E-5</v>
      </c>
      <c r="G33" s="38">
        <f t="shared" si="0"/>
        <v>1.4921259842519685E-6</v>
      </c>
      <c r="H33" s="38">
        <f t="shared" si="0"/>
        <v>1.0275590551181103E-5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560</v>
      </c>
      <c r="B34" s="38">
        <v>5.9800000000000003E-7</v>
      </c>
      <c r="C34" s="38">
        <v>4.21E-8</v>
      </c>
      <c r="D34" s="38">
        <v>2.91E-7</v>
      </c>
      <c r="E34" s="3"/>
      <c r="F34" s="38">
        <f t="shared" si="0"/>
        <v>2.3543307086614175E-5</v>
      </c>
      <c r="G34" s="38">
        <f t="shared" si="0"/>
        <v>1.65748031496063E-6</v>
      </c>
      <c r="H34" s="38">
        <f t="shared" si="0"/>
        <v>1.1456692913385827E-5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580</v>
      </c>
      <c r="B35" s="38">
        <v>6.7100000000000001E-7</v>
      </c>
      <c r="C35" s="38">
        <v>4.6700000000000001E-8</v>
      </c>
      <c r="D35" s="38">
        <v>3.2500000000000001E-7</v>
      </c>
      <c r="E35" s="3"/>
      <c r="F35" s="38">
        <f t="shared" si="0"/>
        <v>2.6417322834645672E-5</v>
      </c>
      <c r="G35" s="38">
        <f t="shared" si="0"/>
        <v>1.8385826771653546E-6</v>
      </c>
      <c r="H35" s="38">
        <f t="shared" si="0"/>
        <v>1.2795275590551182E-5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600</v>
      </c>
      <c r="B36" s="38">
        <v>7.5300000000000003E-7</v>
      </c>
      <c r="C36" s="38">
        <v>5.1900000000000002E-8</v>
      </c>
      <c r="D36" s="38">
        <v>3.6199999999999999E-7</v>
      </c>
      <c r="E36" s="3"/>
      <c r="F36" s="38">
        <f t="shared" si="0"/>
        <v>2.9645669291338583E-5</v>
      </c>
      <c r="G36" s="38">
        <f t="shared" si="0"/>
        <v>2.0433070866141735E-6</v>
      </c>
      <c r="H36" s="38">
        <f t="shared" si="0"/>
        <v>1.4251968503937008E-5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620</v>
      </c>
      <c r="B37" s="38">
        <v>8.4600000000000003E-7</v>
      </c>
      <c r="C37" s="38">
        <v>5.7499999999999999E-8</v>
      </c>
      <c r="D37" s="38">
        <v>4.0499999999999999E-7</v>
      </c>
      <c r="E37" s="3"/>
      <c r="F37" s="38">
        <f t="shared" si="0"/>
        <v>3.3307086614173236E-5</v>
      </c>
      <c r="G37" s="38">
        <f t="shared" si="0"/>
        <v>2.2637795275590555E-6</v>
      </c>
      <c r="H37" s="38">
        <f t="shared" si="0"/>
        <v>1.5944881889763779E-5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640</v>
      </c>
      <c r="B38" s="38">
        <v>9.5199999999999995E-7</v>
      </c>
      <c r="C38" s="38">
        <v>6.3699999999999995E-8</v>
      </c>
      <c r="D38" s="38">
        <v>4.5400000000000002E-7</v>
      </c>
      <c r="E38" s="3"/>
      <c r="F38" s="38">
        <f t="shared" si="0"/>
        <v>3.7480314960629924E-5</v>
      </c>
      <c r="G38" s="38">
        <f t="shared" si="0"/>
        <v>2.5078740157480313E-6</v>
      </c>
      <c r="H38" s="38">
        <f t="shared" si="0"/>
        <v>1.7874015748031499E-5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660</v>
      </c>
      <c r="B39" s="38">
        <v>1.0699999999999999E-6</v>
      </c>
      <c r="C39" s="38">
        <v>7.0700000000000004E-8</v>
      </c>
      <c r="D39" s="38">
        <v>5.1099999999999996E-7</v>
      </c>
      <c r="E39" s="3"/>
      <c r="F39" s="38">
        <f t="shared" si="0"/>
        <v>4.2125984251968503E-5</v>
      </c>
      <c r="G39" s="38">
        <f t="shared" si="0"/>
        <v>2.7834645669291343E-6</v>
      </c>
      <c r="H39" s="38">
        <f t="shared" si="0"/>
        <v>2.0118110236220471E-5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680</v>
      </c>
      <c r="B40" s="38">
        <v>1.2100000000000001E-6</v>
      </c>
      <c r="C40" s="38">
        <v>7.8300000000000006E-8</v>
      </c>
      <c r="D40" s="38">
        <v>5.7599999999999997E-7</v>
      </c>
      <c r="E40" s="3"/>
      <c r="F40" s="38">
        <f t="shared" si="0"/>
        <v>4.7637795275590558E-5</v>
      </c>
      <c r="G40" s="38">
        <f t="shared" si="0"/>
        <v>3.082677165354331E-6</v>
      </c>
      <c r="H40" s="38">
        <f t="shared" si="0"/>
        <v>2.2677165354330712E-5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700</v>
      </c>
      <c r="B41" s="38">
        <v>1.37E-6</v>
      </c>
      <c r="C41" s="38">
        <v>8.6799999999999996E-8</v>
      </c>
      <c r="D41" s="38">
        <v>6.5199999999999996E-7</v>
      </c>
      <c r="E41" s="3"/>
      <c r="F41" s="38">
        <f t="shared" si="0"/>
        <v>5.3937007874015745E-5</v>
      </c>
      <c r="G41" s="38">
        <f t="shared" si="0"/>
        <v>3.4173228346456694E-6</v>
      </c>
      <c r="H41" s="38">
        <f t="shared" si="0"/>
        <v>2.5669291338582675E-5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720</v>
      </c>
      <c r="B42" s="38">
        <v>1.5400000000000001E-6</v>
      </c>
      <c r="C42" s="38">
        <v>9.6200000000000001E-8</v>
      </c>
      <c r="D42" s="38">
        <v>7.3900000000000004E-7</v>
      </c>
      <c r="E42" s="3"/>
      <c r="F42" s="38">
        <f t="shared" si="0"/>
        <v>6.0629921259842526E-5</v>
      </c>
      <c r="G42" s="38">
        <f t="shared" si="0"/>
        <v>3.7874015748031502E-6</v>
      </c>
      <c r="H42" s="38">
        <f t="shared" si="0"/>
        <v>2.9094488188976382E-5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740</v>
      </c>
      <c r="B43" s="38">
        <v>1.7400000000000001E-6</v>
      </c>
      <c r="C43" s="38">
        <v>1.0700000000000001E-7</v>
      </c>
      <c r="D43" s="38">
        <v>8.4099999999999997E-7</v>
      </c>
      <c r="E43" s="3"/>
      <c r="F43" s="38">
        <f t="shared" si="0"/>
        <v>6.8503937007874019E-5</v>
      </c>
      <c r="G43" s="38">
        <f t="shared" si="0"/>
        <v>4.2125984251968503E-6</v>
      </c>
      <c r="H43" s="38">
        <f t="shared" si="0"/>
        <v>3.3110236220472443E-5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760</v>
      </c>
      <c r="B44" s="38">
        <v>1.9599999999999999E-6</v>
      </c>
      <c r="C44" s="38">
        <v>1.18E-7</v>
      </c>
      <c r="D44" s="38">
        <v>9.5600000000000004E-7</v>
      </c>
      <c r="E44" s="3"/>
      <c r="F44" s="38">
        <f t="shared" si="0"/>
        <v>7.7165354330708665E-5</v>
      </c>
      <c r="G44" s="38">
        <f t="shared" si="0"/>
        <v>4.6456692913385827E-6</v>
      </c>
      <c r="H44" s="38">
        <f t="shared" si="0"/>
        <v>3.7637795275590552E-5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780</v>
      </c>
      <c r="B45" s="38">
        <v>2.2000000000000001E-6</v>
      </c>
      <c r="C45" s="38">
        <v>1.3E-7</v>
      </c>
      <c r="D45" s="38">
        <v>1.08E-6</v>
      </c>
      <c r="E45" s="3"/>
      <c r="F45" s="38">
        <f t="shared" si="0"/>
        <v>8.661417322834647E-5</v>
      </c>
      <c r="G45" s="38">
        <f t="shared" si="0"/>
        <v>5.1181102362204721E-6</v>
      </c>
      <c r="H45" s="38">
        <f t="shared" si="0"/>
        <v>4.2519685039370082E-5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800</v>
      </c>
      <c r="B46" s="38">
        <v>2.4399999999999999E-6</v>
      </c>
      <c r="C46" s="38">
        <v>1.43E-7</v>
      </c>
      <c r="D46" s="38">
        <v>1.22E-6</v>
      </c>
      <c r="E46" s="3"/>
      <c r="F46" s="38">
        <f t="shared" si="0"/>
        <v>9.6062992125984248E-5</v>
      </c>
      <c r="G46" s="38">
        <f t="shared" si="0"/>
        <v>5.6299212598425202E-6</v>
      </c>
      <c r="H46" s="38">
        <f t="shared" si="0"/>
        <v>4.8031496062992124E-5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820</v>
      </c>
      <c r="B47" s="38">
        <v>2.6699999999999998E-6</v>
      </c>
      <c r="C47" s="38">
        <v>1.5699999999999999E-7</v>
      </c>
      <c r="D47" s="38">
        <v>1.3599999999999999E-6</v>
      </c>
      <c r="E47" s="3"/>
      <c r="F47" s="38">
        <f t="shared" si="0"/>
        <v>1.0511811023622047E-4</v>
      </c>
      <c r="G47" s="38">
        <f t="shared" si="0"/>
        <v>6.1811023622047244E-6</v>
      </c>
      <c r="H47" s="38">
        <f t="shared" si="0"/>
        <v>5.3543307086614173E-5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840</v>
      </c>
      <c r="B48" s="38">
        <v>2.8600000000000001E-6</v>
      </c>
      <c r="C48" s="38">
        <v>1.7100000000000001E-7</v>
      </c>
      <c r="D48" s="38">
        <v>1.4899999999999999E-6</v>
      </c>
      <c r="E48" s="3"/>
      <c r="F48" s="38">
        <f t="shared" si="0"/>
        <v>1.1259842519685041E-4</v>
      </c>
      <c r="G48" s="38">
        <f t="shared" si="0"/>
        <v>6.7322834645669302E-6</v>
      </c>
      <c r="H48" s="38">
        <f t="shared" si="0"/>
        <v>5.8661417322834648E-5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860</v>
      </c>
      <c r="B49" s="38">
        <v>2.9799999999999998E-6</v>
      </c>
      <c r="C49" s="38">
        <v>1.8400000000000001E-7</v>
      </c>
      <c r="D49" s="38">
        <v>1.59E-6</v>
      </c>
      <c r="E49" s="3"/>
      <c r="F49" s="38">
        <f t="shared" si="0"/>
        <v>1.173228346456693E-4</v>
      </c>
      <c r="G49" s="38">
        <f t="shared" si="0"/>
        <v>7.2440944881889766E-6</v>
      </c>
      <c r="H49" s="38">
        <f t="shared" si="0"/>
        <v>6.2598425196850398E-5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880</v>
      </c>
      <c r="B50" s="38">
        <v>3.0299999999999998E-6</v>
      </c>
      <c r="C50" s="38">
        <v>1.9600000000000001E-7</v>
      </c>
      <c r="D50" s="38">
        <v>1.6500000000000001E-6</v>
      </c>
      <c r="E50" s="3"/>
      <c r="F50" s="38">
        <f t="shared" si="0"/>
        <v>1.1929133858267716E-4</v>
      </c>
      <c r="G50" s="38">
        <f t="shared" si="0"/>
        <v>7.7165354330708668E-6</v>
      </c>
      <c r="H50" s="38">
        <f t="shared" si="0"/>
        <v>6.4960629921259849E-5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900</v>
      </c>
      <c r="B51" s="38">
        <v>3.01E-6</v>
      </c>
      <c r="C51" s="38">
        <v>2.0699999999999999E-7</v>
      </c>
      <c r="D51" s="38">
        <v>1.68E-6</v>
      </c>
      <c r="E51" s="3"/>
      <c r="F51" s="38">
        <f t="shared" si="0"/>
        <v>1.1850393700787403E-4</v>
      </c>
      <c r="G51" s="38">
        <f t="shared" si="0"/>
        <v>8.1496062992125984E-6</v>
      </c>
      <c r="H51" s="38">
        <f t="shared" si="0"/>
        <v>6.6141732283464568E-5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920</v>
      </c>
      <c r="B52" s="38">
        <v>2.9399999999999998E-6</v>
      </c>
      <c r="C52" s="38">
        <v>2.1500000000000001E-7</v>
      </c>
      <c r="D52" s="38">
        <v>1.6700000000000001E-6</v>
      </c>
      <c r="E52" s="3"/>
      <c r="F52" s="38">
        <f t="shared" si="0"/>
        <v>1.1574803149606299E-4</v>
      </c>
      <c r="G52" s="38">
        <f t="shared" si="0"/>
        <v>8.4645669291338592E-6</v>
      </c>
      <c r="H52" s="38">
        <f t="shared" si="0"/>
        <v>6.5748031496062995E-5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940</v>
      </c>
      <c r="B53" s="38">
        <v>2.8200000000000001E-6</v>
      </c>
      <c r="C53" s="38">
        <v>2.2100000000000001E-7</v>
      </c>
      <c r="D53" s="38">
        <v>1.64E-6</v>
      </c>
      <c r="E53" s="3"/>
      <c r="F53" s="38">
        <f t="shared" si="0"/>
        <v>1.110236220472441E-4</v>
      </c>
      <c r="G53" s="38">
        <f t="shared" si="0"/>
        <v>8.7007874015748043E-6</v>
      </c>
      <c r="H53" s="38">
        <f t="shared" si="0"/>
        <v>6.4566929133858276E-5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960</v>
      </c>
      <c r="B54" s="38">
        <v>2.6900000000000001E-6</v>
      </c>
      <c r="C54" s="38">
        <v>2.2399999999999999E-7</v>
      </c>
      <c r="D54" s="38">
        <v>1.5999999999999999E-6</v>
      </c>
      <c r="E54" s="3"/>
      <c r="F54" s="38">
        <f t="shared" si="0"/>
        <v>1.0590551181102363E-4</v>
      </c>
      <c r="G54" s="38">
        <f t="shared" si="0"/>
        <v>8.8188976377952752E-6</v>
      </c>
      <c r="H54" s="38">
        <f t="shared" si="0"/>
        <v>6.2992125984251971E-5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980</v>
      </c>
      <c r="B55" s="38">
        <v>2.5600000000000001E-6</v>
      </c>
      <c r="C55" s="38">
        <v>2.2399999999999999E-7</v>
      </c>
      <c r="D55" s="38">
        <v>1.5400000000000001E-6</v>
      </c>
      <c r="E55" s="3"/>
      <c r="F55" s="38">
        <f t="shared" si="0"/>
        <v>1.0078740157480316E-4</v>
      </c>
      <c r="G55" s="38">
        <f t="shared" si="0"/>
        <v>8.8188976377952752E-6</v>
      </c>
      <c r="H55" s="38">
        <f t="shared" si="0"/>
        <v>6.0629921259842526E-5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1000</v>
      </c>
      <c r="B56" s="38">
        <v>2.4200000000000001E-6</v>
      </c>
      <c r="C56" s="38">
        <v>2.23E-7</v>
      </c>
      <c r="D56" s="38">
        <v>1.48E-6</v>
      </c>
      <c r="E56" s="3"/>
      <c r="F56" s="38">
        <f t="shared" si="0"/>
        <v>9.5275590551181116E-5</v>
      </c>
      <c r="G56" s="38">
        <f t="shared" si="0"/>
        <v>8.7795275590551182E-6</v>
      </c>
      <c r="H56" s="38">
        <f t="shared" si="0"/>
        <v>5.8267716535433075E-5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1020</v>
      </c>
      <c r="B57" s="38">
        <v>2.3E-6</v>
      </c>
      <c r="C57" s="38">
        <v>2.2100000000000001E-7</v>
      </c>
      <c r="D57" s="38">
        <v>1.42E-6</v>
      </c>
      <c r="E57" s="3"/>
      <c r="F57" s="38">
        <f t="shared" si="0"/>
        <v>9.0551181102362213E-5</v>
      </c>
      <c r="G57" s="38">
        <f t="shared" si="0"/>
        <v>8.7007874015748043E-6</v>
      </c>
      <c r="H57" s="38">
        <f t="shared" si="0"/>
        <v>5.5905511811023624E-5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1040</v>
      </c>
      <c r="B58" s="38">
        <v>2.1799999999999999E-6</v>
      </c>
      <c r="C58" s="38">
        <v>2.1899999999999999E-7</v>
      </c>
      <c r="D58" s="38">
        <v>1.35E-6</v>
      </c>
      <c r="E58" s="3"/>
      <c r="F58" s="38">
        <f t="shared" si="0"/>
        <v>8.5826771653543311E-5</v>
      </c>
      <c r="G58" s="38">
        <f t="shared" si="0"/>
        <v>8.6220472440944887E-6</v>
      </c>
      <c r="H58" s="38">
        <f t="shared" si="0"/>
        <v>5.3149606299212606E-5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1060</v>
      </c>
      <c r="B59" s="38">
        <v>2.0700000000000001E-6</v>
      </c>
      <c r="C59" s="39">
        <v>2.16E-7</v>
      </c>
      <c r="D59" s="38">
        <v>1.28E-6</v>
      </c>
      <c r="E59" s="3"/>
      <c r="F59" s="38">
        <f t="shared" si="0"/>
        <v>8.1496062992125995E-5</v>
      </c>
      <c r="G59" s="38">
        <f t="shared" si="0"/>
        <v>8.5039370078740161E-6</v>
      </c>
      <c r="H59" s="38">
        <f t="shared" si="0"/>
        <v>5.0393700787401582E-5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1080</v>
      </c>
      <c r="B60" s="38">
        <v>1.9700000000000002E-6</v>
      </c>
      <c r="C60" s="38">
        <v>2.1299999999999999E-7</v>
      </c>
      <c r="D60" s="38">
        <v>1.2100000000000001E-6</v>
      </c>
      <c r="E60" s="3"/>
      <c r="F60" s="38">
        <f t="shared" si="0"/>
        <v>7.7559055118110252E-5</v>
      </c>
      <c r="G60" s="38">
        <f t="shared" si="0"/>
        <v>8.3858267716535436E-6</v>
      </c>
      <c r="H60" s="38">
        <f t="shared" si="0"/>
        <v>4.7637795275590558E-5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1100</v>
      </c>
      <c r="B61" s="38">
        <v>1.88E-6</v>
      </c>
      <c r="C61" s="38">
        <v>2.11E-7</v>
      </c>
      <c r="D61" s="38">
        <v>1.13E-6</v>
      </c>
      <c r="E61" s="3"/>
      <c r="F61" s="38">
        <f t="shared" si="0"/>
        <v>7.4015748031496068E-5</v>
      </c>
      <c r="G61" s="38">
        <f t="shared" si="0"/>
        <v>8.3070866141732297E-6</v>
      </c>
      <c r="H61" s="38">
        <f t="shared" si="0"/>
        <v>4.4488188976377954E-5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1120</v>
      </c>
      <c r="B62" s="38">
        <v>1.7999999999999999E-6</v>
      </c>
      <c r="C62" s="38">
        <v>2.1E-7</v>
      </c>
      <c r="D62" s="38">
        <v>1.06E-6</v>
      </c>
      <c r="E62" s="3"/>
      <c r="F62" s="38">
        <f t="shared" si="0"/>
        <v>7.0866141732283471E-5</v>
      </c>
      <c r="G62" s="38">
        <f t="shared" si="0"/>
        <v>8.267716535433071E-6</v>
      </c>
      <c r="H62" s="38">
        <f t="shared" si="0"/>
        <v>4.173228346456693E-5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1140</v>
      </c>
      <c r="B63" s="38">
        <v>1.72E-6</v>
      </c>
      <c r="C63" s="38">
        <v>2.1E-7</v>
      </c>
      <c r="D63" s="38">
        <v>9.9000000000000005E-7</v>
      </c>
      <c r="E63" s="3"/>
      <c r="F63" s="38">
        <f t="shared" si="0"/>
        <v>6.7716535433070873E-5</v>
      </c>
      <c r="G63" s="38">
        <f t="shared" si="0"/>
        <v>8.267716535433071E-6</v>
      </c>
      <c r="H63" s="38">
        <f t="shared" si="0"/>
        <v>3.8976377952755905E-5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1160</v>
      </c>
      <c r="B64" s="38">
        <v>1.6500000000000001E-6</v>
      </c>
      <c r="C64" s="38">
        <v>2.1E-7</v>
      </c>
      <c r="D64" s="38">
        <v>9.2099999999999995E-7</v>
      </c>
      <c r="E64" s="3"/>
      <c r="F64" s="38">
        <f t="shared" si="0"/>
        <v>6.4960629921259849E-5</v>
      </c>
      <c r="G64" s="38">
        <f t="shared" si="0"/>
        <v>8.267716535433071E-6</v>
      </c>
      <c r="H64" s="38">
        <f t="shared" si="0"/>
        <v>3.625984251968504E-5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1180</v>
      </c>
      <c r="B65" s="38">
        <v>1.59E-6</v>
      </c>
      <c r="C65" s="38">
        <v>2.1199999999999999E-7</v>
      </c>
      <c r="D65" s="38">
        <v>8.5300000000000003E-7</v>
      </c>
      <c r="E65" s="3"/>
      <c r="F65" s="38">
        <f t="shared" si="0"/>
        <v>6.2598425196850398E-5</v>
      </c>
      <c r="G65" s="38">
        <f t="shared" si="0"/>
        <v>8.3464566929133866E-6</v>
      </c>
      <c r="H65" s="38">
        <f t="shared" si="0"/>
        <v>3.3582677165354333E-5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1200</v>
      </c>
      <c r="B66" s="38">
        <v>1.53E-6</v>
      </c>
      <c r="C66" s="38">
        <v>2.1500000000000001E-7</v>
      </c>
      <c r="D66" s="38">
        <v>7.8700000000000005E-7</v>
      </c>
      <c r="E66" s="3"/>
      <c r="F66" s="38">
        <f t="shared" si="0"/>
        <v>6.0236220472440947E-5</v>
      </c>
      <c r="G66" s="38">
        <f t="shared" si="0"/>
        <v>8.4645669291338592E-6</v>
      </c>
      <c r="H66" s="38">
        <f t="shared" si="0"/>
        <v>3.0984251968503943E-5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1220</v>
      </c>
      <c r="B67" s="38">
        <v>1.48E-6</v>
      </c>
      <c r="C67" s="38">
        <v>2.2000000000000001E-7</v>
      </c>
      <c r="D67" s="38">
        <v>7.23E-7</v>
      </c>
      <c r="E67" s="3"/>
      <c r="F67" s="38">
        <f t="shared" si="0"/>
        <v>5.8267716535433075E-5</v>
      </c>
      <c r="G67" s="38">
        <f t="shared" si="0"/>
        <v>8.6614173228346457E-6</v>
      </c>
      <c r="H67" s="38">
        <f t="shared" si="0"/>
        <v>2.8464566929133861E-5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1240</v>
      </c>
      <c r="B68" s="38">
        <v>1.4300000000000001E-6</v>
      </c>
      <c r="C68" s="38">
        <v>2.2499999999999999E-7</v>
      </c>
      <c r="D68" s="38">
        <v>6.61E-7</v>
      </c>
      <c r="E68" s="3"/>
      <c r="F68" s="38">
        <f t="shared" si="0"/>
        <v>5.6299212598425204E-5</v>
      </c>
      <c r="G68" s="38">
        <f t="shared" si="0"/>
        <v>8.8582677165354338E-6</v>
      </c>
      <c r="H68" s="38">
        <f t="shared" si="0"/>
        <v>2.6023622047244096E-5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1260</v>
      </c>
      <c r="B69" s="38">
        <v>1.3799999999999999E-6</v>
      </c>
      <c r="C69" s="38">
        <v>2.3099999999999999E-7</v>
      </c>
      <c r="D69" s="38">
        <v>6.0200000000000002E-7</v>
      </c>
      <c r="E69" s="3"/>
      <c r="F69" s="38">
        <f t="shared" si="0"/>
        <v>5.4330708661417325E-5</v>
      </c>
      <c r="G69" s="38">
        <f t="shared" si="0"/>
        <v>9.0944881889763773E-6</v>
      </c>
      <c r="H69" s="38">
        <f t="shared" si="0"/>
        <v>2.3700787401574803E-5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1280</v>
      </c>
      <c r="B70" s="38">
        <v>1.3400000000000001E-6</v>
      </c>
      <c r="C70" s="38">
        <v>2.3900000000000001E-7</v>
      </c>
      <c r="D70" s="38">
        <v>5.4700000000000001E-7</v>
      </c>
      <c r="E70" s="3"/>
      <c r="F70" s="38">
        <f t="shared" si="0"/>
        <v>5.2755905511811027E-5</v>
      </c>
      <c r="G70" s="38">
        <f t="shared" si="0"/>
        <v>9.409448818897638E-6</v>
      </c>
      <c r="H70" s="38">
        <f t="shared" si="0"/>
        <v>2.1535433070866142E-5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1300</v>
      </c>
      <c r="B71" s="38">
        <v>1.3E-6</v>
      </c>
      <c r="C71" s="38">
        <v>2.48E-7</v>
      </c>
      <c r="D71" s="38">
        <v>4.9500000000000003E-7</v>
      </c>
      <c r="E71" s="3"/>
      <c r="F71" s="38">
        <f t="shared" ref="F71:H126" si="1">B71*1000/25.4</f>
        <v>5.1181102362204728E-5</v>
      </c>
      <c r="G71" s="38">
        <f t="shared" si="1"/>
        <v>9.7637795275590557E-6</v>
      </c>
      <c r="H71" s="38">
        <f t="shared" si="1"/>
        <v>1.9488188976377953E-5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1320</v>
      </c>
      <c r="B72" s="38">
        <v>1.26E-6</v>
      </c>
      <c r="C72" s="38">
        <v>2.5800000000000001E-7</v>
      </c>
      <c r="D72" s="38">
        <v>4.4900000000000001E-7</v>
      </c>
      <c r="E72" s="3"/>
      <c r="F72" s="38">
        <f t="shared" si="1"/>
        <v>4.9606299212598429E-5</v>
      </c>
      <c r="G72" s="38">
        <f t="shared" si="1"/>
        <v>1.015748031496063E-5</v>
      </c>
      <c r="H72" s="38">
        <f t="shared" si="1"/>
        <v>1.7677165354330709E-5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1340</v>
      </c>
      <c r="B73" s="38">
        <v>1.22E-6</v>
      </c>
      <c r="C73" s="38">
        <v>2.6899999999999999E-7</v>
      </c>
      <c r="D73" s="38">
        <v>4.1199999999999998E-7</v>
      </c>
      <c r="E73" s="3"/>
      <c r="F73" s="38">
        <f t="shared" si="1"/>
        <v>4.8031496062992124E-5</v>
      </c>
      <c r="G73" s="38">
        <f t="shared" si="1"/>
        <v>1.0590551181102362E-5</v>
      </c>
      <c r="H73" s="38">
        <f t="shared" si="1"/>
        <v>1.6220472440944883E-5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1360</v>
      </c>
      <c r="B74" s="38">
        <v>1.1799999999999999E-6</v>
      </c>
      <c r="C74" s="38">
        <v>2.8000000000000002E-7</v>
      </c>
      <c r="D74" s="38">
        <v>3.8599999999999999E-7</v>
      </c>
      <c r="E74" s="3"/>
      <c r="F74" s="38">
        <f t="shared" si="1"/>
        <v>4.6456692913385825E-5</v>
      </c>
      <c r="G74" s="38">
        <f t="shared" si="1"/>
        <v>1.1023622047244097E-5</v>
      </c>
      <c r="H74" s="38">
        <f t="shared" si="1"/>
        <v>1.5196850393700789E-5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1380</v>
      </c>
      <c r="B75" s="38">
        <v>1.15E-6</v>
      </c>
      <c r="C75" s="38">
        <v>2.9299999999999999E-7</v>
      </c>
      <c r="D75" s="38">
        <v>3.7399999999999999E-7</v>
      </c>
      <c r="E75" s="3"/>
      <c r="F75" s="38">
        <f t="shared" si="1"/>
        <v>4.5275590551181107E-5</v>
      </c>
      <c r="G75" s="38">
        <f t="shared" si="1"/>
        <v>1.1535433070866141E-5</v>
      </c>
      <c r="H75" s="38">
        <f t="shared" si="1"/>
        <v>1.4724409448818898E-5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1400</v>
      </c>
      <c r="B76" s="38">
        <v>1.1200000000000001E-6</v>
      </c>
      <c r="C76" s="38">
        <v>3.0699999999999998E-7</v>
      </c>
      <c r="D76" s="38">
        <v>3.7800000000000002E-7</v>
      </c>
      <c r="E76" s="3"/>
      <c r="F76" s="38">
        <f t="shared" si="1"/>
        <v>4.4094488188976388E-5</v>
      </c>
      <c r="G76" s="38">
        <f t="shared" si="1"/>
        <v>1.2086614173228347E-5</v>
      </c>
      <c r="H76" s="38">
        <f t="shared" si="1"/>
        <v>1.488188976377953E-5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1420</v>
      </c>
      <c r="B77" s="38">
        <v>1.0899999999999999E-6</v>
      </c>
      <c r="C77" s="38">
        <v>3.2300000000000002E-7</v>
      </c>
      <c r="D77" s="38">
        <v>3.96E-7</v>
      </c>
      <c r="E77" s="3"/>
      <c r="F77" s="38">
        <f t="shared" si="1"/>
        <v>4.2913385826771655E-5</v>
      </c>
      <c r="G77" s="38">
        <f t="shared" si="1"/>
        <v>1.2716535433070868E-5</v>
      </c>
      <c r="H77" s="38">
        <f t="shared" si="1"/>
        <v>1.5590551181102362E-5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1440</v>
      </c>
      <c r="B78" s="38">
        <v>1.06E-6</v>
      </c>
      <c r="C78" s="38">
        <v>3.39E-7</v>
      </c>
      <c r="D78" s="38">
        <v>4.27E-7</v>
      </c>
      <c r="E78" s="3"/>
      <c r="F78" s="38">
        <f t="shared" si="1"/>
        <v>4.173228346456693E-5</v>
      </c>
      <c r="G78" s="38">
        <f t="shared" si="1"/>
        <v>1.3346456692913386E-5</v>
      </c>
      <c r="H78" s="38">
        <f t="shared" si="1"/>
        <v>1.6811023622047246E-5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1460</v>
      </c>
      <c r="B79" s="38">
        <v>1.0300000000000001E-6</v>
      </c>
      <c r="C79" s="38">
        <v>3.5600000000000001E-7</v>
      </c>
      <c r="D79" s="38">
        <v>4.6800000000000001E-7</v>
      </c>
      <c r="E79" s="3"/>
      <c r="F79" s="38">
        <f t="shared" si="1"/>
        <v>4.0551181102362211E-5</v>
      </c>
      <c r="G79" s="38">
        <f t="shared" si="1"/>
        <v>1.4015748031496065E-5</v>
      </c>
      <c r="H79" s="38">
        <f t="shared" si="1"/>
        <v>1.8425196850393703E-5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1480</v>
      </c>
      <c r="B80" s="38">
        <v>1.0100000000000001E-6</v>
      </c>
      <c r="C80" s="38">
        <v>3.7399999999999999E-7</v>
      </c>
      <c r="D80" s="38">
        <v>5.1600000000000001E-7</v>
      </c>
      <c r="E80" s="3"/>
      <c r="F80" s="38">
        <f t="shared" si="1"/>
        <v>3.9763779527559058E-5</v>
      </c>
      <c r="G80" s="38">
        <f t="shared" si="1"/>
        <v>1.4724409448818898E-5</v>
      </c>
      <c r="H80" s="38">
        <f t="shared" si="1"/>
        <v>2.0314960629921261E-5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1500</v>
      </c>
      <c r="B81" s="38">
        <v>9.9099999999999991E-7</v>
      </c>
      <c r="C81" s="38">
        <v>3.9200000000000002E-7</v>
      </c>
      <c r="D81" s="38">
        <v>5.7000000000000005E-7</v>
      </c>
      <c r="E81" s="3"/>
      <c r="F81" s="38">
        <f t="shared" si="1"/>
        <v>3.9015748031496064E-5</v>
      </c>
      <c r="G81" s="38">
        <f t="shared" si="1"/>
        <v>1.5433070866141734E-5</v>
      </c>
      <c r="H81" s="38">
        <f t="shared" si="1"/>
        <v>2.2440944881889767E-5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1520</v>
      </c>
      <c r="B82" s="38">
        <v>9.7600000000000006E-7</v>
      </c>
      <c r="C82" s="38">
        <v>4.1199999999999998E-7</v>
      </c>
      <c r="D82" s="38">
        <v>6.2699999999999999E-7</v>
      </c>
      <c r="E82" s="3"/>
      <c r="F82" s="38">
        <f t="shared" si="1"/>
        <v>3.8425196850393705E-5</v>
      </c>
      <c r="G82" s="38">
        <f t="shared" si="1"/>
        <v>1.6220472440944883E-5</v>
      </c>
      <c r="H82" s="38">
        <f t="shared" si="1"/>
        <v>2.4685039370078739E-5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1540</v>
      </c>
      <c r="B83" s="38">
        <v>9.6599999999999994E-7</v>
      </c>
      <c r="C83" s="38">
        <v>4.3300000000000003E-7</v>
      </c>
      <c r="D83" s="38">
        <v>6.8599999999999998E-7</v>
      </c>
      <c r="E83" s="3"/>
      <c r="F83" s="38">
        <f t="shared" si="1"/>
        <v>3.8031496062992125E-5</v>
      </c>
      <c r="G83" s="38">
        <f t="shared" si="1"/>
        <v>1.7047244094488191E-5</v>
      </c>
      <c r="H83" s="38">
        <f t="shared" si="1"/>
        <v>2.7007874015748031E-5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1560</v>
      </c>
      <c r="B84" s="38">
        <v>9.6200000000000006E-7</v>
      </c>
      <c r="C84" s="38">
        <v>4.5400000000000002E-7</v>
      </c>
      <c r="D84" s="38">
        <v>7.4600000000000004E-7</v>
      </c>
      <c r="E84" s="3"/>
      <c r="F84" s="38">
        <f t="shared" si="1"/>
        <v>3.7874015748031504E-5</v>
      </c>
      <c r="G84" s="38">
        <f t="shared" si="1"/>
        <v>1.7874015748031499E-5</v>
      </c>
      <c r="H84" s="38">
        <f t="shared" si="1"/>
        <v>2.9370078740157483E-5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1580</v>
      </c>
      <c r="B85" s="38">
        <v>9.6700000000000002E-7</v>
      </c>
      <c r="C85" s="38">
        <v>4.7700000000000005E-7</v>
      </c>
      <c r="D85" s="38">
        <v>8.0800000000000004E-7</v>
      </c>
      <c r="E85" s="3"/>
      <c r="F85" s="38">
        <f t="shared" si="1"/>
        <v>3.8070866141732284E-5</v>
      </c>
      <c r="G85" s="38">
        <f t="shared" si="1"/>
        <v>1.8779527559055121E-5</v>
      </c>
      <c r="H85" s="38">
        <f t="shared" si="1"/>
        <v>3.1811023622047248E-5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1600</v>
      </c>
      <c r="B86" s="38">
        <v>9.7999999999999993E-7</v>
      </c>
      <c r="C86" s="38">
        <v>4.9999999999999998E-7</v>
      </c>
      <c r="D86" s="38">
        <v>8.71E-7</v>
      </c>
      <c r="E86" s="3"/>
      <c r="F86" s="38">
        <f t="shared" si="1"/>
        <v>3.8582677165354333E-5</v>
      </c>
      <c r="G86" s="38">
        <f t="shared" si="1"/>
        <v>1.9685039370078743E-5</v>
      </c>
      <c r="H86" s="38">
        <f t="shared" si="1"/>
        <v>3.4291338582677168E-5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1620</v>
      </c>
      <c r="B87" s="38">
        <v>9.9999999999999995E-7</v>
      </c>
      <c r="C87" s="38">
        <v>5.2399999999999998E-7</v>
      </c>
      <c r="D87" s="38">
        <v>9.3399999999999997E-7</v>
      </c>
      <c r="E87" s="3"/>
      <c r="F87" s="38">
        <f t="shared" si="1"/>
        <v>3.9370078740157485E-5</v>
      </c>
      <c r="G87" s="38">
        <f t="shared" si="1"/>
        <v>2.062992125984252E-5</v>
      </c>
      <c r="H87" s="38">
        <f t="shared" si="1"/>
        <v>3.6771653543307089E-5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1640</v>
      </c>
      <c r="B88" s="38">
        <v>1.04E-6</v>
      </c>
      <c r="C88" s="38">
        <v>5.4899999999999995E-7</v>
      </c>
      <c r="D88" s="38">
        <v>9.9399999999999993E-7</v>
      </c>
      <c r="E88" s="3"/>
      <c r="F88" s="38">
        <f t="shared" si="1"/>
        <v>4.0944881889763777E-5</v>
      </c>
      <c r="G88" s="38">
        <f t="shared" si="1"/>
        <v>2.1614173228346455E-5</v>
      </c>
      <c r="H88" s="38">
        <f t="shared" si="1"/>
        <v>3.9133858267716533E-5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1660</v>
      </c>
      <c r="B89" s="38">
        <v>1.0899999999999999E-6</v>
      </c>
      <c r="C89" s="38">
        <v>5.75E-7</v>
      </c>
      <c r="D89" s="38">
        <v>1.0499999999999999E-6</v>
      </c>
      <c r="E89" s="3"/>
      <c r="F89" s="38">
        <f t="shared" si="1"/>
        <v>4.2913385826771655E-5</v>
      </c>
      <c r="G89" s="38">
        <f t="shared" si="1"/>
        <v>2.2637795275590553E-5</v>
      </c>
      <c r="H89" s="38">
        <f t="shared" si="1"/>
        <v>4.1338582677165357E-5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1680</v>
      </c>
      <c r="B90" s="38">
        <v>1.1400000000000001E-6</v>
      </c>
      <c r="C90" s="38">
        <v>6.0100000000000005E-7</v>
      </c>
      <c r="D90" s="38">
        <v>1.11E-6</v>
      </c>
      <c r="E90" s="3"/>
      <c r="F90" s="38">
        <f t="shared" si="1"/>
        <v>4.4881889763779534E-5</v>
      </c>
      <c r="G90" s="38">
        <f t="shared" si="1"/>
        <v>2.3661417322834651E-5</v>
      </c>
      <c r="H90" s="38">
        <f t="shared" si="1"/>
        <v>4.3700787401574801E-5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1700</v>
      </c>
      <c r="B91" s="38">
        <v>1.2100000000000001E-6</v>
      </c>
      <c r="C91" s="38">
        <v>6.2600000000000002E-7</v>
      </c>
      <c r="D91" s="38">
        <v>1.1599999999999999E-6</v>
      </c>
      <c r="E91" s="3"/>
      <c r="F91" s="38">
        <f t="shared" si="1"/>
        <v>4.7637795275590558E-5</v>
      </c>
      <c r="G91" s="38">
        <f t="shared" si="1"/>
        <v>2.4645669291338587E-5</v>
      </c>
      <c r="H91" s="38">
        <f t="shared" si="1"/>
        <v>4.566929133858268E-5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1720</v>
      </c>
      <c r="B92" s="38">
        <v>1.2899999999999999E-6</v>
      </c>
      <c r="C92" s="38">
        <v>6.5199999999999996E-7</v>
      </c>
      <c r="D92" s="38">
        <v>1.2100000000000001E-6</v>
      </c>
      <c r="E92" s="3"/>
      <c r="F92" s="38">
        <f t="shared" si="1"/>
        <v>5.0787401574803148E-5</v>
      </c>
      <c r="G92" s="38">
        <f t="shared" si="1"/>
        <v>2.5669291338582675E-5</v>
      </c>
      <c r="H92" s="38">
        <f t="shared" si="1"/>
        <v>4.7637795275590558E-5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1740</v>
      </c>
      <c r="B93" s="38">
        <v>1.3799999999999999E-6</v>
      </c>
      <c r="C93" s="38">
        <v>6.7599999999999997E-7</v>
      </c>
      <c r="D93" s="38">
        <v>1.2500000000000001E-6</v>
      </c>
      <c r="E93" s="3"/>
      <c r="F93" s="38">
        <f t="shared" si="1"/>
        <v>5.4330708661417325E-5</v>
      </c>
      <c r="G93" s="38">
        <f t="shared" si="1"/>
        <v>2.6614173228346455E-5</v>
      </c>
      <c r="H93" s="38">
        <f t="shared" si="1"/>
        <v>4.9212598425196856E-5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1760</v>
      </c>
      <c r="B94" s="38">
        <v>1.4699999999999999E-6</v>
      </c>
      <c r="C94" s="38">
        <v>6.9800000000000003E-7</v>
      </c>
      <c r="D94" s="38">
        <v>1.2899999999999999E-6</v>
      </c>
      <c r="E94" s="3"/>
      <c r="F94" s="38">
        <f t="shared" si="1"/>
        <v>5.7874015748031495E-5</v>
      </c>
      <c r="G94" s="38">
        <f t="shared" si="1"/>
        <v>2.7480314960629925E-5</v>
      </c>
      <c r="H94" s="38">
        <f t="shared" si="1"/>
        <v>5.0787401574803148E-5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1780</v>
      </c>
      <c r="B95" s="38">
        <v>1.57E-6</v>
      </c>
      <c r="C95" s="38">
        <v>7.1699999999999997E-7</v>
      </c>
      <c r="D95" s="38">
        <v>1.33E-6</v>
      </c>
      <c r="E95" s="3"/>
      <c r="F95" s="38">
        <f t="shared" si="1"/>
        <v>6.1811023622047252E-5</v>
      </c>
      <c r="G95" s="38">
        <f t="shared" si="1"/>
        <v>2.8228346456692912E-5</v>
      </c>
      <c r="H95" s="38">
        <f t="shared" si="1"/>
        <v>5.2362204724409454E-5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1800</v>
      </c>
      <c r="B96" s="38">
        <v>1.66E-6</v>
      </c>
      <c r="C96" s="38">
        <v>7.3399999999999998E-7</v>
      </c>
      <c r="D96" s="38">
        <v>1.3599999999999999E-6</v>
      </c>
      <c r="E96" s="3"/>
      <c r="F96" s="38">
        <f t="shared" si="1"/>
        <v>6.5354330708661422E-5</v>
      </c>
      <c r="G96" s="38">
        <f t="shared" si="1"/>
        <v>2.8897637795275589E-5</v>
      </c>
      <c r="H96" s="38">
        <f t="shared" si="1"/>
        <v>5.3543307086614173E-5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1820</v>
      </c>
      <c r="B97" s="38">
        <v>1.75E-6</v>
      </c>
      <c r="C97" s="38">
        <v>7.4600000000000004E-7</v>
      </c>
      <c r="D97" s="38">
        <v>1.3799999999999999E-6</v>
      </c>
      <c r="E97" s="3"/>
      <c r="F97" s="38">
        <f t="shared" si="1"/>
        <v>6.8897637795275592E-5</v>
      </c>
      <c r="G97" s="38">
        <f t="shared" si="1"/>
        <v>2.9370078740157483E-5</v>
      </c>
      <c r="H97" s="38">
        <f t="shared" si="1"/>
        <v>5.4330708661417325E-5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1840</v>
      </c>
      <c r="B98" s="38">
        <v>1.84E-6</v>
      </c>
      <c r="C98" s="38">
        <v>7.5499999999999997E-7</v>
      </c>
      <c r="D98" s="38">
        <v>1.4100000000000001E-6</v>
      </c>
      <c r="E98" s="3"/>
      <c r="F98" s="38">
        <f t="shared" si="1"/>
        <v>7.2440944881889776E-5</v>
      </c>
      <c r="G98" s="38">
        <f t="shared" si="1"/>
        <v>2.9724409448818897E-5</v>
      </c>
      <c r="H98" s="38">
        <f t="shared" si="1"/>
        <v>5.5511811023622051E-5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1860</v>
      </c>
      <c r="B99" s="38">
        <v>1.9099999999999999E-6</v>
      </c>
      <c r="C99" s="38">
        <v>7.5899999999999995E-7</v>
      </c>
      <c r="D99" s="38">
        <v>1.4300000000000001E-6</v>
      </c>
      <c r="E99" s="3"/>
      <c r="F99" s="38">
        <f t="shared" si="1"/>
        <v>7.5196850393700787E-5</v>
      </c>
      <c r="G99" s="38">
        <f t="shared" si="1"/>
        <v>2.9881889763779525E-5</v>
      </c>
      <c r="H99" s="38">
        <f t="shared" si="1"/>
        <v>5.6299212598425204E-5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1880</v>
      </c>
      <c r="B100" s="38">
        <v>1.9700000000000002E-6</v>
      </c>
      <c r="C100" s="38">
        <v>7.5799999999999998E-7</v>
      </c>
      <c r="D100" s="38">
        <v>1.44E-6</v>
      </c>
      <c r="E100" s="3"/>
      <c r="F100" s="38">
        <f t="shared" si="1"/>
        <v>7.7559055118110252E-5</v>
      </c>
      <c r="G100" s="38">
        <f t="shared" si="1"/>
        <v>2.9842519685039373E-5</v>
      </c>
      <c r="H100" s="38">
        <f t="shared" si="1"/>
        <v>5.669291338582677E-5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1900</v>
      </c>
      <c r="B101" s="38">
        <v>2.0200000000000001E-6</v>
      </c>
      <c r="C101" s="38">
        <v>7.54E-7</v>
      </c>
      <c r="D101" s="38">
        <v>1.46E-6</v>
      </c>
      <c r="E101" s="3"/>
      <c r="F101" s="38">
        <f t="shared" si="1"/>
        <v>7.9527559055118116E-5</v>
      </c>
      <c r="G101" s="38">
        <f t="shared" si="1"/>
        <v>2.9685039370078742E-5</v>
      </c>
      <c r="H101" s="38">
        <f t="shared" si="1"/>
        <v>5.7480314960629922E-5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1920</v>
      </c>
      <c r="B102" s="38">
        <v>2.0600000000000002E-6</v>
      </c>
      <c r="C102" s="38">
        <v>7.4600000000000004E-7</v>
      </c>
      <c r="D102" s="38">
        <v>1.4699999999999999E-6</v>
      </c>
      <c r="E102" s="3"/>
      <c r="F102" s="38">
        <f t="shared" si="1"/>
        <v>8.1102362204724422E-5</v>
      </c>
      <c r="G102" s="38">
        <f t="shared" si="1"/>
        <v>2.9370078740157483E-5</v>
      </c>
      <c r="H102" s="38">
        <f t="shared" si="1"/>
        <v>5.7874015748031495E-5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1940</v>
      </c>
      <c r="B103" s="38">
        <v>2.0899999999999999E-6</v>
      </c>
      <c r="C103" s="38">
        <v>7.3499999999999995E-7</v>
      </c>
      <c r="D103" s="38">
        <v>1.48E-6</v>
      </c>
      <c r="E103" s="3"/>
      <c r="F103" s="38">
        <f t="shared" si="1"/>
        <v>8.2283464566929127E-5</v>
      </c>
      <c r="G103" s="38">
        <f t="shared" si="1"/>
        <v>2.8937007874015748E-5</v>
      </c>
      <c r="H103" s="38">
        <f t="shared" si="1"/>
        <v>5.8267716535433075E-5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1960</v>
      </c>
      <c r="B104" s="38">
        <v>2.1100000000000001E-6</v>
      </c>
      <c r="C104" s="38">
        <v>7.2099999999999996E-7</v>
      </c>
      <c r="D104" s="38">
        <v>1.48E-6</v>
      </c>
      <c r="E104" s="3"/>
      <c r="F104" s="38">
        <f t="shared" si="1"/>
        <v>8.30708661417323E-5</v>
      </c>
      <c r="G104" s="38">
        <f t="shared" si="1"/>
        <v>2.8385826771653544E-5</v>
      </c>
      <c r="H104" s="38">
        <f t="shared" si="1"/>
        <v>5.8267716535433075E-5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1980</v>
      </c>
      <c r="B105" s="38">
        <v>2.1100000000000001E-6</v>
      </c>
      <c r="C105" s="38">
        <v>7.06E-7</v>
      </c>
      <c r="D105" s="38">
        <v>1.48E-6</v>
      </c>
      <c r="E105" s="3"/>
      <c r="F105" s="38">
        <f t="shared" si="1"/>
        <v>8.30708661417323E-5</v>
      </c>
      <c r="G105" s="38">
        <f t="shared" si="1"/>
        <v>2.7795275590551184E-5</v>
      </c>
      <c r="H105" s="38">
        <f t="shared" si="1"/>
        <v>5.8267716535433075E-5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2000</v>
      </c>
      <c r="B106" s="38">
        <v>2.1100000000000001E-6</v>
      </c>
      <c r="C106" s="38">
        <v>6.8899999999999999E-7</v>
      </c>
      <c r="D106" s="38">
        <v>1.4899999999999999E-6</v>
      </c>
      <c r="E106" s="3"/>
      <c r="F106" s="38">
        <f t="shared" si="1"/>
        <v>8.30708661417323E-5</v>
      </c>
      <c r="G106" s="38">
        <f t="shared" si="1"/>
        <v>2.7125984251968504E-5</v>
      </c>
      <c r="H106" s="38">
        <f t="shared" si="1"/>
        <v>5.8661417322834648E-5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2020</v>
      </c>
      <c r="B107" s="38">
        <v>2.1100000000000001E-6</v>
      </c>
      <c r="C107" s="38">
        <v>6.7199999999999998E-7</v>
      </c>
      <c r="D107" s="38">
        <v>1.4899999999999999E-6</v>
      </c>
      <c r="E107" s="3"/>
      <c r="F107" s="38">
        <f t="shared" si="1"/>
        <v>8.30708661417323E-5</v>
      </c>
      <c r="G107" s="38">
        <f t="shared" si="1"/>
        <v>2.6456692913385827E-5</v>
      </c>
      <c r="H107" s="38">
        <f t="shared" si="1"/>
        <v>5.8661417322834648E-5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2040</v>
      </c>
      <c r="B108" s="38">
        <v>2.0999999999999998E-6</v>
      </c>
      <c r="C108" s="38">
        <v>6.5499999999999998E-7</v>
      </c>
      <c r="D108" s="38">
        <v>1.4899999999999999E-6</v>
      </c>
      <c r="E108" s="3"/>
      <c r="F108" s="38">
        <f t="shared" si="1"/>
        <v>8.2677165354330713E-5</v>
      </c>
      <c r="G108" s="38">
        <f t="shared" si="1"/>
        <v>2.578740157480315E-5</v>
      </c>
      <c r="H108" s="38">
        <f t="shared" si="1"/>
        <v>5.8661417322834648E-5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2060</v>
      </c>
      <c r="B109" s="38">
        <v>2.08E-6</v>
      </c>
      <c r="C109" s="38">
        <v>6.3799999999999997E-7</v>
      </c>
      <c r="D109" s="38">
        <v>1.4899999999999999E-6</v>
      </c>
      <c r="E109" s="3"/>
      <c r="F109" s="38">
        <f t="shared" si="1"/>
        <v>8.1889763779527554E-5</v>
      </c>
      <c r="G109" s="38">
        <f t="shared" si="1"/>
        <v>2.5118110236220474E-5</v>
      </c>
      <c r="H109" s="38">
        <f t="shared" si="1"/>
        <v>5.8661417322834648E-5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2080</v>
      </c>
      <c r="B110" s="38">
        <v>2.0600000000000002E-6</v>
      </c>
      <c r="C110" s="38">
        <v>6.2200000000000004E-7</v>
      </c>
      <c r="D110" s="38">
        <v>1.48E-6</v>
      </c>
      <c r="E110" s="3"/>
      <c r="F110" s="38">
        <f t="shared" si="1"/>
        <v>8.1102362204724422E-5</v>
      </c>
      <c r="G110" s="38">
        <f t="shared" si="1"/>
        <v>2.4488188976377956E-5</v>
      </c>
      <c r="H110" s="38">
        <f t="shared" si="1"/>
        <v>5.8267716535433075E-5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2100</v>
      </c>
      <c r="B111" s="38">
        <v>2.04E-6</v>
      </c>
      <c r="C111" s="38">
        <v>6.0500000000000003E-7</v>
      </c>
      <c r="D111" s="38">
        <v>1.48E-6</v>
      </c>
      <c r="E111" s="3"/>
      <c r="F111" s="38">
        <f t="shared" si="1"/>
        <v>8.0314960629921276E-5</v>
      </c>
      <c r="G111" s="38">
        <f t="shared" si="1"/>
        <v>2.3818897637795279E-5</v>
      </c>
      <c r="H111" s="38">
        <f t="shared" si="1"/>
        <v>5.8267716535433075E-5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2120</v>
      </c>
      <c r="B112" s="38">
        <v>2.0200000000000001E-6</v>
      </c>
      <c r="C112" s="38">
        <v>5.8999999999999996E-7</v>
      </c>
      <c r="D112" s="38">
        <v>1.48E-6</v>
      </c>
      <c r="E112" s="3"/>
      <c r="F112" s="38">
        <f t="shared" si="1"/>
        <v>7.9527559055118116E-5</v>
      </c>
      <c r="G112" s="38">
        <f t="shared" si="1"/>
        <v>2.3228346456692913E-5</v>
      </c>
      <c r="H112" s="38">
        <f t="shared" si="1"/>
        <v>5.8267716535433075E-5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2140</v>
      </c>
      <c r="B113" s="38">
        <v>1.9999999999999999E-6</v>
      </c>
      <c r="C113" s="38">
        <v>5.75E-7</v>
      </c>
      <c r="D113" s="38">
        <v>1.4699999999999999E-6</v>
      </c>
      <c r="E113" s="3"/>
      <c r="F113" s="38">
        <f t="shared" si="1"/>
        <v>7.874015748031497E-5</v>
      </c>
      <c r="G113" s="38">
        <f t="shared" si="1"/>
        <v>2.2637795275590553E-5</v>
      </c>
      <c r="H113" s="38">
        <f t="shared" si="1"/>
        <v>5.7874015748031495E-5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2160</v>
      </c>
      <c r="B114" s="38">
        <v>1.9800000000000001E-6</v>
      </c>
      <c r="C114" s="38">
        <v>5.6000000000000004E-7</v>
      </c>
      <c r="D114" s="38">
        <v>1.4699999999999999E-6</v>
      </c>
      <c r="E114" s="3"/>
      <c r="F114" s="38">
        <f t="shared" si="1"/>
        <v>7.7952755905511811E-5</v>
      </c>
      <c r="G114" s="38">
        <f t="shared" si="1"/>
        <v>2.2047244094488194E-5</v>
      </c>
      <c r="H114" s="38">
        <f t="shared" si="1"/>
        <v>5.7874015748031495E-5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2180</v>
      </c>
      <c r="B115" s="38">
        <v>1.9599999999999999E-6</v>
      </c>
      <c r="C115" s="38">
        <v>5.4700000000000001E-7</v>
      </c>
      <c r="D115" s="38">
        <v>1.46E-6</v>
      </c>
      <c r="E115" s="3"/>
      <c r="F115" s="38">
        <f t="shared" si="1"/>
        <v>7.7165354330708665E-5</v>
      </c>
      <c r="G115" s="38">
        <f t="shared" si="1"/>
        <v>2.1535433070866142E-5</v>
      </c>
      <c r="H115" s="38">
        <f t="shared" si="1"/>
        <v>5.7480314960629922E-5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2200</v>
      </c>
      <c r="B116" s="38">
        <v>1.9400000000000001E-6</v>
      </c>
      <c r="C116" s="38">
        <v>5.3399999999999999E-7</v>
      </c>
      <c r="D116" s="38">
        <v>1.46E-6</v>
      </c>
      <c r="E116" s="3"/>
      <c r="F116" s="38">
        <f t="shared" si="1"/>
        <v>7.6377952755905519E-5</v>
      </c>
      <c r="G116" s="38">
        <f t="shared" si="1"/>
        <v>2.1023622047244096E-5</v>
      </c>
      <c r="H116" s="38">
        <f t="shared" si="1"/>
        <v>5.7480314960629922E-5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2220</v>
      </c>
      <c r="B117" s="38">
        <v>1.9199999999999998E-6</v>
      </c>
      <c r="C117" s="38">
        <v>5.2200000000000004E-7</v>
      </c>
      <c r="D117" s="38">
        <v>1.4500000000000001E-6</v>
      </c>
      <c r="E117" s="3"/>
      <c r="F117" s="38">
        <f t="shared" si="1"/>
        <v>7.559055118110236E-5</v>
      </c>
      <c r="G117" s="38">
        <f t="shared" si="1"/>
        <v>2.0551181102362206E-5</v>
      </c>
      <c r="H117" s="38">
        <f t="shared" si="1"/>
        <v>5.7086614173228356E-5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2240</v>
      </c>
      <c r="B118" s="38">
        <v>1.9E-6</v>
      </c>
      <c r="C118" s="38">
        <v>5.1099999999999996E-7</v>
      </c>
      <c r="D118" s="38">
        <v>1.4500000000000001E-6</v>
      </c>
      <c r="E118" s="3"/>
      <c r="F118" s="38">
        <f t="shared" si="1"/>
        <v>7.4803149606299214E-5</v>
      </c>
      <c r="G118" s="38">
        <f t="shared" si="1"/>
        <v>2.0118110236220471E-5</v>
      </c>
      <c r="H118" s="38">
        <f t="shared" si="1"/>
        <v>5.7086614173228356E-5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2260</v>
      </c>
      <c r="B119" s="38">
        <v>1.88E-6</v>
      </c>
      <c r="C119" s="38">
        <v>4.9999999999999998E-7</v>
      </c>
      <c r="D119" s="38">
        <v>1.44E-6</v>
      </c>
      <c r="E119" s="3"/>
      <c r="F119" s="38">
        <f t="shared" si="1"/>
        <v>7.4015748031496068E-5</v>
      </c>
      <c r="G119" s="38">
        <f t="shared" si="1"/>
        <v>1.9685039370078743E-5</v>
      </c>
      <c r="H119" s="38">
        <f t="shared" si="1"/>
        <v>5.669291338582677E-5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2280</v>
      </c>
      <c r="B120" s="38">
        <v>1.86E-6</v>
      </c>
      <c r="C120" s="38">
        <v>4.8999999999999997E-7</v>
      </c>
      <c r="D120" s="38">
        <v>1.4300000000000001E-6</v>
      </c>
      <c r="E120" s="3"/>
      <c r="F120" s="38">
        <f t="shared" si="1"/>
        <v>7.3228346456692908E-5</v>
      </c>
      <c r="G120" s="38">
        <f t="shared" si="1"/>
        <v>1.9291338582677166E-5</v>
      </c>
      <c r="H120" s="38">
        <f t="shared" si="1"/>
        <v>5.6299212598425204E-5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2300</v>
      </c>
      <c r="B121" s="38">
        <v>1.84E-6</v>
      </c>
      <c r="C121" s="38">
        <v>4.7999999999999996E-7</v>
      </c>
      <c r="D121" s="38">
        <v>1.4300000000000001E-6</v>
      </c>
      <c r="E121" s="3"/>
      <c r="F121" s="38">
        <f t="shared" si="1"/>
        <v>7.2440944881889776E-5</v>
      </c>
      <c r="G121" s="38">
        <f t="shared" si="1"/>
        <v>1.889763779527559E-5</v>
      </c>
      <c r="H121" s="38">
        <f t="shared" si="1"/>
        <v>5.6299212598425204E-5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2320</v>
      </c>
      <c r="B122" s="38">
        <v>1.8199999999999999E-6</v>
      </c>
      <c r="C122" s="38">
        <v>4.7100000000000002E-7</v>
      </c>
      <c r="D122" s="38">
        <v>1.42E-6</v>
      </c>
      <c r="E122" s="3"/>
      <c r="F122" s="38">
        <f t="shared" si="1"/>
        <v>7.1653543307086617E-5</v>
      </c>
      <c r="G122" s="38">
        <f t="shared" si="1"/>
        <v>1.8543307086614176E-5</v>
      </c>
      <c r="H122" s="38">
        <f t="shared" si="1"/>
        <v>5.5905511811023624E-5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2340</v>
      </c>
      <c r="B123" s="38">
        <v>1.81E-6</v>
      </c>
      <c r="C123" s="38">
        <v>4.6199999999999998E-7</v>
      </c>
      <c r="D123" s="38">
        <v>1.4100000000000001E-6</v>
      </c>
      <c r="E123" s="3"/>
      <c r="F123" s="38">
        <f t="shared" si="1"/>
        <v>7.1259842519685044E-5</v>
      </c>
      <c r="G123" s="38">
        <f t="shared" si="1"/>
        <v>1.8188976377952755E-5</v>
      </c>
      <c r="H123" s="38">
        <f t="shared" si="1"/>
        <v>5.5511811023622051E-5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2360</v>
      </c>
      <c r="B124" s="38">
        <v>1.79E-6</v>
      </c>
      <c r="C124" s="38">
        <v>4.5400000000000002E-7</v>
      </c>
      <c r="D124" s="38">
        <v>1.4100000000000001E-6</v>
      </c>
      <c r="E124" s="3"/>
      <c r="F124" s="38">
        <f t="shared" si="1"/>
        <v>7.0472440944881884E-5</v>
      </c>
      <c r="G124" s="38">
        <f t="shared" si="1"/>
        <v>1.7874015748031499E-5</v>
      </c>
      <c r="H124" s="38">
        <f t="shared" si="1"/>
        <v>5.5511811023622051E-5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2380</v>
      </c>
      <c r="B125" s="38">
        <v>1.77E-6</v>
      </c>
      <c r="C125" s="38">
        <v>4.46E-7</v>
      </c>
      <c r="D125" s="38">
        <v>1.3999999999999999E-6</v>
      </c>
      <c r="E125" s="3"/>
      <c r="F125" s="38">
        <f t="shared" si="1"/>
        <v>6.9685039370078752E-5</v>
      </c>
      <c r="G125" s="38">
        <f t="shared" si="1"/>
        <v>1.7559055118110236E-5</v>
      </c>
      <c r="H125" s="38">
        <f t="shared" si="1"/>
        <v>5.5118110236220478E-5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2400</v>
      </c>
      <c r="B126" s="38">
        <v>1.7600000000000001E-6</v>
      </c>
      <c r="C126" s="38">
        <v>4.39E-7</v>
      </c>
      <c r="D126" s="38">
        <v>1.39E-6</v>
      </c>
      <c r="E126" s="3"/>
      <c r="F126" s="38">
        <f t="shared" si="1"/>
        <v>6.9291338582677165E-5</v>
      </c>
      <c r="G126" s="38">
        <f t="shared" si="1"/>
        <v>1.7283464566929136E-5</v>
      </c>
      <c r="H126" s="38">
        <f t="shared" si="1"/>
        <v>5.4724409448818898E-5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3.0299999999999998E-6</v>
      </c>
      <c r="C128" s="38">
        <f>MAX(C6:C126)</f>
        <v>7.5899999999999995E-7</v>
      </c>
      <c r="D128" s="38">
        <f>MAX(D6:D126)</f>
        <v>1.68E-6</v>
      </c>
      <c r="E128" s="4"/>
      <c r="F128" s="38">
        <f>MAX(F20:F126)</f>
        <v>1.1929133858267716E-4</v>
      </c>
      <c r="G128" s="38">
        <f>MAX(G20:G126)</f>
        <v>2.9881889763779525E-5</v>
      </c>
      <c r="H128" s="38">
        <f>MAX(H20:H126)</f>
        <v>6.6141732283464568E-5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5.7114154442262433E-4</v>
      </c>
      <c r="C129" s="38">
        <f>C128*limits!$E29</f>
        <v>1.4306812944447916E-4</v>
      </c>
      <c r="D129" s="38">
        <f>D128*limits!$E29</f>
        <v>3.1667253948185111E-4</v>
      </c>
      <c r="E129" s="4"/>
      <c r="F129" s="38">
        <f>F128*limits!$E29</f>
        <v>2.2485887575693871E-2</v>
      </c>
      <c r="G129" s="38">
        <f>G128*limits!$E29</f>
        <v>5.6326035214361875E-3</v>
      </c>
      <c r="H129" s="38">
        <f>H128*limits!$E29</f>
        <v>1.2467422814246107E-2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A4:A5"/>
    <mergeCell ref="B4:D4"/>
    <mergeCell ref="F4:H4"/>
  </mergeCells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8821-8632-4D6C-A1DC-D04593A415C9}">
  <dimension ref="A1:AD140"/>
  <sheetViews>
    <sheetView showGridLines="0" topLeftCell="B1" zoomScaleNormal="100" workbookViewId="0">
      <selection activeCell="I41" sqref="I41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32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40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2" t="s">
        <v>35</v>
      </c>
      <c r="B4" s="41" t="s">
        <v>36</v>
      </c>
      <c r="C4" s="41"/>
      <c r="D4" s="41"/>
      <c r="E4" s="3"/>
      <c r="F4" s="41" t="s">
        <v>37</v>
      </c>
      <c r="G4" s="41"/>
      <c r="H4" s="4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3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8.4299999999999997E-17</v>
      </c>
      <c r="C6" s="38">
        <v>7.7499999999999996E-18</v>
      </c>
      <c r="D6" s="38">
        <v>7.6600000000000002E-17</v>
      </c>
      <c r="E6" s="3"/>
      <c r="F6" s="38">
        <f>B6*1000/25.4</f>
        <v>3.3188976377952754E-15</v>
      </c>
      <c r="G6" s="38">
        <f>C6*1000/25.4</f>
        <v>3.0511811023622051E-16</v>
      </c>
      <c r="H6" s="38">
        <f>D6*1000/25.4</f>
        <v>3.015748031496063E-15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20</v>
      </c>
      <c r="B7" s="38">
        <v>3.7000000000000001E-10</v>
      </c>
      <c r="C7" s="38">
        <v>3.3999999999999999E-11</v>
      </c>
      <c r="D7" s="38">
        <v>3.3599999999999998E-10</v>
      </c>
      <c r="E7" s="3"/>
      <c r="F7" s="38">
        <f t="shared" ref="F7:H70" si="0">B7*1000/25.4</f>
        <v>1.4566929133858269E-8</v>
      </c>
      <c r="G7" s="38">
        <f t="shared" si="0"/>
        <v>1.3385826771653545E-9</v>
      </c>
      <c r="H7" s="38">
        <f t="shared" si="0"/>
        <v>1.3228346456692913E-8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40</v>
      </c>
      <c r="B8" s="38">
        <v>1.4800000000000001E-9</v>
      </c>
      <c r="C8" s="38">
        <v>1.36E-10</v>
      </c>
      <c r="D8" s="38">
        <v>1.3399999999999999E-9</v>
      </c>
      <c r="E8" s="3"/>
      <c r="F8" s="38">
        <f t="shared" si="0"/>
        <v>5.8267716535433076E-8</v>
      </c>
      <c r="G8" s="38">
        <f t="shared" si="0"/>
        <v>5.354330708661418E-9</v>
      </c>
      <c r="H8" s="38">
        <f t="shared" si="0"/>
        <v>5.2755905511811021E-8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60</v>
      </c>
      <c r="B9" s="38">
        <v>3.3499999999999998E-9</v>
      </c>
      <c r="C9" s="38">
        <v>3.0700000000000003E-10</v>
      </c>
      <c r="D9" s="38">
        <v>3.0199999999999999E-9</v>
      </c>
      <c r="E9" s="3"/>
      <c r="F9" s="38">
        <f t="shared" si="0"/>
        <v>1.3188976377952756E-7</v>
      </c>
      <c r="G9" s="38">
        <f t="shared" si="0"/>
        <v>1.2086614173228348E-8</v>
      </c>
      <c r="H9" s="38">
        <f t="shared" si="0"/>
        <v>1.188976377952756E-7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80</v>
      </c>
      <c r="B10" s="38">
        <v>5.9799999999999996E-9</v>
      </c>
      <c r="C10" s="38">
        <v>5.4899999999999997E-10</v>
      </c>
      <c r="D10" s="38">
        <v>5.3700000000000003E-9</v>
      </c>
      <c r="E10" s="3"/>
      <c r="F10" s="38">
        <f t="shared" si="0"/>
        <v>2.3543307086614172E-7</v>
      </c>
      <c r="G10" s="38">
        <f t="shared" si="0"/>
        <v>2.1614173228346457E-8</v>
      </c>
      <c r="H10" s="38">
        <f t="shared" si="0"/>
        <v>2.114173228346457E-7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100</v>
      </c>
      <c r="B11" s="38">
        <v>9.4099999999999996E-9</v>
      </c>
      <c r="C11" s="38">
        <v>8.6300000000000002E-10</v>
      </c>
      <c r="D11" s="38">
        <v>8.3899999999999994E-9</v>
      </c>
      <c r="E11" s="3"/>
      <c r="F11" s="38">
        <f t="shared" si="0"/>
        <v>3.7047244094488189E-7</v>
      </c>
      <c r="G11" s="38">
        <f t="shared" si="0"/>
        <v>3.3976377952755911E-8</v>
      </c>
      <c r="H11" s="38">
        <f t="shared" si="0"/>
        <v>3.3031496062992124E-7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120</v>
      </c>
      <c r="B12" s="38">
        <v>1.37E-8</v>
      </c>
      <c r="C12" s="38">
        <v>1.25E-9</v>
      </c>
      <c r="D12" s="38">
        <v>1.2100000000000001E-8</v>
      </c>
      <c r="E12" s="3"/>
      <c r="F12" s="38">
        <f t="shared" si="0"/>
        <v>5.3937007874015757E-7</v>
      </c>
      <c r="G12" s="38">
        <f t="shared" si="0"/>
        <v>4.9212598425196858E-8</v>
      </c>
      <c r="H12" s="38">
        <f t="shared" si="0"/>
        <v>4.7637795275590556E-7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140</v>
      </c>
      <c r="B13" s="38">
        <v>1.88E-8</v>
      </c>
      <c r="C13" s="38">
        <v>1.7200000000000001E-9</v>
      </c>
      <c r="D13" s="38">
        <v>1.6499999999999999E-8</v>
      </c>
      <c r="E13" s="3"/>
      <c r="F13" s="38">
        <f t="shared" si="0"/>
        <v>7.4015748031496067E-7</v>
      </c>
      <c r="G13" s="38">
        <f t="shared" si="0"/>
        <v>6.7716535433070877E-8</v>
      </c>
      <c r="H13" s="38">
        <f t="shared" si="0"/>
        <v>6.4960629921259836E-7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160</v>
      </c>
      <c r="B14" s="38">
        <v>2.48E-8</v>
      </c>
      <c r="C14" s="38">
        <v>2.2600000000000001E-9</v>
      </c>
      <c r="D14" s="38">
        <v>2.1699999999999999E-8</v>
      </c>
      <c r="E14" s="3"/>
      <c r="F14" s="38">
        <f t="shared" si="0"/>
        <v>9.7637795275590548E-7</v>
      </c>
      <c r="G14" s="38">
        <f t="shared" si="0"/>
        <v>8.8976377952755914E-8</v>
      </c>
      <c r="H14" s="38">
        <f t="shared" si="0"/>
        <v>8.5433070866141735E-7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180</v>
      </c>
      <c r="B15" s="38">
        <v>3.18E-8</v>
      </c>
      <c r="C15" s="38">
        <v>2.8900000000000002E-9</v>
      </c>
      <c r="D15" s="38">
        <v>2.7599999999999999E-8</v>
      </c>
      <c r="E15" s="3"/>
      <c r="F15" s="38">
        <f t="shared" si="0"/>
        <v>1.251968503937008E-6</v>
      </c>
      <c r="G15" s="38">
        <f t="shared" si="0"/>
        <v>1.1377952755905513E-7</v>
      </c>
      <c r="H15" s="38">
        <f t="shared" si="0"/>
        <v>1.0866141732283465E-6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200</v>
      </c>
      <c r="B16" s="38">
        <v>3.9799999999999999E-8</v>
      </c>
      <c r="C16" s="38">
        <v>3.6199999999999999E-9</v>
      </c>
      <c r="D16" s="38">
        <v>3.4300000000000003E-8</v>
      </c>
      <c r="E16" s="3"/>
      <c r="F16" s="38">
        <f t="shared" si="0"/>
        <v>1.5669291338582677E-6</v>
      </c>
      <c r="G16" s="38">
        <f t="shared" si="0"/>
        <v>1.425196850393701E-7</v>
      </c>
      <c r="H16" s="38">
        <f t="shared" si="0"/>
        <v>1.3503937007874017E-6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220</v>
      </c>
      <c r="B17" s="38">
        <v>4.8900000000000001E-8</v>
      </c>
      <c r="C17" s="38">
        <v>4.4299999999999998E-9</v>
      </c>
      <c r="D17" s="38">
        <v>4.1899999999999998E-8</v>
      </c>
      <c r="E17" s="3"/>
      <c r="F17" s="38">
        <f t="shared" si="0"/>
        <v>1.9251968503937009E-6</v>
      </c>
      <c r="G17" s="38">
        <f t="shared" si="0"/>
        <v>1.7440944881889766E-7</v>
      </c>
      <c r="H17" s="38">
        <f t="shared" si="0"/>
        <v>1.6496062992125984E-6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240</v>
      </c>
      <c r="B18" s="38">
        <v>5.91E-8</v>
      </c>
      <c r="C18" s="38">
        <v>5.3499999999999999E-9</v>
      </c>
      <c r="D18" s="38">
        <v>5.0400000000000001E-8</v>
      </c>
      <c r="E18" s="3"/>
      <c r="F18" s="38">
        <f t="shared" si="0"/>
        <v>2.3267716535433071E-6</v>
      </c>
      <c r="G18" s="38">
        <f t="shared" si="0"/>
        <v>2.106299212598425E-7</v>
      </c>
      <c r="H18" s="38">
        <f t="shared" si="0"/>
        <v>1.9842519685039372E-6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260</v>
      </c>
      <c r="B19" s="38">
        <v>7.0700000000000004E-8</v>
      </c>
      <c r="C19" s="38">
        <v>6.3700000000000001E-9</v>
      </c>
      <c r="D19" s="38">
        <v>5.9800000000000006E-8</v>
      </c>
      <c r="E19" s="3"/>
      <c r="F19" s="38">
        <f t="shared" si="0"/>
        <v>2.7834645669291343E-6</v>
      </c>
      <c r="G19" s="38">
        <f t="shared" si="0"/>
        <v>2.5078740157480316E-7</v>
      </c>
      <c r="H19" s="38">
        <f t="shared" si="0"/>
        <v>2.3543307086614176E-6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280</v>
      </c>
      <c r="B20" s="38">
        <v>8.3599999999999994E-8</v>
      </c>
      <c r="C20" s="38">
        <v>7.4999999999999993E-9</v>
      </c>
      <c r="D20" s="38">
        <v>7.0099999999999999E-8</v>
      </c>
      <c r="E20" s="3"/>
      <c r="F20" s="38">
        <f t="shared" si="0"/>
        <v>3.2913385826771657E-6</v>
      </c>
      <c r="G20" s="38">
        <f t="shared" si="0"/>
        <v>2.9527559055118109E-7</v>
      </c>
      <c r="H20" s="38">
        <f t="shared" si="0"/>
        <v>2.7598425196850392E-6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300</v>
      </c>
      <c r="B21" s="38">
        <v>9.8000000000000004E-8</v>
      </c>
      <c r="C21" s="38">
        <v>8.7500000000000006E-9</v>
      </c>
      <c r="D21" s="38">
        <v>8.1600000000000003E-8</v>
      </c>
      <c r="E21" s="3"/>
      <c r="F21" s="38">
        <f t="shared" si="0"/>
        <v>3.8582677165354334E-6</v>
      </c>
      <c r="G21" s="38">
        <f t="shared" si="0"/>
        <v>3.4448818897637803E-7</v>
      </c>
      <c r="H21" s="38">
        <f t="shared" si="0"/>
        <v>3.2125984251968509E-6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320</v>
      </c>
      <c r="B22" s="38">
        <v>1.14E-7</v>
      </c>
      <c r="C22" s="38">
        <v>1.0099999999999999E-8</v>
      </c>
      <c r="D22" s="38">
        <v>9.4100000000000002E-8</v>
      </c>
      <c r="E22" s="3"/>
      <c r="F22" s="38">
        <f t="shared" si="0"/>
        <v>4.4881889763779532E-6</v>
      </c>
      <c r="G22" s="38">
        <f t="shared" si="0"/>
        <v>3.9763779527559059E-7</v>
      </c>
      <c r="H22" s="38">
        <f t="shared" si="0"/>
        <v>3.7047244094488188E-6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340</v>
      </c>
      <c r="B23" s="38">
        <v>1.3199999999999999E-7</v>
      </c>
      <c r="C23" s="38">
        <v>1.1700000000000001E-8</v>
      </c>
      <c r="D23" s="38">
        <v>1.08E-7</v>
      </c>
      <c r="E23" s="3"/>
      <c r="F23" s="38">
        <f t="shared" si="0"/>
        <v>5.1968503937007869E-6</v>
      </c>
      <c r="G23" s="38">
        <f t="shared" si="0"/>
        <v>4.6062992125984254E-7</v>
      </c>
      <c r="H23" s="38">
        <f t="shared" si="0"/>
        <v>4.2519685039370081E-6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360</v>
      </c>
      <c r="B24" s="38">
        <v>1.5200000000000001E-7</v>
      </c>
      <c r="C24" s="38">
        <v>1.33E-8</v>
      </c>
      <c r="D24" s="38">
        <v>1.23E-7</v>
      </c>
      <c r="E24" s="3"/>
      <c r="F24" s="38">
        <f t="shared" si="0"/>
        <v>5.9842519685039379E-6</v>
      </c>
      <c r="G24" s="38">
        <f t="shared" si="0"/>
        <v>5.2362204724409455E-7</v>
      </c>
      <c r="H24" s="38">
        <f t="shared" si="0"/>
        <v>4.8425196850393709E-6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380</v>
      </c>
      <c r="B25" s="38">
        <v>1.73E-7</v>
      </c>
      <c r="C25" s="38">
        <v>1.52E-8</v>
      </c>
      <c r="D25" s="38">
        <v>1.3899999999999999E-7</v>
      </c>
      <c r="E25" s="3"/>
      <c r="F25" s="38">
        <f t="shared" si="0"/>
        <v>6.811023622047245E-6</v>
      </c>
      <c r="G25" s="38">
        <f t="shared" si="0"/>
        <v>5.9842519685039375E-7</v>
      </c>
      <c r="H25" s="38">
        <f t="shared" si="0"/>
        <v>5.4724409448818898E-6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400</v>
      </c>
      <c r="B26" s="38">
        <v>1.98E-7</v>
      </c>
      <c r="C26" s="38">
        <v>1.7199999999999999E-8</v>
      </c>
      <c r="D26" s="38">
        <v>1.5699999999999999E-7</v>
      </c>
      <c r="E26" s="3"/>
      <c r="F26" s="38">
        <f t="shared" si="0"/>
        <v>7.7952755905511808E-6</v>
      </c>
      <c r="G26" s="38">
        <f t="shared" si="0"/>
        <v>6.7716535433070861E-7</v>
      </c>
      <c r="H26" s="38">
        <f t="shared" si="0"/>
        <v>6.1811023622047244E-6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420</v>
      </c>
      <c r="B27" s="38">
        <v>2.2499999999999999E-7</v>
      </c>
      <c r="C27" s="38">
        <v>1.9399999999999998E-8</v>
      </c>
      <c r="D27" s="38">
        <v>1.7599999999999999E-7</v>
      </c>
      <c r="E27" s="3"/>
      <c r="F27" s="38">
        <f t="shared" si="0"/>
        <v>8.8582677165354338E-6</v>
      </c>
      <c r="G27" s="38">
        <f t="shared" si="0"/>
        <v>7.6377952755905504E-7</v>
      </c>
      <c r="H27" s="38">
        <f t="shared" si="0"/>
        <v>6.9291338582677167E-6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440</v>
      </c>
      <c r="B28" s="38">
        <v>2.5499999999999999E-7</v>
      </c>
      <c r="C28" s="38">
        <v>2.1900000000000001E-8</v>
      </c>
      <c r="D28" s="38">
        <v>1.98E-7</v>
      </c>
      <c r="E28" s="3"/>
      <c r="F28" s="38">
        <f t="shared" si="0"/>
        <v>1.0039370078740159E-5</v>
      </c>
      <c r="G28" s="38">
        <f t="shared" si="0"/>
        <v>8.6220472440944891E-7</v>
      </c>
      <c r="H28" s="38">
        <f t="shared" si="0"/>
        <v>7.7952755905511808E-6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460</v>
      </c>
      <c r="B29" s="38">
        <v>2.8799999999999998E-7</v>
      </c>
      <c r="C29" s="38">
        <v>2.4500000000000001E-8</v>
      </c>
      <c r="D29" s="38">
        <v>2.2100000000000001E-7</v>
      </c>
      <c r="E29" s="3"/>
      <c r="F29" s="38">
        <f t="shared" si="0"/>
        <v>1.1338582677165356E-5</v>
      </c>
      <c r="G29" s="38">
        <f t="shared" si="0"/>
        <v>9.6456692913385835E-7</v>
      </c>
      <c r="H29" s="38">
        <f t="shared" si="0"/>
        <v>8.7007874015748043E-6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480</v>
      </c>
      <c r="B30" s="38">
        <v>3.2500000000000001E-7</v>
      </c>
      <c r="C30" s="38">
        <v>2.7400000000000001E-8</v>
      </c>
      <c r="D30" s="38">
        <v>2.4600000000000001E-7</v>
      </c>
      <c r="E30" s="3"/>
      <c r="F30" s="38">
        <f t="shared" si="0"/>
        <v>1.2795275590551182E-5</v>
      </c>
      <c r="G30" s="38">
        <f t="shared" si="0"/>
        <v>1.0787401574803151E-6</v>
      </c>
      <c r="H30" s="38">
        <f t="shared" si="0"/>
        <v>9.6850393700787418E-6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500</v>
      </c>
      <c r="B31" s="38">
        <v>3.6699999999999999E-7</v>
      </c>
      <c r="C31" s="38">
        <v>3.0600000000000003E-8</v>
      </c>
      <c r="D31" s="38">
        <v>2.7399999999999999E-7</v>
      </c>
      <c r="E31" s="3"/>
      <c r="F31" s="38">
        <f t="shared" si="0"/>
        <v>1.4448818897637795E-5</v>
      </c>
      <c r="G31" s="38">
        <f t="shared" si="0"/>
        <v>1.2047244094488193E-6</v>
      </c>
      <c r="H31" s="38">
        <f t="shared" si="0"/>
        <v>1.078740157480315E-5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520</v>
      </c>
      <c r="B32" s="38">
        <v>4.1300000000000001E-7</v>
      </c>
      <c r="C32" s="38">
        <v>3.4100000000000001E-8</v>
      </c>
      <c r="D32" s="38">
        <v>3.0499999999999999E-7</v>
      </c>
      <c r="E32" s="3"/>
      <c r="F32" s="38">
        <f t="shared" si="0"/>
        <v>1.6259842519685042E-5</v>
      </c>
      <c r="G32" s="38">
        <f t="shared" si="0"/>
        <v>1.3425196850393703E-6</v>
      </c>
      <c r="H32" s="38">
        <f t="shared" si="0"/>
        <v>1.2007874015748031E-5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540</v>
      </c>
      <c r="B33" s="38">
        <v>4.6600000000000002E-7</v>
      </c>
      <c r="C33" s="38">
        <v>3.7900000000000002E-8</v>
      </c>
      <c r="D33" s="38">
        <v>3.39E-7</v>
      </c>
      <c r="E33" s="3"/>
      <c r="F33" s="38">
        <f t="shared" si="0"/>
        <v>1.8346456692913386E-5</v>
      </c>
      <c r="G33" s="38">
        <f t="shared" si="0"/>
        <v>1.4921259842519685E-6</v>
      </c>
      <c r="H33" s="38">
        <f t="shared" si="0"/>
        <v>1.3346456692913386E-5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560</v>
      </c>
      <c r="B34" s="38">
        <v>5.2600000000000002E-7</v>
      </c>
      <c r="C34" s="38">
        <v>4.21E-8</v>
      </c>
      <c r="D34" s="38">
        <v>3.7599999999999998E-7</v>
      </c>
      <c r="E34" s="3"/>
      <c r="F34" s="38">
        <f t="shared" si="0"/>
        <v>2.0708661417322837E-5</v>
      </c>
      <c r="G34" s="38">
        <f t="shared" si="0"/>
        <v>1.65748031496063E-6</v>
      </c>
      <c r="H34" s="38">
        <f t="shared" si="0"/>
        <v>1.4803149606299212E-5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580</v>
      </c>
      <c r="B35" s="38">
        <v>5.9299999999999998E-7</v>
      </c>
      <c r="C35" s="38">
        <v>4.6700000000000001E-8</v>
      </c>
      <c r="D35" s="38">
        <v>4.1800000000000001E-7</v>
      </c>
      <c r="E35" s="3"/>
      <c r="F35" s="38">
        <f t="shared" si="0"/>
        <v>2.3346456692913385E-5</v>
      </c>
      <c r="G35" s="38">
        <f t="shared" si="0"/>
        <v>1.8385826771653546E-6</v>
      </c>
      <c r="H35" s="38">
        <f t="shared" si="0"/>
        <v>1.6456692913385828E-5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600</v>
      </c>
      <c r="B36" s="38">
        <v>6.7000000000000004E-7</v>
      </c>
      <c r="C36" s="38">
        <v>5.1900000000000002E-8</v>
      </c>
      <c r="D36" s="38">
        <v>4.6499999999999999E-7</v>
      </c>
      <c r="E36" s="3"/>
      <c r="F36" s="38">
        <f t="shared" si="0"/>
        <v>2.6377952755905513E-5</v>
      </c>
      <c r="G36" s="38">
        <f t="shared" si="0"/>
        <v>2.0433070866141735E-6</v>
      </c>
      <c r="H36" s="38">
        <f t="shared" si="0"/>
        <v>1.8307086614173227E-5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620</v>
      </c>
      <c r="B37" s="38">
        <v>7.5700000000000002E-7</v>
      </c>
      <c r="C37" s="38">
        <v>5.7499999999999999E-8</v>
      </c>
      <c r="D37" s="38">
        <v>5.1699999999999998E-7</v>
      </c>
      <c r="E37" s="3"/>
      <c r="F37" s="38">
        <f t="shared" si="0"/>
        <v>2.9803149606299214E-5</v>
      </c>
      <c r="G37" s="38">
        <f t="shared" si="0"/>
        <v>2.2637795275590555E-6</v>
      </c>
      <c r="H37" s="38">
        <f t="shared" si="0"/>
        <v>2.0354330708661419E-5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640</v>
      </c>
      <c r="B38" s="38">
        <v>8.5700000000000001E-7</v>
      </c>
      <c r="C38" s="38">
        <v>6.3699999999999995E-8</v>
      </c>
      <c r="D38" s="38">
        <v>5.7700000000000004E-7</v>
      </c>
      <c r="E38" s="3"/>
      <c r="F38" s="38">
        <f t="shared" si="0"/>
        <v>3.3740157480314961E-5</v>
      </c>
      <c r="G38" s="38">
        <f t="shared" si="0"/>
        <v>2.5078740157480313E-6</v>
      </c>
      <c r="H38" s="38">
        <f t="shared" si="0"/>
        <v>2.2716535433070871E-5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660</v>
      </c>
      <c r="B39" s="38">
        <v>9.7199999999999997E-7</v>
      </c>
      <c r="C39" s="38">
        <v>7.0700000000000004E-8</v>
      </c>
      <c r="D39" s="38">
        <v>6.4600000000000004E-7</v>
      </c>
      <c r="E39" s="3"/>
      <c r="F39" s="38">
        <f t="shared" si="0"/>
        <v>3.826771653543307E-5</v>
      </c>
      <c r="G39" s="38">
        <f t="shared" si="0"/>
        <v>2.7834645669291343E-6</v>
      </c>
      <c r="H39" s="38">
        <f t="shared" si="0"/>
        <v>2.5433070866141736E-5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680</v>
      </c>
      <c r="B40" s="38">
        <v>1.1000000000000001E-6</v>
      </c>
      <c r="C40" s="38">
        <v>7.8300000000000006E-8</v>
      </c>
      <c r="D40" s="38">
        <v>7.2500000000000005E-7</v>
      </c>
      <c r="E40" s="3"/>
      <c r="F40" s="38">
        <f t="shared" si="0"/>
        <v>4.3307086614173235E-5</v>
      </c>
      <c r="G40" s="38">
        <f t="shared" si="0"/>
        <v>3.082677165354331E-6</v>
      </c>
      <c r="H40" s="38">
        <f t="shared" si="0"/>
        <v>2.8543307086614178E-5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700</v>
      </c>
      <c r="B41" s="38">
        <v>1.26E-6</v>
      </c>
      <c r="C41" s="38">
        <v>8.6799999999999996E-8</v>
      </c>
      <c r="D41" s="38">
        <v>8.1699999999999997E-7</v>
      </c>
      <c r="E41" s="3"/>
      <c r="F41" s="38">
        <f t="shared" si="0"/>
        <v>4.9606299212598429E-5</v>
      </c>
      <c r="G41" s="38">
        <f t="shared" si="0"/>
        <v>3.4173228346456694E-6</v>
      </c>
      <c r="H41" s="38">
        <f t="shared" si="0"/>
        <v>3.2165354330708662E-5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720</v>
      </c>
      <c r="B42" s="38">
        <v>1.4300000000000001E-6</v>
      </c>
      <c r="C42" s="38">
        <v>9.6200000000000001E-8</v>
      </c>
      <c r="D42" s="38">
        <v>9.2399999999999996E-7</v>
      </c>
      <c r="E42" s="3"/>
      <c r="F42" s="38">
        <f t="shared" si="0"/>
        <v>5.6299212598425204E-5</v>
      </c>
      <c r="G42" s="38">
        <f t="shared" si="0"/>
        <v>3.7874015748031502E-6</v>
      </c>
      <c r="H42" s="38">
        <f t="shared" si="0"/>
        <v>3.6377952755905509E-5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740</v>
      </c>
      <c r="B43" s="38">
        <v>1.6300000000000001E-6</v>
      </c>
      <c r="C43" s="38">
        <v>1.0700000000000001E-7</v>
      </c>
      <c r="D43" s="38">
        <v>1.0499999999999999E-6</v>
      </c>
      <c r="E43" s="3"/>
      <c r="F43" s="38">
        <f t="shared" si="0"/>
        <v>6.4173228346456703E-5</v>
      </c>
      <c r="G43" s="38">
        <f t="shared" si="0"/>
        <v>4.2125984251968503E-6</v>
      </c>
      <c r="H43" s="38">
        <f t="shared" si="0"/>
        <v>4.1338582677165357E-5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760</v>
      </c>
      <c r="B44" s="38">
        <v>1.8500000000000001E-6</v>
      </c>
      <c r="C44" s="38">
        <v>1.18E-7</v>
      </c>
      <c r="D44" s="38">
        <v>1.19E-6</v>
      </c>
      <c r="E44" s="3"/>
      <c r="F44" s="38">
        <f t="shared" si="0"/>
        <v>7.2834645669291349E-5</v>
      </c>
      <c r="G44" s="38">
        <f t="shared" si="0"/>
        <v>4.6456692913385827E-6</v>
      </c>
      <c r="H44" s="38">
        <f t="shared" si="0"/>
        <v>4.6850393700787405E-5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780</v>
      </c>
      <c r="B45" s="38">
        <v>2.0899999999999999E-6</v>
      </c>
      <c r="C45" s="38">
        <v>1.3E-7</v>
      </c>
      <c r="D45" s="38">
        <v>1.35E-6</v>
      </c>
      <c r="E45" s="3"/>
      <c r="F45" s="38">
        <f t="shared" si="0"/>
        <v>8.2283464566929127E-5</v>
      </c>
      <c r="G45" s="38">
        <f t="shared" si="0"/>
        <v>5.1181102362204721E-6</v>
      </c>
      <c r="H45" s="38">
        <f t="shared" si="0"/>
        <v>5.3149606299212606E-5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800</v>
      </c>
      <c r="B46" s="38">
        <v>2.3499999999999999E-6</v>
      </c>
      <c r="C46" s="38">
        <v>1.43E-7</v>
      </c>
      <c r="D46" s="38">
        <v>1.53E-6</v>
      </c>
      <c r="E46" s="3"/>
      <c r="F46" s="38">
        <f t="shared" si="0"/>
        <v>9.2519685039370092E-5</v>
      </c>
      <c r="G46" s="38">
        <f t="shared" si="0"/>
        <v>5.6299212598425202E-6</v>
      </c>
      <c r="H46" s="38">
        <f t="shared" si="0"/>
        <v>6.0236220472440947E-5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820</v>
      </c>
      <c r="B47" s="38">
        <v>2.5900000000000002E-6</v>
      </c>
      <c r="C47" s="38">
        <v>1.5699999999999999E-7</v>
      </c>
      <c r="D47" s="38">
        <v>1.7099999999999999E-6</v>
      </c>
      <c r="E47" s="3"/>
      <c r="F47" s="38">
        <f t="shared" si="0"/>
        <v>1.019685039370079E-4</v>
      </c>
      <c r="G47" s="38">
        <f t="shared" si="0"/>
        <v>6.1811023622047244E-6</v>
      </c>
      <c r="H47" s="38">
        <f t="shared" si="0"/>
        <v>6.7322834645669287E-5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840</v>
      </c>
      <c r="B48" s="38">
        <v>2.7999999999999999E-6</v>
      </c>
      <c r="C48" s="38">
        <v>1.7100000000000001E-7</v>
      </c>
      <c r="D48" s="38">
        <v>1.8899999999999999E-6</v>
      </c>
      <c r="E48" s="3"/>
      <c r="F48" s="38">
        <f t="shared" si="0"/>
        <v>1.1023622047244096E-4</v>
      </c>
      <c r="G48" s="38">
        <f t="shared" si="0"/>
        <v>6.7322834645669302E-6</v>
      </c>
      <c r="H48" s="38">
        <f t="shared" si="0"/>
        <v>7.4409448818897641E-5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860</v>
      </c>
      <c r="B49" s="38">
        <v>2.9500000000000001E-6</v>
      </c>
      <c r="C49" s="38">
        <v>1.8400000000000001E-7</v>
      </c>
      <c r="D49" s="38">
        <v>2.0499999999999999E-6</v>
      </c>
      <c r="E49" s="3"/>
      <c r="F49" s="38">
        <f t="shared" si="0"/>
        <v>1.1614173228346458E-4</v>
      </c>
      <c r="G49" s="38">
        <f t="shared" si="0"/>
        <v>7.2440944881889766E-6</v>
      </c>
      <c r="H49" s="38">
        <f t="shared" si="0"/>
        <v>8.0708661417322835E-5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880</v>
      </c>
      <c r="B50" s="38">
        <v>3.0400000000000001E-6</v>
      </c>
      <c r="C50" s="38">
        <v>1.9600000000000001E-7</v>
      </c>
      <c r="D50" s="38">
        <v>2.1600000000000001E-6</v>
      </c>
      <c r="E50" s="3"/>
      <c r="F50" s="38">
        <f t="shared" si="0"/>
        <v>1.1968503937007875E-4</v>
      </c>
      <c r="G50" s="38">
        <f t="shared" si="0"/>
        <v>7.7165354330708668E-6</v>
      </c>
      <c r="H50" s="38">
        <f t="shared" si="0"/>
        <v>8.5039370078740165E-5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900</v>
      </c>
      <c r="B51" s="38">
        <v>3.05E-6</v>
      </c>
      <c r="C51" s="38">
        <v>2.0699999999999999E-7</v>
      </c>
      <c r="D51" s="38">
        <v>2.2400000000000002E-6</v>
      </c>
      <c r="E51" s="3"/>
      <c r="F51" s="38">
        <f t="shared" si="0"/>
        <v>1.2007874015748033E-4</v>
      </c>
      <c r="G51" s="38">
        <f t="shared" si="0"/>
        <v>8.1496062992125984E-6</v>
      </c>
      <c r="H51" s="38">
        <f t="shared" si="0"/>
        <v>8.8188976377952775E-5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920</v>
      </c>
      <c r="B52" s="38">
        <v>3.01E-6</v>
      </c>
      <c r="C52" s="38">
        <v>2.1500000000000001E-7</v>
      </c>
      <c r="D52" s="38">
        <v>2.2699999999999999E-6</v>
      </c>
      <c r="E52" s="3"/>
      <c r="F52" s="38">
        <f t="shared" si="0"/>
        <v>1.1850393700787403E-4</v>
      </c>
      <c r="G52" s="38">
        <f t="shared" si="0"/>
        <v>8.4645669291338592E-6</v>
      </c>
      <c r="H52" s="38">
        <f t="shared" si="0"/>
        <v>8.9370078740157481E-5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940</v>
      </c>
      <c r="B53" s="38">
        <v>2.9299999999999999E-6</v>
      </c>
      <c r="C53" s="38">
        <v>2.2100000000000001E-7</v>
      </c>
      <c r="D53" s="38">
        <v>2.2699999999999999E-6</v>
      </c>
      <c r="E53" s="3"/>
      <c r="F53" s="38">
        <f t="shared" si="0"/>
        <v>1.1535433070866142E-4</v>
      </c>
      <c r="G53" s="38">
        <f t="shared" si="0"/>
        <v>8.7007874015748043E-6</v>
      </c>
      <c r="H53" s="38">
        <f t="shared" si="0"/>
        <v>8.9370078740157481E-5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960</v>
      </c>
      <c r="B54" s="38">
        <v>2.83E-6</v>
      </c>
      <c r="C54" s="38">
        <v>2.2399999999999999E-7</v>
      </c>
      <c r="D54" s="38">
        <v>2.2400000000000002E-6</v>
      </c>
      <c r="E54" s="3"/>
      <c r="F54" s="38">
        <f t="shared" si="0"/>
        <v>1.1141732283464567E-4</v>
      </c>
      <c r="G54" s="38">
        <f t="shared" si="0"/>
        <v>8.8188976377952752E-6</v>
      </c>
      <c r="H54" s="38">
        <f t="shared" si="0"/>
        <v>8.8188976377952775E-5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980</v>
      </c>
      <c r="B55" s="38">
        <v>2.7300000000000001E-6</v>
      </c>
      <c r="C55" s="38">
        <v>2.2399999999999999E-7</v>
      </c>
      <c r="D55" s="38">
        <v>2.2000000000000001E-6</v>
      </c>
      <c r="E55" s="3"/>
      <c r="F55" s="38">
        <f t="shared" si="0"/>
        <v>1.0748031496062993E-4</v>
      </c>
      <c r="G55" s="38">
        <f t="shared" si="0"/>
        <v>8.8188976377952752E-6</v>
      </c>
      <c r="H55" s="38">
        <f t="shared" si="0"/>
        <v>8.661417322834647E-5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1000</v>
      </c>
      <c r="B56" s="38">
        <v>2.6199999999999999E-6</v>
      </c>
      <c r="C56" s="38">
        <v>2.23E-7</v>
      </c>
      <c r="D56" s="38">
        <v>2.1500000000000002E-6</v>
      </c>
      <c r="E56" s="3"/>
      <c r="F56" s="38">
        <f t="shared" si="0"/>
        <v>1.031496062992126E-4</v>
      </c>
      <c r="G56" s="38">
        <f t="shared" si="0"/>
        <v>8.7795275590551182E-6</v>
      </c>
      <c r="H56" s="38">
        <f t="shared" si="0"/>
        <v>8.4645669291338592E-5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1020</v>
      </c>
      <c r="B57" s="38">
        <v>2.52E-6</v>
      </c>
      <c r="C57" s="38">
        <v>2.2100000000000001E-7</v>
      </c>
      <c r="D57" s="38">
        <v>2.0899999999999999E-6</v>
      </c>
      <c r="E57" s="3"/>
      <c r="F57" s="38">
        <f t="shared" si="0"/>
        <v>9.9212598425196859E-5</v>
      </c>
      <c r="G57" s="38">
        <f t="shared" si="0"/>
        <v>8.7007874015748043E-6</v>
      </c>
      <c r="H57" s="38">
        <f t="shared" si="0"/>
        <v>8.2283464566929127E-5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1040</v>
      </c>
      <c r="B58" s="38">
        <v>2.43E-6</v>
      </c>
      <c r="C58" s="38">
        <v>2.1899999999999999E-7</v>
      </c>
      <c r="D58" s="38">
        <v>2.03E-6</v>
      </c>
      <c r="E58" s="3"/>
      <c r="F58" s="38">
        <f t="shared" si="0"/>
        <v>9.5669291338582675E-5</v>
      </c>
      <c r="G58" s="38">
        <f t="shared" si="0"/>
        <v>8.6220472440944887E-6</v>
      </c>
      <c r="H58" s="38">
        <f t="shared" si="0"/>
        <v>7.9921259842519689E-5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1060</v>
      </c>
      <c r="B59" s="38">
        <v>2.3499999999999999E-6</v>
      </c>
      <c r="C59" s="39">
        <v>2.16E-7</v>
      </c>
      <c r="D59" s="38">
        <v>1.9700000000000002E-6</v>
      </c>
      <c r="E59" s="3"/>
      <c r="F59" s="38">
        <f t="shared" si="0"/>
        <v>9.2519685039370092E-5</v>
      </c>
      <c r="G59" s="38">
        <f t="shared" si="0"/>
        <v>8.5039370078740161E-6</v>
      </c>
      <c r="H59" s="38">
        <f t="shared" si="0"/>
        <v>7.7559055118110252E-5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1080</v>
      </c>
      <c r="B60" s="38">
        <v>2.2699999999999999E-6</v>
      </c>
      <c r="C60" s="38">
        <v>2.1299999999999999E-7</v>
      </c>
      <c r="D60" s="38">
        <v>1.9E-6</v>
      </c>
      <c r="E60" s="3"/>
      <c r="F60" s="38">
        <f t="shared" si="0"/>
        <v>8.9370078740157481E-5</v>
      </c>
      <c r="G60" s="38">
        <f t="shared" si="0"/>
        <v>8.3858267716535436E-6</v>
      </c>
      <c r="H60" s="38">
        <f t="shared" si="0"/>
        <v>7.4803149606299214E-5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1100</v>
      </c>
      <c r="B61" s="38">
        <v>2.21E-6</v>
      </c>
      <c r="C61" s="38">
        <v>2.11E-7</v>
      </c>
      <c r="D61" s="38">
        <v>1.84E-6</v>
      </c>
      <c r="E61" s="3"/>
      <c r="F61" s="38">
        <f t="shared" si="0"/>
        <v>8.7007874015748043E-5</v>
      </c>
      <c r="G61" s="38">
        <f t="shared" si="0"/>
        <v>8.3070866141732297E-6</v>
      </c>
      <c r="H61" s="38">
        <f t="shared" si="0"/>
        <v>7.2440944881889776E-5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1120</v>
      </c>
      <c r="B62" s="38">
        <v>2.1500000000000002E-6</v>
      </c>
      <c r="C62" s="38">
        <v>2.1E-7</v>
      </c>
      <c r="D62" s="38">
        <v>1.7799999999999999E-6</v>
      </c>
      <c r="E62" s="3"/>
      <c r="F62" s="38">
        <f t="shared" si="0"/>
        <v>8.4645669291338592E-5</v>
      </c>
      <c r="G62" s="38">
        <f t="shared" si="0"/>
        <v>8.267716535433071E-6</v>
      </c>
      <c r="H62" s="38">
        <f t="shared" si="0"/>
        <v>7.0078740157480311E-5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1140</v>
      </c>
      <c r="B63" s="38">
        <v>2.0999999999999998E-6</v>
      </c>
      <c r="C63" s="38">
        <v>2.1E-7</v>
      </c>
      <c r="D63" s="38">
        <v>1.72E-6</v>
      </c>
      <c r="E63" s="3"/>
      <c r="F63" s="38">
        <f t="shared" si="0"/>
        <v>8.2677165354330713E-5</v>
      </c>
      <c r="G63" s="38">
        <f t="shared" si="0"/>
        <v>8.267716535433071E-6</v>
      </c>
      <c r="H63" s="38">
        <f t="shared" si="0"/>
        <v>6.7716535433070873E-5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1160</v>
      </c>
      <c r="B64" s="38">
        <v>2.0600000000000002E-6</v>
      </c>
      <c r="C64" s="38">
        <v>2.1E-7</v>
      </c>
      <c r="D64" s="38">
        <v>1.68E-6</v>
      </c>
      <c r="E64" s="3"/>
      <c r="F64" s="38">
        <f t="shared" si="0"/>
        <v>8.1102362204724422E-5</v>
      </c>
      <c r="G64" s="38">
        <f t="shared" si="0"/>
        <v>8.267716535433071E-6</v>
      </c>
      <c r="H64" s="38">
        <f t="shared" si="0"/>
        <v>6.6141732283464568E-5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1180</v>
      </c>
      <c r="B65" s="38">
        <v>2.03E-6</v>
      </c>
      <c r="C65" s="38">
        <v>2.1199999999999999E-7</v>
      </c>
      <c r="D65" s="38">
        <v>1.6300000000000001E-6</v>
      </c>
      <c r="E65" s="3"/>
      <c r="F65" s="38">
        <f t="shared" si="0"/>
        <v>7.9921259842519689E-5</v>
      </c>
      <c r="G65" s="38">
        <f t="shared" si="0"/>
        <v>8.3464566929133866E-6</v>
      </c>
      <c r="H65" s="38">
        <f t="shared" si="0"/>
        <v>6.4173228346456703E-5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1200</v>
      </c>
      <c r="B66" s="38">
        <v>1.9999999999999999E-6</v>
      </c>
      <c r="C66" s="38">
        <v>2.1500000000000001E-7</v>
      </c>
      <c r="D66" s="38">
        <v>1.59E-6</v>
      </c>
      <c r="E66" s="3"/>
      <c r="F66" s="38">
        <f t="shared" si="0"/>
        <v>7.874015748031497E-5</v>
      </c>
      <c r="G66" s="38">
        <f t="shared" si="0"/>
        <v>8.4645669291338592E-6</v>
      </c>
      <c r="H66" s="38">
        <f t="shared" si="0"/>
        <v>6.2598425196850398E-5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1220</v>
      </c>
      <c r="B67" s="38">
        <v>1.9700000000000002E-6</v>
      </c>
      <c r="C67" s="38">
        <v>2.2000000000000001E-7</v>
      </c>
      <c r="D67" s="38">
        <v>1.5600000000000001E-6</v>
      </c>
      <c r="E67" s="3"/>
      <c r="F67" s="38">
        <f t="shared" si="0"/>
        <v>7.7559055118110252E-5</v>
      </c>
      <c r="G67" s="38">
        <f t="shared" si="0"/>
        <v>8.6614173228346457E-6</v>
      </c>
      <c r="H67" s="38">
        <f t="shared" si="0"/>
        <v>6.1417322834645679E-5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1240</v>
      </c>
      <c r="B68" s="38">
        <v>1.95E-6</v>
      </c>
      <c r="C68" s="38">
        <v>2.2499999999999999E-7</v>
      </c>
      <c r="D68" s="38">
        <v>1.53E-6</v>
      </c>
      <c r="E68" s="3"/>
      <c r="F68" s="38">
        <f t="shared" si="0"/>
        <v>7.6771653543307092E-5</v>
      </c>
      <c r="G68" s="38">
        <f t="shared" si="0"/>
        <v>8.8582677165354338E-6</v>
      </c>
      <c r="H68" s="38">
        <f t="shared" si="0"/>
        <v>6.0236220472440947E-5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1260</v>
      </c>
      <c r="B69" s="38">
        <v>1.9300000000000002E-6</v>
      </c>
      <c r="C69" s="38">
        <v>2.3099999999999999E-7</v>
      </c>
      <c r="D69" s="38">
        <v>1.5099999999999999E-6</v>
      </c>
      <c r="E69" s="3"/>
      <c r="F69" s="38">
        <f t="shared" si="0"/>
        <v>7.5984251968503946E-5</v>
      </c>
      <c r="G69" s="38">
        <f t="shared" si="0"/>
        <v>9.0944881889763773E-6</v>
      </c>
      <c r="H69" s="38">
        <f t="shared" si="0"/>
        <v>5.9448818897637794E-5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1280</v>
      </c>
      <c r="B70" s="38">
        <v>1.9199999999999998E-6</v>
      </c>
      <c r="C70" s="38">
        <v>2.3900000000000001E-7</v>
      </c>
      <c r="D70" s="38">
        <v>1.4899999999999999E-6</v>
      </c>
      <c r="E70" s="3"/>
      <c r="F70" s="38">
        <f t="shared" si="0"/>
        <v>7.559055118110236E-5</v>
      </c>
      <c r="G70" s="38">
        <f t="shared" si="0"/>
        <v>9.409448818897638E-6</v>
      </c>
      <c r="H70" s="38">
        <f t="shared" si="0"/>
        <v>5.8661417322834648E-5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1300</v>
      </c>
      <c r="B71" s="38">
        <v>1.9099999999999999E-6</v>
      </c>
      <c r="C71" s="38">
        <v>2.48E-7</v>
      </c>
      <c r="D71" s="38">
        <v>1.4699999999999999E-6</v>
      </c>
      <c r="E71" s="3"/>
      <c r="F71" s="38">
        <f t="shared" ref="F71:H126" si="1">B71*1000/25.4</f>
        <v>7.5196850393700787E-5</v>
      </c>
      <c r="G71" s="38">
        <f t="shared" si="1"/>
        <v>9.7637795275590557E-6</v>
      </c>
      <c r="H71" s="38">
        <f t="shared" si="1"/>
        <v>5.7874015748031495E-5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1320</v>
      </c>
      <c r="B72" s="38">
        <v>1.9099999999999999E-6</v>
      </c>
      <c r="C72" s="38">
        <v>2.5800000000000001E-7</v>
      </c>
      <c r="D72" s="38">
        <v>1.46E-6</v>
      </c>
      <c r="E72" s="3"/>
      <c r="F72" s="38">
        <f t="shared" si="1"/>
        <v>7.5196850393700787E-5</v>
      </c>
      <c r="G72" s="38">
        <f t="shared" si="1"/>
        <v>1.015748031496063E-5</v>
      </c>
      <c r="H72" s="38">
        <f t="shared" si="1"/>
        <v>5.7480314960629922E-5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1340</v>
      </c>
      <c r="B73" s="38">
        <v>1.9099999999999999E-6</v>
      </c>
      <c r="C73" s="38">
        <v>2.6899999999999999E-7</v>
      </c>
      <c r="D73" s="38">
        <v>1.4500000000000001E-6</v>
      </c>
      <c r="E73" s="3"/>
      <c r="F73" s="38">
        <f t="shared" si="1"/>
        <v>7.5196850393700787E-5</v>
      </c>
      <c r="G73" s="38">
        <f t="shared" si="1"/>
        <v>1.0590551181102362E-5</v>
      </c>
      <c r="H73" s="38">
        <f t="shared" si="1"/>
        <v>5.7086614173228356E-5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1360</v>
      </c>
      <c r="B74" s="38">
        <v>1.9099999999999999E-6</v>
      </c>
      <c r="C74" s="38">
        <v>2.8000000000000002E-7</v>
      </c>
      <c r="D74" s="38">
        <v>1.4500000000000001E-6</v>
      </c>
      <c r="E74" s="3"/>
      <c r="F74" s="38">
        <f t="shared" si="1"/>
        <v>7.5196850393700787E-5</v>
      </c>
      <c r="G74" s="38">
        <f t="shared" si="1"/>
        <v>1.1023622047244097E-5</v>
      </c>
      <c r="H74" s="38">
        <f t="shared" si="1"/>
        <v>5.7086614173228356E-5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1380</v>
      </c>
      <c r="B75" s="38">
        <v>1.9099999999999999E-6</v>
      </c>
      <c r="C75" s="38">
        <v>2.9299999999999999E-7</v>
      </c>
      <c r="D75" s="38">
        <v>1.4500000000000001E-6</v>
      </c>
      <c r="E75" s="3"/>
      <c r="F75" s="38">
        <f t="shared" si="1"/>
        <v>7.5196850393700787E-5</v>
      </c>
      <c r="G75" s="38">
        <f t="shared" si="1"/>
        <v>1.1535433070866141E-5</v>
      </c>
      <c r="H75" s="38">
        <f t="shared" si="1"/>
        <v>5.7086614173228356E-5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1400</v>
      </c>
      <c r="B76" s="38">
        <v>1.9199999999999998E-6</v>
      </c>
      <c r="C76" s="38">
        <v>3.0699999999999998E-7</v>
      </c>
      <c r="D76" s="38">
        <v>1.4500000000000001E-6</v>
      </c>
      <c r="E76" s="3"/>
      <c r="F76" s="38">
        <f t="shared" si="1"/>
        <v>7.559055118110236E-5</v>
      </c>
      <c r="G76" s="38">
        <f t="shared" si="1"/>
        <v>1.2086614173228347E-5</v>
      </c>
      <c r="H76" s="38">
        <f t="shared" si="1"/>
        <v>5.7086614173228356E-5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1420</v>
      </c>
      <c r="B77" s="38">
        <v>1.9300000000000002E-6</v>
      </c>
      <c r="C77" s="38">
        <v>3.2300000000000002E-7</v>
      </c>
      <c r="D77" s="38">
        <v>1.4500000000000001E-6</v>
      </c>
      <c r="E77" s="3"/>
      <c r="F77" s="38">
        <f t="shared" si="1"/>
        <v>7.5984251968503946E-5</v>
      </c>
      <c r="G77" s="38">
        <f t="shared" si="1"/>
        <v>1.2716535433070868E-5</v>
      </c>
      <c r="H77" s="38">
        <f t="shared" si="1"/>
        <v>5.7086614173228356E-5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1440</v>
      </c>
      <c r="B78" s="38">
        <v>1.9400000000000001E-6</v>
      </c>
      <c r="C78" s="38">
        <v>3.39E-7</v>
      </c>
      <c r="D78" s="38">
        <v>1.4500000000000001E-6</v>
      </c>
      <c r="E78" s="3"/>
      <c r="F78" s="38">
        <f t="shared" si="1"/>
        <v>7.6377952755905519E-5</v>
      </c>
      <c r="G78" s="38">
        <f t="shared" si="1"/>
        <v>1.3346456692913386E-5</v>
      </c>
      <c r="H78" s="38">
        <f t="shared" si="1"/>
        <v>5.7086614173228356E-5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1460</v>
      </c>
      <c r="B79" s="38">
        <v>1.95E-6</v>
      </c>
      <c r="C79" s="38">
        <v>3.5600000000000001E-7</v>
      </c>
      <c r="D79" s="38">
        <v>1.4500000000000001E-6</v>
      </c>
      <c r="E79" s="3"/>
      <c r="F79" s="38">
        <f t="shared" si="1"/>
        <v>7.6771653543307092E-5</v>
      </c>
      <c r="G79" s="38">
        <f t="shared" si="1"/>
        <v>1.4015748031496065E-5</v>
      </c>
      <c r="H79" s="38">
        <f t="shared" si="1"/>
        <v>5.7086614173228356E-5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1480</v>
      </c>
      <c r="B80" s="38">
        <v>1.9599999999999999E-6</v>
      </c>
      <c r="C80" s="38">
        <v>3.7399999999999999E-7</v>
      </c>
      <c r="D80" s="38">
        <v>1.4500000000000001E-6</v>
      </c>
      <c r="E80" s="3"/>
      <c r="F80" s="38">
        <f t="shared" si="1"/>
        <v>7.7165354330708665E-5</v>
      </c>
      <c r="G80" s="38">
        <f t="shared" si="1"/>
        <v>1.4724409448818898E-5</v>
      </c>
      <c r="H80" s="38">
        <f t="shared" si="1"/>
        <v>5.7086614173228356E-5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1500</v>
      </c>
      <c r="B81" s="38">
        <v>1.9800000000000001E-6</v>
      </c>
      <c r="C81" s="38">
        <v>3.9200000000000002E-7</v>
      </c>
      <c r="D81" s="38">
        <v>1.46E-6</v>
      </c>
      <c r="E81" s="3"/>
      <c r="F81" s="38">
        <f t="shared" si="1"/>
        <v>7.7952755905511811E-5</v>
      </c>
      <c r="G81" s="38">
        <f t="shared" si="1"/>
        <v>1.5433070866141734E-5</v>
      </c>
      <c r="H81" s="38">
        <f t="shared" si="1"/>
        <v>5.7480314960629922E-5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1520</v>
      </c>
      <c r="B82" s="38">
        <v>1.9999999999999999E-6</v>
      </c>
      <c r="C82" s="38">
        <v>4.1199999999999998E-7</v>
      </c>
      <c r="D82" s="38">
        <v>1.46E-6</v>
      </c>
      <c r="E82" s="3"/>
      <c r="F82" s="38">
        <f t="shared" si="1"/>
        <v>7.874015748031497E-5</v>
      </c>
      <c r="G82" s="38">
        <f t="shared" si="1"/>
        <v>1.6220472440944883E-5</v>
      </c>
      <c r="H82" s="38">
        <f t="shared" si="1"/>
        <v>5.7480314960629922E-5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1540</v>
      </c>
      <c r="B83" s="38">
        <v>2.0200000000000001E-6</v>
      </c>
      <c r="C83" s="38">
        <v>4.3300000000000003E-7</v>
      </c>
      <c r="D83" s="38">
        <v>1.4699999999999999E-6</v>
      </c>
      <c r="E83" s="3"/>
      <c r="F83" s="38">
        <f t="shared" si="1"/>
        <v>7.9527559055118116E-5</v>
      </c>
      <c r="G83" s="38">
        <f t="shared" si="1"/>
        <v>1.7047244094488191E-5</v>
      </c>
      <c r="H83" s="38">
        <f t="shared" si="1"/>
        <v>5.7874015748031495E-5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1560</v>
      </c>
      <c r="B84" s="38">
        <v>2.04E-6</v>
      </c>
      <c r="C84" s="38">
        <v>4.5400000000000002E-7</v>
      </c>
      <c r="D84" s="38">
        <v>1.4699999999999999E-6</v>
      </c>
      <c r="E84" s="3"/>
      <c r="F84" s="38">
        <f t="shared" si="1"/>
        <v>8.0314960629921276E-5</v>
      </c>
      <c r="G84" s="38">
        <f t="shared" si="1"/>
        <v>1.7874015748031499E-5</v>
      </c>
      <c r="H84" s="38">
        <f t="shared" si="1"/>
        <v>5.7874015748031495E-5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1580</v>
      </c>
      <c r="B85" s="38">
        <v>2.0600000000000002E-6</v>
      </c>
      <c r="C85" s="38">
        <v>4.7700000000000005E-7</v>
      </c>
      <c r="D85" s="38">
        <v>1.48E-6</v>
      </c>
      <c r="E85" s="3"/>
      <c r="F85" s="38">
        <f t="shared" si="1"/>
        <v>8.1102362204724422E-5</v>
      </c>
      <c r="G85" s="38">
        <f t="shared" si="1"/>
        <v>1.8779527559055121E-5</v>
      </c>
      <c r="H85" s="38">
        <f t="shared" si="1"/>
        <v>5.8267716535433075E-5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1600</v>
      </c>
      <c r="B86" s="38">
        <v>2.08E-6</v>
      </c>
      <c r="C86" s="38">
        <v>4.9999999999999998E-7</v>
      </c>
      <c r="D86" s="38">
        <v>1.4899999999999999E-6</v>
      </c>
      <c r="E86" s="3"/>
      <c r="F86" s="38">
        <f t="shared" si="1"/>
        <v>8.1889763779527554E-5</v>
      </c>
      <c r="G86" s="38">
        <f t="shared" si="1"/>
        <v>1.9685039370078743E-5</v>
      </c>
      <c r="H86" s="38">
        <f t="shared" si="1"/>
        <v>5.8661417322834648E-5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1620</v>
      </c>
      <c r="B87" s="38">
        <v>2.1100000000000001E-6</v>
      </c>
      <c r="C87" s="38">
        <v>5.2399999999999998E-7</v>
      </c>
      <c r="D87" s="38">
        <v>1.5099999999999999E-6</v>
      </c>
      <c r="E87" s="3"/>
      <c r="F87" s="38">
        <f t="shared" si="1"/>
        <v>8.30708661417323E-5</v>
      </c>
      <c r="G87" s="38">
        <f t="shared" si="1"/>
        <v>2.062992125984252E-5</v>
      </c>
      <c r="H87" s="38">
        <f t="shared" si="1"/>
        <v>5.9448818897637794E-5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1640</v>
      </c>
      <c r="B88" s="38">
        <v>2.1299999999999999E-6</v>
      </c>
      <c r="C88" s="38">
        <v>5.4899999999999995E-7</v>
      </c>
      <c r="D88" s="38">
        <v>1.5200000000000001E-6</v>
      </c>
      <c r="E88" s="3"/>
      <c r="F88" s="38">
        <f t="shared" si="1"/>
        <v>8.3858267716535432E-5</v>
      </c>
      <c r="G88" s="38">
        <f t="shared" si="1"/>
        <v>2.1614173228346455E-5</v>
      </c>
      <c r="H88" s="38">
        <f t="shared" si="1"/>
        <v>5.9842519685039374E-5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1660</v>
      </c>
      <c r="B89" s="38">
        <v>2.1399999999999998E-6</v>
      </c>
      <c r="C89" s="38">
        <v>5.75E-7</v>
      </c>
      <c r="D89" s="38">
        <v>1.5400000000000001E-6</v>
      </c>
      <c r="E89" s="3"/>
      <c r="F89" s="38">
        <f t="shared" si="1"/>
        <v>8.4251968503937005E-5</v>
      </c>
      <c r="G89" s="38">
        <f t="shared" si="1"/>
        <v>2.2637795275590553E-5</v>
      </c>
      <c r="H89" s="38">
        <f t="shared" si="1"/>
        <v>6.0629921259842526E-5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1680</v>
      </c>
      <c r="B90" s="38">
        <v>2.1600000000000001E-6</v>
      </c>
      <c r="C90" s="38">
        <v>6.0100000000000005E-7</v>
      </c>
      <c r="D90" s="38">
        <v>1.5600000000000001E-6</v>
      </c>
      <c r="E90" s="3"/>
      <c r="F90" s="38">
        <f t="shared" si="1"/>
        <v>8.5039370078740165E-5</v>
      </c>
      <c r="G90" s="38">
        <f t="shared" si="1"/>
        <v>2.3661417322834651E-5</v>
      </c>
      <c r="H90" s="38">
        <f t="shared" si="1"/>
        <v>6.1417322834645679E-5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1700</v>
      </c>
      <c r="B91" s="38">
        <v>2.17E-6</v>
      </c>
      <c r="C91" s="38">
        <v>6.2600000000000002E-7</v>
      </c>
      <c r="D91" s="38">
        <v>1.5799999999999999E-6</v>
      </c>
      <c r="E91" s="3"/>
      <c r="F91" s="38">
        <f t="shared" si="1"/>
        <v>8.5433070866141738E-5</v>
      </c>
      <c r="G91" s="38">
        <f t="shared" si="1"/>
        <v>2.4645669291338587E-5</v>
      </c>
      <c r="H91" s="38">
        <f t="shared" si="1"/>
        <v>6.2204724409448811E-5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1720</v>
      </c>
      <c r="B92" s="38">
        <v>2.1799999999999999E-6</v>
      </c>
      <c r="C92" s="38">
        <v>6.5199999999999996E-7</v>
      </c>
      <c r="D92" s="38">
        <v>1.5999999999999999E-6</v>
      </c>
      <c r="E92" s="3"/>
      <c r="F92" s="38">
        <f t="shared" si="1"/>
        <v>8.5826771653543311E-5</v>
      </c>
      <c r="G92" s="38">
        <f t="shared" si="1"/>
        <v>2.5669291338582675E-5</v>
      </c>
      <c r="H92" s="38">
        <f t="shared" si="1"/>
        <v>6.2992125984251971E-5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1740</v>
      </c>
      <c r="B93" s="38">
        <v>2.17E-6</v>
      </c>
      <c r="C93" s="38">
        <v>6.7599999999999997E-7</v>
      </c>
      <c r="D93" s="38">
        <v>1.6300000000000001E-6</v>
      </c>
      <c r="E93" s="3"/>
      <c r="F93" s="38">
        <f t="shared" si="1"/>
        <v>8.5433070866141738E-5</v>
      </c>
      <c r="G93" s="38">
        <f t="shared" si="1"/>
        <v>2.6614173228346455E-5</v>
      </c>
      <c r="H93" s="38">
        <f t="shared" si="1"/>
        <v>6.4173228346456703E-5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1760</v>
      </c>
      <c r="B94" s="38">
        <v>2.1600000000000001E-6</v>
      </c>
      <c r="C94" s="38">
        <v>6.9800000000000003E-7</v>
      </c>
      <c r="D94" s="38">
        <v>1.6500000000000001E-6</v>
      </c>
      <c r="E94" s="3"/>
      <c r="F94" s="38">
        <f t="shared" si="1"/>
        <v>8.5039370078740165E-5</v>
      </c>
      <c r="G94" s="38">
        <f t="shared" si="1"/>
        <v>2.7480314960629925E-5</v>
      </c>
      <c r="H94" s="38">
        <f t="shared" si="1"/>
        <v>6.4960629921259849E-5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1780</v>
      </c>
      <c r="B95" s="38">
        <v>2.1500000000000002E-6</v>
      </c>
      <c r="C95" s="38">
        <v>7.1699999999999997E-7</v>
      </c>
      <c r="D95" s="38">
        <v>1.6700000000000001E-6</v>
      </c>
      <c r="E95" s="3"/>
      <c r="F95" s="38">
        <f t="shared" si="1"/>
        <v>8.4645669291338592E-5</v>
      </c>
      <c r="G95" s="38">
        <f t="shared" si="1"/>
        <v>2.8228346456692912E-5</v>
      </c>
      <c r="H95" s="38">
        <f t="shared" si="1"/>
        <v>6.5748031496062995E-5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1800</v>
      </c>
      <c r="B96" s="38">
        <v>2.1100000000000001E-6</v>
      </c>
      <c r="C96" s="38">
        <v>7.3399999999999998E-7</v>
      </c>
      <c r="D96" s="38">
        <v>1.7E-6</v>
      </c>
      <c r="E96" s="3"/>
      <c r="F96" s="38">
        <f t="shared" si="1"/>
        <v>8.30708661417323E-5</v>
      </c>
      <c r="G96" s="38">
        <f t="shared" si="1"/>
        <v>2.8897637795275589E-5</v>
      </c>
      <c r="H96" s="38">
        <f t="shared" si="1"/>
        <v>6.6929133858267728E-5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1820</v>
      </c>
      <c r="B97" s="38">
        <v>2.0700000000000001E-6</v>
      </c>
      <c r="C97" s="38">
        <v>7.4600000000000004E-7</v>
      </c>
      <c r="D97" s="38">
        <v>1.72E-6</v>
      </c>
      <c r="E97" s="3"/>
      <c r="F97" s="38">
        <f t="shared" si="1"/>
        <v>8.1496062992125995E-5</v>
      </c>
      <c r="G97" s="38">
        <f t="shared" si="1"/>
        <v>2.9370078740157483E-5</v>
      </c>
      <c r="H97" s="38">
        <f t="shared" si="1"/>
        <v>6.7716535433070873E-5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1840</v>
      </c>
      <c r="B98" s="38">
        <v>2.0200000000000001E-6</v>
      </c>
      <c r="C98" s="38">
        <v>7.5499999999999997E-7</v>
      </c>
      <c r="D98" s="38">
        <v>1.73E-6</v>
      </c>
      <c r="E98" s="3"/>
      <c r="F98" s="38">
        <f t="shared" si="1"/>
        <v>7.9527559055118116E-5</v>
      </c>
      <c r="G98" s="38">
        <f t="shared" si="1"/>
        <v>2.9724409448818897E-5</v>
      </c>
      <c r="H98" s="38">
        <f t="shared" si="1"/>
        <v>6.8110236220472446E-5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1860</v>
      </c>
      <c r="B99" s="38">
        <v>1.9599999999999999E-6</v>
      </c>
      <c r="C99" s="38">
        <v>7.5899999999999995E-7</v>
      </c>
      <c r="D99" s="38">
        <v>1.75E-6</v>
      </c>
      <c r="E99" s="3"/>
      <c r="F99" s="38">
        <f t="shared" si="1"/>
        <v>7.7165354330708665E-5</v>
      </c>
      <c r="G99" s="38">
        <f t="shared" si="1"/>
        <v>2.9881889763779525E-5</v>
      </c>
      <c r="H99" s="38">
        <f t="shared" si="1"/>
        <v>6.8897637795275592E-5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1880</v>
      </c>
      <c r="B100" s="38">
        <v>1.8899999999999999E-6</v>
      </c>
      <c r="C100" s="38">
        <v>7.5799999999999998E-7</v>
      </c>
      <c r="D100" s="38">
        <v>1.77E-6</v>
      </c>
      <c r="E100" s="3"/>
      <c r="F100" s="38">
        <f t="shared" si="1"/>
        <v>7.4409448818897641E-5</v>
      </c>
      <c r="G100" s="38">
        <f t="shared" si="1"/>
        <v>2.9842519685039373E-5</v>
      </c>
      <c r="H100" s="38">
        <f t="shared" si="1"/>
        <v>6.9685039370078752E-5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1900</v>
      </c>
      <c r="B101" s="38">
        <v>1.81E-6</v>
      </c>
      <c r="C101" s="38">
        <v>7.54E-7</v>
      </c>
      <c r="D101" s="38">
        <v>1.7799999999999999E-6</v>
      </c>
      <c r="E101" s="3"/>
      <c r="F101" s="38">
        <f t="shared" si="1"/>
        <v>7.1259842519685044E-5</v>
      </c>
      <c r="G101" s="38">
        <f t="shared" si="1"/>
        <v>2.9685039370078742E-5</v>
      </c>
      <c r="H101" s="38">
        <f t="shared" si="1"/>
        <v>7.0078740157480311E-5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1920</v>
      </c>
      <c r="B102" s="38">
        <v>1.73E-6</v>
      </c>
      <c r="C102" s="38">
        <v>7.4600000000000004E-7</v>
      </c>
      <c r="D102" s="38">
        <v>1.79E-6</v>
      </c>
      <c r="E102" s="3"/>
      <c r="F102" s="38">
        <f t="shared" si="1"/>
        <v>6.8110236220472446E-5</v>
      </c>
      <c r="G102" s="38">
        <f t="shared" si="1"/>
        <v>2.9370078740157483E-5</v>
      </c>
      <c r="H102" s="38">
        <f t="shared" si="1"/>
        <v>7.0472440944881884E-5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1940</v>
      </c>
      <c r="B103" s="38">
        <v>1.64E-6</v>
      </c>
      <c r="C103" s="38">
        <v>7.3499999999999995E-7</v>
      </c>
      <c r="D103" s="38">
        <v>1.7999999999999999E-6</v>
      </c>
      <c r="E103" s="3"/>
      <c r="F103" s="38">
        <f t="shared" si="1"/>
        <v>6.4566929133858276E-5</v>
      </c>
      <c r="G103" s="38">
        <f t="shared" si="1"/>
        <v>2.8937007874015748E-5</v>
      </c>
      <c r="H103" s="38">
        <f t="shared" si="1"/>
        <v>7.0866141732283471E-5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1960</v>
      </c>
      <c r="B104" s="38">
        <v>1.5600000000000001E-6</v>
      </c>
      <c r="C104" s="38">
        <v>7.2099999999999996E-7</v>
      </c>
      <c r="D104" s="38">
        <v>1.7999999999999999E-6</v>
      </c>
      <c r="E104" s="3"/>
      <c r="F104" s="38">
        <f t="shared" si="1"/>
        <v>6.1417322834645679E-5</v>
      </c>
      <c r="G104" s="38">
        <f t="shared" si="1"/>
        <v>2.8385826771653544E-5</v>
      </c>
      <c r="H104" s="38">
        <f t="shared" si="1"/>
        <v>7.0866141732283471E-5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1980</v>
      </c>
      <c r="B105" s="38">
        <v>1.4699999999999999E-6</v>
      </c>
      <c r="C105" s="38">
        <v>7.06E-7</v>
      </c>
      <c r="D105" s="38">
        <v>1.81E-6</v>
      </c>
      <c r="E105" s="3"/>
      <c r="F105" s="38">
        <f t="shared" si="1"/>
        <v>5.7874015748031495E-5</v>
      </c>
      <c r="G105" s="38">
        <f t="shared" si="1"/>
        <v>2.7795275590551184E-5</v>
      </c>
      <c r="H105" s="38">
        <f t="shared" si="1"/>
        <v>7.1259842519685044E-5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2000</v>
      </c>
      <c r="B106" s="38">
        <v>1.39E-6</v>
      </c>
      <c r="C106" s="38">
        <v>6.8899999999999999E-7</v>
      </c>
      <c r="D106" s="38">
        <v>1.81E-6</v>
      </c>
      <c r="E106" s="3"/>
      <c r="F106" s="38">
        <f t="shared" si="1"/>
        <v>5.4724409448818898E-5</v>
      </c>
      <c r="G106" s="38">
        <f t="shared" si="1"/>
        <v>2.7125984251968504E-5</v>
      </c>
      <c r="H106" s="38">
        <f t="shared" si="1"/>
        <v>7.1259842519685044E-5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2020</v>
      </c>
      <c r="B107" s="38">
        <v>1.31E-6</v>
      </c>
      <c r="C107" s="38">
        <v>6.7199999999999998E-7</v>
      </c>
      <c r="D107" s="38">
        <v>1.8199999999999999E-6</v>
      </c>
      <c r="E107" s="3"/>
      <c r="F107" s="38">
        <f t="shared" si="1"/>
        <v>5.1574803149606301E-5</v>
      </c>
      <c r="G107" s="38">
        <f t="shared" si="1"/>
        <v>2.6456692913385827E-5</v>
      </c>
      <c r="H107" s="38">
        <f t="shared" si="1"/>
        <v>7.1653543307086617E-5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2040</v>
      </c>
      <c r="B108" s="38">
        <v>1.24E-6</v>
      </c>
      <c r="C108" s="38">
        <v>6.5499999999999998E-7</v>
      </c>
      <c r="D108" s="38">
        <v>1.8199999999999999E-6</v>
      </c>
      <c r="E108" s="3"/>
      <c r="F108" s="38">
        <f t="shared" si="1"/>
        <v>4.8818897637795277E-5</v>
      </c>
      <c r="G108" s="38">
        <f t="shared" si="1"/>
        <v>2.578740157480315E-5</v>
      </c>
      <c r="H108" s="38">
        <f t="shared" si="1"/>
        <v>7.1653543307086617E-5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2060</v>
      </c>
      <c r="B109" s="38">
        <v>1.17E-6</v>
      </c>
      <c r="C109" s="38">
        <v>6.3799999999999997E-7</v>
      </c>
      <c r="D109" s="38">
        <v>1.8199999999999999E-6</v>
      </c>
      <c r="E109" s="3"/>
      <c r="F109" s="38">
        <f t="shared" si="1"/>
        <v>4.6062992125984253E-5</v>
      </c>
      <c r="G109" s="38">
        <f t="shared" si="1"/>
        <v>2.5118110236220474E-5</v>
      </c>
      <c r="H109" s="38">
        <f t="shared" si="1"/>
        <v>7.1653543307086617E-5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2080</v>
      </c>
      <c r="B110" s="38">
        <v>1.1000000000000001E-6</v>
      </c>
      <c r="C110" s="38">
        <v>6.2200000000000004E-7</v>
      </c>
      <c r="D110" s="38">
        <v>1.8199999999999999E-6</v>
      </c>
      <c r="E110" s="3"/>
      <c r="F110" s="38">
        <f t="shared" si="1"/>
        <v>4.3307086614173235E-5</v>
      </c>
      <c r="G110" s="38">
        <f t="shared" si="1"/>
        <v>2.4488188976377956E-5</v>
      </c>
      <c r="H110" s="38">
        <f t="shared" si="1"/>
        <v>7.1653543307086617E-5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2100</v>
      </c>
      <c r="B111" s="38">
        <v>1.04E-6</v>
      </c>
      <c r="C111" s="38">
        <v>6.0500000000000003E-7</v>
      </c>
      <c r="D111" s="38">
        <v>1.8199999999999999E-6</v>
      </c>
      <c r="E111" s="3"/>
      <c r="F111" s="38">
        <f t="shared" si="1"/>
        <v>4.0944881889763777E-5</v>
      </c>
      <c r="G111" s="38">
        <f t="shared" si="1"/>
        <v>2.3818897637795279E-5</v>
      </c>
      <c r="H111" s="38">
        <f t="shared" si="1"/>
        <v>7.1653543307086617E-5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2120</v>
      </c>
      <c r="B112" s="38">
        <v>9.7600000000000006E-7</v>
      </c>
      <c r="C112" s="38">
        <v>5.8999999999999996E-7</v>
      </c>
      <c r="D112" s="38">
        <v>1.8199999999999999E-6</v>
      </c>
      <c r="E112" s="3"/>
      <c r="F112" s="38">
        <f t="shared" si="1"/>
        <v>3.8425196850393705E-5</v>
      </c>
      <c r="G112" s="38">
        <f t="shared" si="1"/>
        <v>2.3228346456692913E-5</v>
      </c>
      <c r="H112" s="38">
        <f t="shared" si="1"/>
        <v>7.1653543307086617E-5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2140</v>
      </c>
      <c r="B113" s="38">
        <v>9.2099999999999995E-7</v>
      </c>
      <c r="C113" s="38">
        <v>5.75E-7</v>
      </c>
      <c r="D113" s="38">
        <v>1.8199999999999999E-6</v>
      </c>
      <c r="E113" s="3"/>
      <c r="F113" s="38">
        <f t="shared" si="1"/>
        <v>3.625984251968504E-5</v>
      </c>
      <c r="G113" s="38">
        <f t="shared" si="1"/>
        <v>2.2637795275590553E-5</v>
      </c>
      <c r="H113" s="38">
        <f t="shared" si="1"/>
        <v>7.1653543307086617E-5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2160</v>
      </c>
      <c r="B114" s="38">
        <v>8.7000000000000003E-7</v>
      </c>
      <c r="C114" s="38">
        <v>5.6000000000000004E-7</v>
      </c>
      <c r="D114" s="38">
        <v>1.81E-6</v>
      </c>
      <c r="E114" s="3"/>
      <c r="F114" s="38">
        <f t="shared" si="1"/>
        <v>3.425196850393701E-5</v>
      </c>
      <c r="G114" s="38">
        <f t="shared" si="1"/>
        <v>2.2047244094488194E-5</v>
      </c>
      <c r="H114" s="38">
        <f t="shared" si="1"/>
        <v>7.1259842519685044E-5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2180</v>
      </c>
      <c r="B115" s="38">
        <v>8.23E-7</v>
      </c>
      <c r="C115" s="38">
        <v>5.4700000000000001E-7</v>
      </c>
      <c r="D115" s="38">
        <v>1.81E-6</v>
      </c>
      <c r="E115" s="3"/>
      <c r="F115" s="38">
        <f t="shared" si="1"/>
        <v>3.2401574803149607E-5</v>
      </c>
      <c r="G115" s="38">
        <f t="shared" si="1"/>
        <v>2.1535433070866142E-5</v>
      </c>
      <c r="H115" s="38">
        <f t="shared" si="1"/>
        <v>7.1259842519685044E-5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2200</v>
      </c>
      <c r="B116" s="38">
        <v>7.7899999999999997E-7</v>
      </c>
      <c r="C116" s="38">
        <v>5.3399999999999999E-7</v>
      </c>
      <c r="D116" s="38">
        <v>1.81E-6</v>
      </c>
      <c r="E116" s="3"/>
      <c r="F116" s="38">
        <f t="shared" si="1"/>
        <v>3.0669291338582674E-5</v>
      </c>
      <c r="G116" s="38">
        <f t="shared" si="1"/>
        <v>2.1023622047244096E-5</v>
      </c>
      <c r="H116" s="38">
        <f t="shared" si="1"/>
        <v>7.1259842519685044E-5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2220</v>
      </c>
      <c r="B117" s="38">
        <v>7.3799999999999996E-7</v>
      </c>
      <c r="C117" s="38">
        <v>5.2200000000000004E-7</v>
      </c>
      <c r="D117" s="38">
        <v>1.7999999999999999E-6</v>
      </c>
      <c r="E117" s="3"/>
      <c r="F117" s="38">
        <f t="shared" si="1"/>
        <v>2.905511811023622E-5</v>
      </c>
      <c r="G117" s="38">
        <f t="shared" si="1"/>
        <v>2.0551181102362206E-5</v>
      </c>
      <c r="H117" s="38">
        <f t="shared" si="1"/>
        <v>7.0866141732283471E-5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2240</v>
      </c>
      <c r="B118" s="38">
        <v>6.9999999999999997E-7</v>
      </c>
      <c r="C118" s="38">
        <v>5.1099999999999996E-7</v>
      </c>
      <c r="D118" s="38">
        <v>1.7999999999999999E-6</v>
      </c>
      <c r="E118" s="3"/>
      <c r="F118" s="38">
        <f t="shared" si="1"/>
        <v>2.7559055118110239E-5</v>
      </c>
      <c r="G118" s="38">
        <f t="shared" si="1"/>
        <v>2.0118110236220471E-5</v>
      </c>
      <c r="H118" s="38">
        <f t="shared" si="1"/>
        <v>7.0866141732283471E-5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2260</v>
      </c>
      <c r="B119" s="38">
        <v>6.6599999999999996E-7</v>
      </c>
      <c r="C119" s="38">
        <v>4.9999999999999998E-7</v>
      </c>
      <c r="D119" s="38">
        <v>1.79E-6</v>
      </c>
      <c r="E119" s="3"/>
      <c r="F119" s="38">
        <f t="shared" si="1"/>
        <v>2.6220472440944882E-5</v>
      </c>
      <c r="G119" s="38">
        <f t="shared" si="1"/>
        <v>1.9685039370078743E-5</v>
      </c>
      <c r="H119" s="38">
        <f t="shared" si="1"/>
        <v>7.0472440944881884E-5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2280</v>
      </c>
      <c r="B120" s="38">
        <v>6.3300000000000002E-7</v>
      </c>
      <c r="C120" s="38">
        <v>4.8999999999999997E-7</v>
      </c>
      <c r="D120" s="38">
        <v>1.79E-6</v>
      </c>
      <c r="E120" s="3"/>
      <c r="F120" s="38">
        <f t="shared" si="1"/>
        <v>2.4921259842519687E-5</v>
      </c>
      <c r="G120" s="38">
        <f t="shared" si="1"/>
        <v>1.9291338582677166E-5</v>
      </c>
      <c r="H120" s="38">
        <f t="shared" si="1"/>
        <v>7.0472440944881884E-5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2300</v>
      </c>
      <c r="B121" s="38">
        <v>6.0399999999999996E-7</v>
      </c>
      <c r="C121" s="38">
        <v>4.7999999999999996E-7</v>
      </c>
      <c r="D121" s="38">
        <v>1.7799999999999999E-6</v>
      </c>
      <c r="E121" s="3"/>
      <c r="F121" s="38">
        <f t="shared" si="1"/>
        <v>2.3779527559055117E-5</v>
      </c>
      <c r="G121" s="38">
        <f t="shared" si="1"/>
        <v>1.889763779527559E-5</v>
      </c>
      <c r="H121" s="38">
        <f t="shared" si="1"/>
        <v>7.0078740157480311E-5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2320</v>
      </c>
      <c r="B122" s="38">
        <v>5.7599999999999997E-7</v>
      </c>
      <c r="C122" s="38">
        <v>4.7100000000000002E-7</v>
      </c>
      <c r="D122" s="38">
        <v>1.7799999999999999E-6</v>
      </c>
      <c r="E122" s="3"/>
      <c r="F122" s="38">
        <f t="shared" si="1"/>
        <v>2.2677165354330712E-5</v>
      </c>
      <c r="G122" s="38">
        <f t="shared" si="1"/>
        <v>1.8543307086614176E-5</v>
      </c>
      <c r="H122" s="38">
        <f t="shared" si="1"/>
        <v>7.0078740157480311E-5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2340</v>
      </c>
      <c r="B123" s="38">
        <v>5.5000000000000003E-7</v>
      </c>
      <c r="C123" s="38">
        <v>4.6199999999999998E-7</v>
      </c>
      <c r="D123" s="38">
        <v>1.77E-6</v>
      </c>
      <c r="E123" s="3"/>
      <c r="F123" s="38">
        <f t="shared" si="1"/>
        <v>2.1653543307086618E-5</v>
      </c>
      <c r="G123" s="38">
        <f t="shared" si="1"/>
        <v>1.8188976377952755E-5</v>
      </c>
      <c r="H123" s="38">
        <f t="shared" si="1"/>
        <v>6.9685039370078752E-5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2360</v>
      </c>
      <c r="B124" s="38">
        <v>5.2699999999999999E-7</v>
      </c>
      <c r="C124" s="38">
        <v>4.5400000000000002E-7</v>
      </c>
      <c r="D124" s="38">
        <v>1.77E-6</v>
      </c>
      <c r="E124" s="3"/>
      <c r="F124" s="38">
        <f t="shared" si="1"/>
        <v>2.0748031496062992E-5</v>
      </c>
      <c r="G124" s="38">
        <f t="shared" si="1"/>
        <v>1.7874015748031499E-5</v>
      </c>
      <c r="H124" s="38">
        <f t="shared" si="1"/>
        <v>6.9685039370078752E-5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2380</v>
      </c>
      <c r="B125" s="38">
        <v>5.0399999999999996E-7</v>
      </c>
      <c r="C125" s="38">
        <v>4.46E-7</v>
      </c>
      <c r="D125" s="38">
        <v>1.7600000000000001E-6</v>
      </c>
      <c r="E125" s="3"/>
      <c r="F125" s="38">
        <f t="shared" si="1"/>
        <v>1.984251968503937E-5</v>
      </c>
      <c r="G125" s="38">
        <f t="shared" si="1"/>
        <v>1.7559055118110236E-5</v>
      </c>
      <c r="H125" s="38">
        <f t="shared" si="1"/>
        <v>6.9291338582677165E-5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2400</v>
      </c>
      <c r="B126" s="38">
        <v>4.8400000000000005E-7</v>
      </c>
      <c r="C126" s="38">
        <v>4.39E-7</v>
      </c>
      <c r="D126" s="38">
        <v>1.7600000000000001E-6</v>
      </c>
      <c r="E126" s="3"/>
      <c r="F126" s="38">
        <f t="shared" si="1"/>
        <v>1.9055118110236225E-5</v>
      </c>
      <c r="G126" s="38">
        <f t="shared" si="1"/>
        <v>1.7283464566929136E-5</v>
      </c>
      <c r="H126" s="38">
        <f t="shared" si="1"/>
        <v>6.9291338582677165E-5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3.05E-6</v>
      </c>
      <c r="C128" s="38">
        <f>MAX(C6:C126)</f>
        <v>7.5899999999999995E-7</v>
      </c>
      <c r="D128" s="38">
        <f>MAX(D6:D126)</f>
        <v>2.2699999999999999E-6</v>
      </c>
      <c r="E128" s="4"/>
      <c r="F128" s="38">
        <f>MAX(F20:F126)</f>
        <v>1.2007874015748033E-4</v>
      </c>
      <c r="G128" s="38">
        <f>MAX(G20:G126)</f>
        <v>2.9881889763779525E-5</v>
      </c>
      <c r="H128" s="38">
        <f>MAX(H20:H126)</f>
        <v>8.9370078740157481E-5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5.7491145560693206E-4</v>
      </c>
      <c r="C129" s="38">
        <f>C128*limits!$E29</f>
        <v>1.4306812944447916E-4</v>
      </c>
      <c r="D129" s="38">
        <f>D128*limits!$E29</f>
        <v>4.2788491941892978E-4</v>
      </c>
      <c r="E129" s="4"/>
      <c r="F129" s="38">
        <f>F128*limits!$E29</f>
        <v>2.2634309275863473E-2</v>
      </c>
      <c r="G129" s="38">
        <f>G128*limits!$E29</f>
        <v>5.6326035214361875E-3</v>
      </c>
      <c r="H129" s="38">
        <f>H128*limits!$E29</f>
        <v>1.6845862969249205E-2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A4:A5"/>
    <mergeCell ref="B4:D4"/>
    <mergeCell ref="F4:H4"/>
  </mergeCells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A34E-D584-416D-9765-D07C5FA77705}">
  <dimension ref="A1:AD140"/>
  <sheetViews>
    <sheetView showGridLines="0" zoomScaleNormal="100" workbookViewId="0">
      <selection activeCell="I39" sqref="I39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34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40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2" t="s">
        <v>35</v>
      </c>
      <c r="B4" s="41" t="s">
        <v>36</v>
      </c>
      <c r="C4" s="41"/>
      <c r="D4" s="41"/>
      <c r="E4" s="3"/>
      <c r="F4" s="41" t="s">
        <v>37</v>
      </c>
      <c r="G4" s="41"/>
      <c r="H4" s="4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3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8.4299999999999997E-17</v>
      </c>
      <c r="C6" s="38">
        <v>7.8000000000000001E-18</v>
      </c>
      <c r="D6" s="38">
        <v>7.8200000000000006E-17</v>
      </c>
      <c r="E6" s="3"/>
      <c r="F6" s="38">
        <f>B6*1000/25.4</f>
        <v>3.3188976377952754E-15</v>
      </c>
      <c r="G6" s="38">
        <f>C6*1000/25.4</f>
        <v>3.0708661417322841E-16</v>
      </c>
      <c r="H6" s="38">
        <f>D6*1000/25.4</f>
        <v>3.0787401574803155E-15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20</v>
      </c>
      <c r="B7" s="38">
        <v>3.7000000000000001E-10</v>
      </c>
      <c r="C7" s="38">
        <v>3.4200000000000002E-11</v>
      </c>
      <c r="D7" s="38">
        <v>3.44E-10</v>
      </c>
      <c r="E7" s="3"/>
      <c r="F7" s="38">
        <f t="shared" ref="F7:H70" si="0">B7*1000/25.4</f>
        <v>1.4566929133858269E-8</v>
      </c>
      <c r="G7" s="38">
        <f t="shared" si="0"/>
        <v>1.346456692913386E-9</v>
      </c>
      <c r="H7" s="38">
        <f t="shared" si="0"/>
        <v>1.3543307086614174E-8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40</v>
      </c>
      <c r="B8" s="38">
        <v>1.4800000000000001E-9</v>
      </c>
      <c r="C8" s="38">
        <v>1.3699999999999999E-10</v>
      </c>
      <c r="D8" s="38">
        <v>1.38E-9</v>
      </c>
      <c r="E8" s="3"/>
      <c r="F8" s="38">
        <f t="shared" si="0"/>
        <v>5.8267716535433076E-8</v>
      </c>
      <c r="G8" s="38">
        <f t="shared" si="0"/>
        <v>5.3937007874015752E-9</v>
      </c>
      <c r="H8" s="38">
        <f t="shared" si="0"/>
        <v>5.4330708661417322E-8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60</v>
      </c>
      <c r="B9" s="38">
        <v>3.3499999999999998E-9</v>
      </c>
      <c r="C9" s="38">
        <v>3.1000000000000002E-10</v>
      </c>
      <c r="D9" s="38">
        <v>3.1099999999999998E-9</v>
      </c>
      <c r="E9" s="3"/>
      <c r="F9" s="38">
        <f t="shared" si="0"/>
        <v>1.3188976377952756E-7</v>
      </c>
      <c r="G9" s="38">
        <f t="shared" si="0"/>
        <v>1.220472440944882E-8</v>
      </c>
      <c r="H9" s="38">
        <f t="shared" si="0"/>
        <v>1.2244094488188977E-7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80</v>
      </c>
      <c r="B10" s="38">
        <v>5.9799999999999996E-9</v>
      </c>
      <c r="C10" s="38">
        <v>5.5400000000000005E-10</v>
      </c>
      <c r="D10" s="38">
        <v>5.5599999999999998E-9</v>
      </c>
      <c r="E10" s="3"/>
      <c r="F10" s="38">
        <f t="shared" si="0"/>
        <v>2.3543307086614172E-7</v>
      </c>
      <c r="G10" s="38">
        <f t="shared" si="0"/>
        <v>2.1811023622047245E-8</v>
      </c>
      <c r="H10" s="38">
        <f t="shared" si="0"/>
        <v>2.1889763779527562E-7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100</v>
      </c>
      <c r="B11" s="38">
        <v>9.4099999999999996E-9</v>
      </c>
      <c r="C11" s="38">
        <v>8.7199999999999999E-10</v>
      </c>
      <c r="D11" s="38">
        <v>8.7500000000000006E-9</v>
      </c>
      <c r="E11" s="3"/>
      <c r="F11" s="38">
        <f t="shared" si="0"/>
        <v>3.7047244094488189E-7</v>
      </c>
      <c r="G11" s="38">
        <f t="shared" si="0"/>
        <v>3.4330708661417321E-8</v>
      </c>
      <c r="H11" s="38">
        <f t="shared" si="0"/>
        <v>3.4448818897637803E-7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120</v>
      </c>
      <c r="B12" s="38">
        <v>1.37E-8</v>
      </c>
      <c r="C12" s="38">
        <v>1.27E-9</v>
      </c>
      <c r="D12" s="38">
        <v>1.27E-8</v>
      </c>
      <c r="E12" s="3"/>
      <c r="F12" s="38">
        <f t="shared" si="0"/>
        <v>5.3937007874015757E-7</v>
      </c>
      <c r="G12" s="38">
        <f t="shared" si="0"/>
        <v>4.9999999999999998E-8</v>
      </c>
      <c r="H12" s="38">
        <f t="shared" si="0"/>
        <v>5.0000000000000008E-7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140</v>
      </c>
      <c r="B13" s="38">
        <v>1.88E-8</v>
      </c>
      <c r="C13" s="38">
        <v>1.74E-9</v>
      </c>
      <c r="D13" s="38">
        <v>1.74E-8</v>
      </c>
      <c r="E13" s="3"/>
      <c r="F13" s="38">
        <f t="shared" si="0"/>
        <v>7.4015748031496067E-7</v>
      </c>
      <c r="G13" s="38">
        <f t="shared" si="0"/>
        <v>6.8503937007874017E-8</v>
      </c>
      <c r="H13" s="38">
        <f t="shared" si="0"/>
        <v>6.8503937007874017E-7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160</v>
      </c>
      <c r="B14" s="38">
        <v>2.48E-8</v>
      </c>
      <c r="C14" s="38">
        <v>2.2999999999999999E-9</v>
      </c>
      <c r="D14" s="38">
        <v>2.3000000000000001E-8</v>
      </c>
      <c r="E14" s="3"/>
      <c r="F14" s="38">
        <f t="shared" si="0"/>
        <v>9.7637795275590548E-7</v>
      </c>
      <c r="G14" s="38">
        <f t="shared" si="0"/>
        <v>9.0551181102362207E-8</v>
      </c>
      <c r="H14" s="38">
        <f t="shared" si="0"/>
        <v>9.0551181102362207E-7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180</v>
      </c>
      <c r="B15" s="38">
        <v>3.18E-8</v>
      </c>
      <c r="C15" s="38">
        <v>2.9499999999999999E-9</v>
      </c>
      <c r="D15" s="38">
        <v>2.9399999999999999E-8</v>
      </c>
      <c r="E15" s="3"/>
      <c r="F15" s="38">
        <f t="shared" si="0"/>
        <v>1.251968503937008E-6</v>
      </c>
      <c r="G15" s="38">
        <f t="shared" si="0"/>
        <v>1.1614173228346458E-7</v>
      </c>
      <c r="H15" s="38">
        <f t="shared" si="0"/>
        <v>1.1574803149606299E-6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200</v>
      </c>
      <c r="B16" s="38">
        <v>3.9799999999999999E-8</v>
      </c>
      <c r="C16" s="38">
        <v>3.6899999999999999E-9</v>
      </c>
      <c r="D16" s="38">
        <v>3.6799999999999999E-8</v>
      </c>
      <c r="E16" s="3"/>
      <c r="F16" s="38">
        <f t="shared" si="0"/>
        <v>1.5669291338582677E-6</v>
      </c>
      <c r="G16" s="38">
        <f t="shared" si="0"/>
        <v>1.452755905511811E-7</v>
      </c>
      <c r="H16" s="38">
        <f t="shared" si="0"/>
        <v>1.4488188976377953E-6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220</v>
      </c>
      <c r="B17" s="38">
        <v>4.8900000000000001E-8</v>
      </c>
      <c r="C17" s="38">
        <v>4.5299999999999999E-9</v>
      </c>
      <c r="D17" s="38">
        <v>4.5200000000000001E-8</v>
      </c>
      <c r="E17" s="3"/>
      <c r="F17" s="38">
        <f t="shared" si="0"/>
        <v>1.9251968503937009E-6</v>
      </c>
      <c r="G17" s="38">
        <f t="shared" si="0"/>
        <v>1.7834645669291338E-7</v>
      </c>
      <c r="H17" s="38">
        <f t="shared" si="0"/>
        <v>1.7795275590551183E-6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240</v>
      </c>
      <c r="B18" s="38">
        <v>5.91E-8</v>
      </c>
      <c r="C18" s="38">
        <v>5.4899999999999999E-9</v>
      </c>
      <c r="D18" s="38">
        <v>5.4599999999999999E-8</v>
      </c>
      <c r="E18" s="3"/>
      <c r="F18" s="38">
        <f t="shared" si="0"/>
        <v>2.3267716535433071E-6</v>
      </c>
      <c r="G18" s="38">
        <f t="shared" si="0"/>
        <v>2.1614173228346459E-7</v>
      </c>
      <c r="H18" s="38">
        <f t="shared" si="0"/>
        <v>2.1496062992125987E-6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260</v>
      </c>
      <c r="B19" s="38">
        <v>7.0700000000000004E-8</v>
      </c>
      <c r="C19" s="38">
        <v>6.5599999999999997E-9</v>
      </c>
      <c r="D19" s="38">
        <v>6.5200000000000001E-8</v>
      </c>
      <c r="E19" s="3"/>
      <c r="F19" s="38">
        <f t="shared" si="0"/>
        <v>2.7834645669291343E-6</v>
      </c>
      <c r="G19" s="38">
        <f t="shared" si="0"/>
        <v>2.5826771653543311E-7</v>
      </c>
      <c r="H19" s="38">
        <f t="shared" si="0"/>
        <v>2.5669291338582676E-6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280</v>
      </c>
      <c r="B20" s="38">
        <v>8.3599999999999994E-8</v>
      </c>
      <c r="C20" s="38">
        <v>7.7499999999999999E-9</v>
      </c>
      <c r="D20" s="38">
        <v>7.7000000000000001E-8</v>
      </c>
      <c r="E20" s="3"/>
      <c r="F20" s="38">
        <f t="shared" si="0"/>
        <v>3.2913385826771657E-6</v>
      </c>
      <c r="G20" s="38">
        <f t="shared" si="0"/>
        <v>3.0511811023622049E-7</v>
      </c>
      <c r="H20" s="38">
        <f t="shared" si="0"/>
        <v>3.0314960629921263E-6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300</v>
      </c>
      <c r="B21" s="38">
        <v>9.8000000000000004E-8</v>
      </c>
      <c r="C21" s="38">
        <v>9.0799999999999993E-9</v>
      </c>
      <c r="D21" s="38">
        <v>9.0100000000000006E-8</v>
      </c>
      <c r="E21" s="3"/>
      <c r="F21" s="38">
        <f t="shared" si="0"/>
        <v>3.8582677165354334E-6</v>
      </c>
      <c r="G21" s="38">
        <f t="shared" si="0"/>
        <v>3.5748031496062994E-7</v>
      </c>
      <c r="H21" s="38">
        <f t="shared" si="0"/>
        <v>3.5472440944881893E-6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320</v>
      </c>
      <c r="B22" s="38">
        <v>1.14E-7</v>
      </c>
      <c r="C22" s="38">
        <v>1.0600000000000001E-8</v>
      </c>
      <c r="D22" s="38">
        <v>1.05E-7</v>
      </c>
      <c r="E22" s="3"/>
      <c r="F22" s="38">
        <f t="shared" si="0"/>
        <v>4.4881889763779532E-6</v>
      </c>
      <c r="G22" s="38">
        <f t="shared" si="0"/>
        <v>4.1732283464566933E-7</v>
      </c>
      <c r="H22" s="38">
        <f t="shared" si="0"/>
        <v>4.1338582677165355E-6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340</v>
      </c>
      <c r="B23" s="38">
        <v>1.3199999999999999E-7</v>
      </c>
      <c r="C23" s="38">
        <v>1.22E-8</v>
      </c>
      <c r="D23" s="38">
        <v>1.2100000000000001E-7</v>
      </c>
      <c r="E23" s="3"/>
      <c r="F23" s="38">
        <f t="shared" si="0"/>
        <v>5.1968503937007869E-6</v>
      </c>
      <c r="G23" s="38">
        <f t="shared" si="0"/>
        <v>4.8031496062992129E-7</v>
      </c>
      <c r="H23" s="38">
        <f t="shared" si="0"/>
        <v>4.7637795275590561E-6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360</v>
      </c>
      <c r="B24" s="38">
        <v>1.5200000000000001E-7</v>
      </c>
      <c r="C24" s="38">
        <v>1.4100000000000001E-8</v>
      </c>
      <c r="D24" s="38">
        <v>1.3799999999999999E-7</v>
      </c>
      <c r="E24" s="3"/>
      <c r="F24" s="38">
        <f t="shared" si="0"/>
        <v>5.9842519685039379E-6</v>
      </c>
      <c r="G24" s="38">
        <f t="shared" si="0"/>
        <v>5.5511811023622048E-7</v>
      </c>
      <c r="H24" s="38">
        <f t="shared" si="0"/>
        <v>5.433070866141732E-6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380</v>
      </c>
      <c r="B25" s="38">
        <v>1.73E-7</v>
      </c>
      <c r="C25" s="38">
        <v>1.6199999999999999E-8</v>
      </c>
      <c r="D25" s="38">
        <v>1.5800000000000001E-7</v>
      </c>
      <c r="E25" s="3"/>
      <c r="F25" s="38">
        <f t="shared" si="0"/>
        <v>6.811023622047245E-6</v>
      </c>
      <c r="G25" s="38">
        <f t="shared" si="0"/>
        <v>6.3779527559055123E-7</v>
      </c>
      <c r="H25" s="38">
        <f t="shared" si="0"/>
        <v>6.220472440944883E-6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400</v>
      </c>
      <c r="B26" s="38">
        <v>1.98E-7</v>
      </c>
      <c r="C26" s="38">
        <v>1.85E-8</v>
      </c>
      <c r="D26" s="38">
        <v>1.79E-7</v>
      </c>
      <c r="E26" s="3"/>
      <c r="F26" s="38">
        <f t="shared" si="0"/>
        <v>7.7952755905511808E-6</v>
      </c>
      <c r="G26" s="38">
        <f t="shared" si="0"/>
        <v>7.2834645669291344E-7</v>
      </c>
      <c r="H26" s="38">
        <f t="shared" si="0"/>
        <v>7.0472440944881901E-6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420</v>
      </c>
      <c r="B27" s="38">
        <v>2.2499999999999999E-7</v>
      </c>
      <c r="C27" s="38">
        <v>2.0999999999999999E-8</v>
      </c>
      <c r="D27" s="38">
        <v>2.03E-7</v>
      </c>
      <c r="E27" s="3"/>
      <c r="F27" s="38">
        <f t="shared" si="0"/>
        <v>8.8582677165354338E-6</v>
      </c>
      <c r="G27" s="38">
        <f t="shared" si="0"/>
        <v>8.267716535433071E-7</v>
      </c>
      <c r="H27" s="38">
        <f t="shared" si="0"/>
        <v>7.9921259842519689E-6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440</v>
      </c>
      <c r="B28" s="38">
        <v>2.5499999999999999E-7</v>
      </c>
      <c r="C28" s="38">
        <v>2.3800000000000001E-8</v>
      </c>
      <c r="D28" s="38">
        <v>2.29E-7</v>
      </c>
      <c r="E28" s="3"/>
      <c r="F28" s="38">
        <f t="shared" si="0"/>
        <v>1.0039370078740159E-5</v>
      </c>
      <c r="G28" s="38">
        <f t="shared" si="0"/>
        <v>9.3700787401574821E-7</v>
      </c>
      <c r="H28" s="38">
        <f t="shared" si="0"/>
        <v>9.0157480314960633E-6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460</v>
      </c>
      <c r="B29" s="38">
        <v>2.8799999999999998E-7</v>
      </c>
      <c r="C29" s="38">
        <v>2.7E-8</v>
      </c>
      <c r="D29" s="38">
        <v>2.5699999999999999E-7</v>
      </c>
      <c r="E29" s="3"/>
      <c r="F29" s="38">
        <f t="shared" si="0"/>
        <v>1.1338582677165356E-5</v>
      </c>
      <c r="G29" s="38">
        <f t="shared" si="0"/>
        <v>1.062992125984252E-6</v>
      </c>
      <c r="H29" s="38">
        <f t="shared" si="0"/>
        <v>1.0118110236220472E-5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480</v>
      </c>
      <c r="B30" s="38">
        <v>3.2500000000000001E-7</v>
      </c>
      <c r="C30" s="38">
        <v>3.0500000000000002E-8</v>
      </c>
      <c r="D30" s="38">
        <v>2.8900000000000001E-7</v>
      </c>
      <c r="E30" s="3"/>
      <c r="F30" s="38">
        <f t="shared" si="0"/>
        <v>1.2795275590551182E-5</v>
      </c>
      <c r="G30" s="38">
        <f t="shared" si="0"/>
        <v>1.2007874015748033E-6</v>
      </c>
      <c r="H30" s="38">
        <f t="shared" si="0"/>
        <v>1.1377952755905513E-5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500</v>
      </c>
      <c r="B31" s="38">
        <v>3.6699999999999999E-7</v>
      </c>
      <c r="C31" s="38">
        <v>3.4300000000000003E-8</v>
      </c>
      <c r="D31" s="38">
        <v>3.2300000000000002E-7</v>
      </c>
      <c r="E31" s="3"/>
      <c r="F31" s="38">
        <f t="shared" si="0"/>
        <v>1.4448818897637795E-5</v>
      </c>
      <c r="G31" s="38">
        <f t="shared" si="0"/>
        <v>1.3503937007874017E-6</v>
      </c>
      <c r="H31" s="38">
        <f t="shared" si="0"/>
        <v>1.2716535433070868E-5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520</v>
      </c>
      <c r="B32" s="38">
        <v>4.1300000000000001E-7</v>
      </c>
      <c r="C32" s="38">
        <v>3.8700000000000002E-8</v>
      </c>
      <c r="D32" s="38">
        <v>3.6199999999999999E-7</v>
      </c>
      <c r="E32" s="3"/>
      <c r="F32" s="38">
        <f t="shared" si="0"/>
        <v>1.6259842519685042E-5</v>
      </c>
      <c r="G32" s="38">
        <f t="shared" si="0"/>
        <v>1.5236220472440947E-6</v>
      </c>
      <c r="H32" s="38">
        <f t="shared" si="0"/>
        <v>1.4251968503937008E-5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540</v>
      </c>
      <c r="B33" s="38">
        <v>4.6600000000000002E-7</v>
      </c>
      <c r="C33" s="38">
        <v>4.3499999999999999E-8</v>
      </c>
      <c r="D33" s="38">
        <v>4.03E-7</v>
      </c>
      <c r="E33" s="3"/>
      <c r="F33" s="38">
        <f t="shared" si="0"/>
        <v>1.8346456692913386E-5</v>
      </c>
      <c r="G33" s="38">
        <f t="shared" si="0"/>
        <v>1.7125984251968505E-6</v>
      </c>
      <c r="H33" s="38">
        <f t="shared" si="0"/>
        <v>1.5866141732283465E-5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560</v>
      </c>
      <c r="B34" s="38">
        <v>5.2600000000000002E-7</v>
      </c>
      <c r="C34" s="38">
        <v>4.8900000000000001E-8</v>
      </c>
      <c r="D34" s="38">
        <v>4.4999999999999998E-7</v>
      </c>
      <c r="E34" s="3"/>
      <c r="F34" s="38">
        <f t="shared" si="0"/>
        <v>2.0708661417322837E-5</v>
      </c>
      <c r="G34" s="38">
        <f t="shared" si="0"/>
        <v>1.9251968503937009E-6</v>
      </c>
      <c r="H34" s="38">
        <f t="shared" si="0"/>
        <v>1.7716535433070868E-5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580</v>
      </c>
      <c r="B35" s="38">
        <v>5.9299999999999998E-7</v>
      </c>
      <c r="C35" s="38">
        <v>5.5000000000000003E-8</v>
      </c>
      <c r="D35" s="38">
        <v>5.0100000000000005E-7</v>
      </c>
      <c r="E35" s="3"/>
      <c r="F35" s="38">
        <f t="shared" si="0"/>
        <v>2.3346456692913385E-5</v>
      </c>
      <c r="G35" s="38">
        <f t="shared" si="0"/>
        <v>2.1653543307086614E-6</v>
      </c>
      <c r="H35" s="38">
        <f t="shared" si="0"/>
        <v>1.9724409448818901E-5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600</v>
      </c>
      <c r="B36" s="38">
        <v>6.7000000000000004E-7</v>
      </c>
      <c r="C36" s="38">
        <v>6.1900000000000005E-8</v>
      </c>
      <c r="D36" s="38">
        <v>5.5700000000000002E-7</v>
      </c>
      <c r="E36" s="3"/>
      <c r="F36" s="38">
        <f t="shared" si="0"/>
        <v>2.6377952755905513E-5</v>
      </c>
      <c r="G36" s="38">
        <f t="shared" si="0"/>
        <v>2.4370078740157481E-6</v>
      </c>
      <c r="H36" s="38">
        <f t="shared" si="0"/>
        <v>2.1929133858267718E-5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620</v>
      </c>
      <c r="B37" s="38">
        <v>7.5700000000000002E-7</v>
      </c>
      <c r="C37" s="38">
        <v>6.9699999999999995E-8</v>
      </c>
      <c r="D37" s="38">
        <v>6.1900000000000002E-7</v>
      </c>
      <c r="E37" s="3"/>
      <c r="F37" s="38">
        <f t="shared" si="0"/>
        <v>2.9803149606299214E-5</v>
      </c>
      <c r="G37" s="38">
        <f t="shared" si="0"/>
        <v>2.7440944881889765E-6</v>
      </c>
      <c r="H37" s="38">
        <f t="shared" si="0"/>
        <v>2.437007874015748E-5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640</v>
      </c>
      <c r="B38" s="38">
        <v>8.5700000000000001E-7</v>
      </c>
      <c r="C38" s="38">
        <v>7.8499999999999995E-8</v>
      </c>
      <c r="D38" s="38">
        <v>6.8800000000000002E-7</v>
      </c>
      <c r="E38" s="3"/>
      <c r="F38" s="38">
        <f t="shared" si="0"/>
        <v>3.3740157480314961E-5</v>
      </c>
      <c r="G38" s="38">
        <f t="shared" si="0"/>
        <v>3.0905511811023622E-6</v>
      </c>
      <c r="H38" s="38">
        <f t="shared" si="0"/>
        <v>2.7086614173228349E-5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660</v>
      </c>
      <c r="B39" s="38">
        <v>9.7199999999999997E-7</v>
      </c>
      <c r="C39" s="38">
        <v>8.8399999999999997E-8</v>
      </c>
      <c r="D39" s="38">
        <v>7.6400000000000001E-7</v>
      </c>
      <c r="E39" s="3"/>
      <c r="F39" s="38">
        <f t="shared" si="0"/>
        <v>3.826771653543307E-5</v>
      </c>
      <c r="G39" s="38">
        <f t="shared" si="0"/>
        <v>3.480314960629921E-6</v>
      </c>
      <c r="H39" s="38">
        <f t="shared" si="0"/>
        <v>3.0078740157480318E-5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680</v>
      </c>
      <c r="B40" s="38">
        <v>1.1000000000000001E-6</v>
      </c>
      <c r="C40" s="38">
        <v>9.9699999999999999E-8</v>
      </c>
      <c r="D40" s="38">
        <v>8.4799999999999997E-7</v>
      </c>
      <c r="E40" s="3"/>
      <c r="F40" s="38">
        <f t="shared" si="0"/>
        <v>4.3307086614173235E-5</v>
      </c>
      <c r="G40" s="38">
        <f t="shared" si="0"/>
        <v>3.9251968503937013E-6</v>
      </c>
      <c r="H40" s="38">
        <f t="shared" si="0"/>
        <v>3.3385826771653546E-5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700</v>
      </c>
      <c r="B41" s="38">
        <v>1.26E-6</v>
      </c>
      <c r="C41" s="38">
        <v>1.1300000000000001E-7</v>
      </c>
      <c r="D41" s="38">
        <v>9.4E-7</v>
      </c>
      <c r="E41" s="3"/>
      <c r="F41" s="38">
        <f t="shared" si="0"/>
        <v>4.9606299212598429E-5</v>
      </c>
      <c r="G41" s="38">
        <f t="shared" si="0"/>
        <v>4.4488188976377962E-6</v>
      </c>
      <c r="H41" s="38">
        <f t="shared" si="0"/>
        <v>3.7007874015748034E-5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720</v>
      </c>
      <c r="B42" s="38">
        <v>1.4300000000000001E-6</v>
      </c>
      <c r="C42" s="38">
        <v>1.2700000000000001E-7</v>
      </c>
      <c r="D42" s="38">
        <v>1.04E-6</v>
      </c>
      <c r="E42" s="3"/>
      <c r="F42" s="38">
        <f t="shared" si="0"/>
        <v>5.6299212598425204E-5</v>
      </c>
      <c r="G42" s="38">
        <f t="shared" si="0"/>
        <v>5.0000000000000013E-6</v>
      </c>
      <c r="H42" s="38">
        <f t="shared" si="0"/>
        <v>4.0944881889763777E-5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740</v>
      </c>
      <c r="B43" s="38">
        <v>1.6300000000000001E-6</v>
      </c>
      <c r="C43" s="38">
        <v>1.43E-7</v>
      </c>
      <c r="D43" s="38">
        <v>1.15E-6</v>
      </c>
      <c r="E43" s="3"/>
      <c r="F43" s="38">
        <f t="shared" si="0"/>
        <v>6.4173228346456703E-5</v>
      </c>
      <c r="G43" s="38">
        <f t="shared" si="0"/>
        <v>5.6299212598425202E-6</v>
      </c>
      <c r="H43" s="38">
        <f t="shared" si="0"/>
        <v>4.5275590551181107E-5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760</v>
      </c>
      <c r="B44" s="38">
        <v>1.8500000000000001E-6</v>
      </c>
      <c r="C44" s="38">
        <v>1.6199999999999999E-7</v>
      </c>
      <c r="D44" s="38">
        <v>1.26E-6</v>
      </c>
      <c r="E44" s="3"/>
      <c r="F44" s="38">
        <f t="shared" si="0"/>
        <v>7.2834645669291349E-5</v>
      </c>
      <c r="G44" s="38">
        <f t="shared" si="0"/>
        <v>6.3779527559055125E-6</v>
      </c>
      <c r="H44" s="38">
        <f t="shared" si="0"/>
        <v>4.9606299212598429E-5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780</v>
      </c>
      <c r="B45" s="38">
        <v>2.0899999999999999E-6</v>
      </c>
      <c r="C45" s="38">
        <v>1.8199999999999999E-7</v>
      </c>
      <c r="D45" s="38">
        <v>1.37E-6</v>
      </c>
      <c r="E45" s="3"/>
      <c r="F45" s="38">
        <f t="shared" si="0"/>
        <v>8.2283464566929127E-5</v>
      </c>
      <c r="G45" s="38">
        <f t="shared" si="0"/>
        <v>7.165354330708661E-6</v>
      </c>
      <c r="H45" s="38">
        <f t="shared" si="0"/>
        <v>5.3937007874015745E-5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800</v>
      </c>
      <c r="B46" s="38">
        <v>2.3499999999999999E-6</v>
      </c>
      <c r="C46" s="38">
        <v>2.05E-7</v>
      </c>
      <c r="D46" s="38">
        <v>1.4699999999999999E-6</v>
      </c>
      <c r="E46" s="3"/>
      <c r="F46" s="38">
        <f t="shared" si="0"/>
        <v>9.2519685039370092E-5</v>
      </c>
      <c r="G46" s="38">
        <f t="shared" si="0"/>
        <v>8.0708661417322845E-6</v>
      </c>
      <c r="H46" s="38">
        <f t="shared" si="0"/>
        <v>5.7874015748031495E-5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820</v>
      </c>
      <c r="B47" s="38">
        <v>2.5900000000000002E-6</v>
      </c>
      <c r="C47" s="38">
        <v>2.2999999999999999E-7</v>
      </c>
      <c r="D47" s="38">
        <v>1.55E-6</v>
      </c>
      <c r="E47" s="3"/>
      <c r="F47" s="38">
        <f t="shared" si="0"/>
        <v>1.019685039370079E-4</v>
      </c>
      <c r="G47" s="38">
        <f t="shared" si="0"/>
        <v>9.055118110236222E-6</v>
      </c>
      <c r="H47" s="38">
        <f t="shared" si="0"/>
        <v>6.1023622047244093E-5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840</v>
      </c>
      <c r="B48" s="38">
        <v>2.7999999999999999E-6</v>
      </c>
      <c r="C48" s="38">
        <v>2.5600000000000002E-7</v>
      </c>
      <c r="D48" s="38">
        <v>1.5999999999999999E-6</v>
      </c>
      <c r="E48" s="3"/>
      <c r="F48" s="38">
        <f t="shared" si="0"/>
        <v>1.1023622047244096E-4</v>
      </c>
      <c r="G48" s="38">
        <f t="shared" si="0"/>
        <v>1.0078740157480316E-5</v>
      </c>
      <c r="H48" s="38">
        <f t="shared" si="0"/>
        <v>6.2992125984251971E-5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860</v>
      </c>
      <c r="B49" s="38">
        <v>2.9500000000000001E-6</v>
      </c>
      <c r="C49" s="38">
        <v>2.8200000000000001E-7</v>
      </c>
      <c r="D49" s="38">
        <v>1.5999999999999999E-6</v>
      </c>
      <c r="E49" s="3"/>
      <c r="F49" s="38">
        <f t="shared" si="0"/>
        <v>1.1614173228346458E-4</v>
      </c>
      <c r="G49" s="38">
        <f t="shared" si="0"/>
        <v>1.1102362204724411E-5</v>
      </c>
      <c r="H49" s="38">
        <f t="shared" si="0"/>
        <v>6.2992125984251971E-5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880</v>
      </c>
      <c r="B50" s="38">
        <v>3.0400000000000001E-6</v>
      </c>
      <c r="C50" s="38">
        <v>3.0699999999999998E-7</v>
      </c>
      <c r="D50" s="38">
        <v>1.57E-6</v>
      </c>
      <c r="E50" s="3"/>
      <c r="F50" s="38">
        <f t="shared" si="0"/>
        <v>1.1968503937007875E-4</v>
      </c>
      <c r="G50" s="38">
        <f t="shared" si="0"/>
        <v>1.2086614173228347E-5</v>
      </c>
      <c r="H50" s="38">
        <f t="shared" si="0"/>
        <v>6.1811023622047252E-5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900</v>
      </c>
      <c r="B51" s="38">
        <v>3.05E-6</v>
      </c>
      <c r="C51" s="38">
        <v>3.3000000000000002E-7</v>
      </c>
      <c r="D51" s="38">
        <v>1.5200000000000001E-6</v>
      </c>
      <c r="E51" s="3"/>
      <c r="F51" s="38">
        <f t="shared" si="0"/>
        <v>1.2007874015748033E-4</v>
      </c>
      <c r="G51" s="38">
        <f t="shared" si="0"/>
        <v>1.2992125984251968E-5</v>
      </c>
      <c r="H51" s="38">
        <f t="shared" si="0"/>
        <v>5.9842519685039374E-5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920</v>
      </c>
      <c r="B52" s="38">
        <v>3.01E-6</v>
      </c>
      <c r="C52" s="38">
        <v>3.4999999999999998E-7</v>
      </c>
      <c r="D52" s="38">
        <v>1.46E-6</v>
      </c>
      <c r="E52" s="3"/>
      <c r="F52" s="38">
        <f t="shared" si="0"/>
        <v>1.1850393700787403E-4</v>
      </c>
      <c r="G52" s="38">
        <f t="shared" si="0"/>
        <v>1.3779527559055119E-5</v>
      </c>
      <c r="H52" s="38">
        <f t="shared" si="0"/>
        <v>5.7480314960629922E-5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940</v>
      </c>
      <c r="B53" s="38">
        <v>2.9299999999999999E-6</v>
      </c>
      <c r="C53" s="38">
        <v>3.6600000000000002E-7</v>
      </c>
      <c r="D53" s="38">
        <v>1.3999999999999999E-6</v>
      </c>
      <c r="E53" s="3"/>
      <c r="F53" s="38">
        <f t="shared" si="0"/>
        <v>1.1535433070866142E-4</v>
      </c>
      <c r="G53" s="38">
        <f t="shared" si="0"/>
        <v>1.4409448818897639E-5</v>
      </c>
      <c r="H53" s="38">
        <f t="shared" si="0"/>
        <v>5.5118110236220478E-5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960</v>
      </c>
      <c r="B54" s="38">
        <v>2.83E-6</v>
      </c>
      <c r="C54" s="38">
        <v>3.77E-7</v>
      </c>
      <c r="D54" s="38">
        <v>1.35E-6</v>
      </c>
      <c r="E54" s="3"/>
      <c r="F54" s="38">
        <f t="shared" si="0"/>
        <v>1.1141732283464567E-4</v>
      </c>
      <c r="G54" s="38">
        <f t="shared" si="0"/>
        <v>1.4842519685039371E-5</v>
      </c>
      <c r="H54" s="38">
        <f t="shared" si="0"/>
        <v>5.3149606299212606E-5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980</v>
      </c>
      <c r="B55" s="38">
        <v>2.7300000000000001E-6</v>
      </c>
      <c r="C55" s="38">
        <v>3.84E-7</v>
      </c>
      <c r="D55" s="38">
        <v>1.31E-6</v>
      </c>
      <c r="E55" s="3"/>
      <c r="F55" s="38">
        <f t="shared" si="0"/>
        <v>1.0748031496062993E-4</v>
      </c>
      <c r="G55" s="38">
        <f t="shared" si="0"/>
        <v>1.5118110236220473E-5</v>
      </c>
      <c r="H55" s="38">
        <f t="shared" si="0"/>
        <v>5.1574803149606301E-5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1000</v>
      </c>
      <c r="B56" s="38">
        <v>2.6199999999999999E-6</v>
      </c>
      <c r="C56" s="38">
        <v>3.8799999999999998E-7</v>
      </c>
      <c r="D56" s="38">
        <v>1.2899999999999999E-6</v>
      </c>
      <c r="E56" s="3"/>
      <c r="F56" s="38">
        <f t="shared" si="0"/>
        <v>1.031496062992126E-4</v>
      </c>
      <c r="G56" s="38">
        <f t="shared" si="0"/>
        <v>1.5275590551181102E-5</v>
      </c>
      <c r="H56" s="38">
        <f t="shared" si="0"/>
        <v>5.0787401574803148E-5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1020</v>
      </c>
      <c r="B57" s="38">
        <v>2.52E-6</v>
      </c>
      <c r="C57" s="38">
        <v>3.89E-7</v>
      </c>
      <c r="D57" s="38">
        <v>1.28E-6</v>
      </c>
      <c r="E57" s="3"/>
      <c r="F57" s="38">
        <f t="shared" si="0"/>
        <v>9.9212598425196859E-5</v>
      </c>
      <c r="G57" s="38">
        <f t="shared" si="0"/>
        <v>1.5314960629921261E-5</v>
      </c>
      <c r="H57" s="38">
        <f t="shared" si="0"/>
        <v>5.0393700787401582E-5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1040</v>
      </c>
      <c r="B58" s="38">
        <v>2.43E-6</v>
      </c>
      <c r="C58" s="38">
        <v>3.8799999999999998E-7</v>
      </c>
      <c r="D58" s="38">
        <v>1.28E-6</v>
      </c>
      <c r="E58" s="3"/>
      <c r="F58" s="38">
        <f t="shared" si="0"/>
        <v>9.5669291338582675E-5</v>
      </c>
      <c r="G58" s="38">
        <f t="shared" si="0"/>
        <v>1.5275590551181102E-5</v>
      </c>
      <c r="H58" s="38">
        <f t="shared" si="0"/>
        <v>5.0393700787401582E-5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1060</v>
      </c>
      <c r="B59" s="38">
        <v>2.3499999999999999E-6</v>
      </c>
      <c r="C59" s="39">
        <v>3.8599999999999999E-7</v>
      </c>
      <c r="D59" s="38">
        <v>1.28E-6</v>
      </c>
      <c r="E59" s="3"/>
      <c r="F59" s="38">
        <f t="shared" si="0"/>
        <v>9.2519685039370092E-5</v>
      </c>
      <c r="G59" s="38">
        <f t="shared" si="0"/>
        <v>1.5196850393700789E-5</v>
      </c>
      <c r="H59" s="38">
        <f t="shared" si="0"/>
        <v>5.0393700787401582E-5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1080</v>
      </c>
      <c r="B60" s="38">
        <v>2.2699999999999999E-6</v>
      </c>
      <c r="C60" s="38">
        <v>3.84E-7</v>
      </c>
      <c r="D60" s="38">
        <v>1.2899999999999999E-6</v>
      </c>
      <c r="E60" s="3"/>
      <c r="F60" s="38">
        <f t="shared" si="0"/>
        <v>8.9370078740157481E-5</v>
      </c>
      <c r="G60" s="38">
        <f t="shared" si="0"/>
        <v>1.5118110236220473E-5</v>
      </c>
      <c r="H60" s="38">
        <f t="shared" si="0"/>
        <v>5.0787401574803148E-5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1100</v>
      </c>
      <c r="B61" s="38">
        <v>2.21E-6</v>
      </c>
      <c r="C61" s="38">
        <v>3.8099999999999998E-7</v>
      </c>
      <c r="D61" s="38">
        <v>1.2899999999999999E-6</v>
      </c>
      <c r="E61" s="3"/>
      <c r="F61" s="38">
        <f t="shared" si="0"/>
        <v>8.7007874015748043E-5</v>
      </c>
      <c r="G61" s="38">
        <f t="shared" si="0"/>
        <v>1.5E-5</v>
      </c>
      <c r="H61" s="38">
        <f t="shared" si="0"/>
        <v>5.0787401574803148E-5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1120</v>
      </c>
      <c r="B62" s="38">
        <v>2.1500000000000002E-6</v>
      </c>
      <c r="C62" s="38">
        <v>3.7899999999999999E-7</v>
      </c>
      <c r="D62" s="38">
        <v>1.3E-6</v>
      </c>
      <c r="E62" s="3"/>
      <c r="F62" s="38">
        <f t="shared" si="0"/>
        <v>8.4645669291338592E-5</v>
      </c>
      <c r="G62" s="38">
        <f t="shared" si="0"/>
        <v>1.4921259842519686E-5</v>
      </c>
      <c r="H62" s="38">
        <f t="shared" si="0"/>
        <v>5.1181102362204728E-5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1140</v>
      </c>
      <c r="B63" s="38">
        <v>2.0999999999999998E-6</v>
      </c>
      <c r="C63" s="38">
        <v>3.7800000000000002E-7</v>
      </c>
      <c r="D63" s="38">
        <v>1.31E-6</v>
      </c>
      <c r="E63" s="3"/>
      <c r="F63" s="38">
        <f t="shared" si="0"/>
        <v>8.2677165354330713E-5</v>
      </c>
      <c r="G63" s="38">
        <f t="shared" si="0"/>
        <v>1.488188976377953E-5</v>
      </c>
      <c r="H63" s="38">
        <f t="shared" si="0"/>
        <v>5.1574803149606301E-5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1160</v>
      </c>
      <c r="B64" s="38">
        <v>2.0600000000000002E-6</v>
      </c>
      <c r="C64" s="38">
        <v>3.7599999999999998E-7</v>
      </c>
      <c r="D64" s="38">
        <v>1.3200000000000001E-6</v>
      </c>
      <c r="E64" s="3"/>
      <c r="F64" s="38">
        <f t="shared" si="0"/>
        <v>8.1102362204724422E-5</v>
      </c>
      <c r="G64" s="38">
        <f t="shared" si="0"/>
        <v>1.4803149606299212E-5</v>
      </c>
      <c r="H64" s="38">
        <f t="shared" si="0"/>
        <v>5.1968503937007874E-5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1180</v>
      </c>
      <c r="B65" s="38">
        <v>2.03E-6</v>
      </c>
      <c r="C65" s="38">
        <v>3.7599999999999998E-7</v>
      </c>
      <c r="D65" s="38">
        <v>1.3200000000000001E-6</v>
      </c>
      <c r="E65" s="3"/>
      <c r="F65" s="38">
        <f t="shared" si="0"/>
        <v>7.9921259842519689E-5</v>
      </c>
      <c r="G65" s="38">
        <f t="shared" si="0"/>
        <v>1.4803149606299212E-5</v>
      </c>
      <c r="H65" s="38">
        <f t="shared" si="0"/>
        <v>5.1968503937007874E-5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1200</v>
      </c>
      <c r="B66" s="38">
        <v>1.9999999999999999E-6</v>
      </c>
      <c r="C66" s="38">
        <v>3.7599999999999998E-7</v>
      </c>
      <c r="D66" s="38">
        <v>1.3400000000000001E-6</v>
      </c>
      <c r="E66" s="3"/>
      <c r="F66" s="38">
        <f t="shared" si="0"/>
        <v>7.874015748031497E-5</v>
      </c>
      <c r="G66" s="38">
        <f t="shared" si="0"/>
        <v>1.4803149606299212E-5</v>
      </c>
      <c r="H66" s="38">
        <f t="shared" si="0"/>
        <v>5.2755905511811027E-5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1220</v>
      </c>
      <c r="B67" s="38">
        <v>1.9700000000000002E-6</v>
      </c>
      <c r="C67" s="38">
        <v>3.7599999999999998E-7</v>
      </c>
      <c r="D67" s="38">
        <v>1.35E-6</v>
      </c>
      <c r="E67" s="3"/>
      <c r="F67" s="38">
        <f t="shared" si="0"/>
        <v>7.7559055118110252E-5</v>
      </c>
      <c r="G67" s="38">
        <f t="shared" si="0"/>
        <v>1.4803149606299212E-5</v>
      </c>
      <c r="H67" s="38">
        <f t="shared" si="0"/>
        <v>5.3149606299212606E-5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1240</v>
      </c>
      <c r="B68" s="38">
        <v>1.95E-6</v>
      </c>
      <c r="C68" s="38">
        <v>3.77E-7</v>
      </c>
      <c r="D68" s="38">
        <v>1.3599999999999999E-6</v>
      </c>
      <c r="E68" s="3"/>
      <c r="F68" s="38">
        <f t="shared" si="0"/>
        <v>7.6771653543307092E-5</v>
      </c>
      <c r="G68" s="38">
        <f t="shared" si="0"/>
        <v>1.4842519685039371E-5</v>
      </c>
      <c r="H68" s="38">
        <f t="shared" si="0"/>
        <v>5.3543307086614173E-5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1260</v>
      </c>
      <c r="B69" s="38">
        <v>1.9300000000000002E-6</v>
      </c>
      <c r="C69" s="38">
        <v>3.7899999999999999E-7</v>
      </c>
      <c r="D69" s="38">
        <v>1.3799999999999999E-6</v>
      </c>
      <c r="E69" s="3"/>
      <c r="F69" s="38">
        <f t="shared" si="0"/>
        <v>7.5984251968503946E-5</v>
      </c>
      <c r="G69" s="38">
        <f t="shared" si="0"/>
        <v>1.4921259842519686E-5</v>
      </c>
      <c r="H69" s="38">
        <f t="shared" si="0"/>
        <v>5.4330708661417325E-5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1280</v>
      </c>
      <c r="B70" s="38">
        <v>1.9199999999999998E-6</v>
      </c>
      <c r="C70" s="38">
        <v>3.8099999999999998E-7</v>
      </c>
      <c r="D70" s="38">
        <v>1.3999999999999999E-6</v>
      </c>
      <c r="E70" s="3"/>
      <c r="F70" s="38">
        <f t="shared" si="0"/>
        <v>7.559055118110236E-5</v>
      </c>
      <c r="G70" s="38">
        <f t="shared" si="0"/>
        <v>1.5E-5</v>
      </c>
      <c r="H70" s="38">
        <f t="shared" si="0"/>
        <v>5.5118110236220478E-5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1300</v>
      </c>
      <c r="B71" s="38">
        <v>1.9099999999999999E-6</v>
      </c>
      <c r="C71" s="38">
        <v>3.8299999999999998E-7</v>
      </c>
      <c r="D71" s="38">
        <v>1.4300000000000001E-6</v>
      </c>
      <c r="E71" s="3"/>
      <c r="F71" s="38">
        <f t="shared" ref="F71:H126" si="1">B71*1000/25.4</f>
        <v>7.5196850393700787E-5</v>
      </c>
      <c r="G71" s="38">
        <f t="shared" si="1"/>
        <v>1.5078740157480316E-5</v>
      </c>
      <c r="H71" s="38">
        <f t="shared" si="1"/>
        <v>5.6299212598425204E-5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1320</v>
      </c>
      <c r="B72" s="38">
        <v>1.9099999999999999E-6</v>
      </c>
      <c r="C72" s="38">
        <v>3.8500000000000002E-7</v>
      </c>
      <c r="D72" s="38">
        <v>1.46E-6</v>
      </c>
      <c r="E72" s="3"/>
      <c r="F72" s="38">
        <f t="shared" si="1"/>
        <v>7.5196850393700787E-5</v>
      </c>
      <c r="G72" s="38">
        <f t="shared" si="1"/>
        <v>1.5157480314960632E-5</v>
      </c>
      <c r="H72" s="38">
        <f t="shared" si="1"/>
        <v>5.7480314960629922E-5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1340</v>
      </c>
      <c r="B73" s="38">
        <v>1.9099999999999999E-6</v>
      </c>
      <c r="C73" s="38">
        <v>3.8799999999999998E-7</v>
      </c>
      <c r="D73" s="38">
        <v>1.4899999999999999E-6</v>
      </c>
      <c r="E73" s="3"/>
      <c r="F73" s="38">
        <f t="shared" si="1"/>
        <v>7.5196850393700787E-5</v>
      </c>
      <c r="G73" s="38">
        <f t="shared" si="1"/>
        <v>1.5275590551181102E-5</v>
      </c>
      <c r="H73" s="38">
        <f t="shared" si="1"/>
        <v>5.8661417322834648E-5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1360</v>
      </c>
      <c r="B74" s="38">
        <v>1.9099999999999999E-6</v>
      </c>
      <c r="C74" s="38">
        <v>3.9099999999999999E-7</v>
      </c>
      <c r="D74" s="38">
        <v>1.5200000000000001E-6</v>
      </c>
      <c r="E74" s="3"/>
      <c r="F74" s="38">
        <f t="shared" si="1"/>
        <v>7.5196850393700787E-5</v>
      </c>
      <c r="G74" s="38">
        <f t="shared" si="1"/>
        <v>1.5393700787401575E-5</v>
      </c>
      <c r="H74" s="38">
        <f t="shared" si="1"/>
        <v>5.9842519685039374E-5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1380</v>
      </c>
      <c r="B75" s="38">
        <v>1.9099999999999999E-6</v>
      </c>
      <c r="C75" s="38">
        <v>3.9499999999999998E-7</v>
      </c>
      <c r="D75" s="38">
        <v>1.5600000000000001E-6</v>
      </c>
      <c r="E75" s="3"/>
      <c r="F75" s="38">
        <f t="shared" si="1"/>
        <v>7.5196850393700787E-5</v>
      </c>
      <c r="G75" s="38">
        <f t="shared" si="1"/>
        <v>1.5551181102362203E-5</v>
      </c>
      <c r="H75" s="38">
        <f t="shared" si="1"/>
        <v>6.1417322834645679E-5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1400</v>
      </c>
      <c r="B76" s="38">
        <v>1.9199999999999998E-6</v>
      </c>
      <c r="C76" s="38">
        <v>3.9900000000000001E-7</v>
      </c>
      <c r="D76" s="38">
        <v>1.5999999999999999E-6</v>
      </c>
      <c r="E76" s="3"/>
      <c r="F76" s="38">
        <f t="shared" si="1"/>
        <v>7.559055118110236E-5</v>
      </c>
      <c r="G76" s="38">
        <f t="shared" si="1"/>
        <v>1.5708661417322834E-5</v>
      </c>
      <c r="H76" s="38">
        <f t="shared" si="1"/>
        <v>6.2992125984251971E-5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1420</v>
      </c>
      <c r="B77" s="38">
        <v>1.9300000000000002E-6</v>
      </c>
      <c r="C77" s="38">
        <v>4.0400000000000002E-7</v>
      </c>
      <c r="D77" s="38">
        <v>1.64E-6</v>
      </c>
      <c r="E77" s="3"/>
      <c r="F77" s="38">
        <f t="shared" si="1"/>
        <v>7.5984251968503946E-5</v>
      </c>
      <c r="G77" s="38">
        <f t="shared" si="1"/>
        <v>1.5905511811023624E-5</v>
      </c>
      <c r="H77" s="38">
        <f t="shared" si="1"/>
        <v>6.4566929133858276E-5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1440</v>
      </c>
      <c r="B78" s="38">
        <v>1.9400000000000001E-6</v>
      </c>
      <c r="C78" s="38">
        <v>4.0999999999999999E-7</v>
      </c>
      <c r="D78" s="38">
        <v>1.6899999999999999E-6</v>
      </c>
      <c r="E78" s="3"/>
      <c r="F78" s="38">
        <f t="shared" si="1"/>
        <v>7.6377952755905519E-5</v>
      </c>
      <c r="G78" s="38">
        <f t="shared" si="1"/>
        <v>1.6141732283464569E-5</v>
      </c>
      <c r="H78" s="38">
        <f t="shared" si="1"/>
        <v>6.6535433070866141E-5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1460</v>
      </c>
      <c r="B79" s="38">
        <v>1.95E-6</v>
      </c>
      <c r="C79" s="38">
        <v>4.1800000000000001E-7</v>
      </c>
      <c r="D79" s="38">
        <v>1.73E-6</v>
      </c>
      <c r="E79" s="3"/>
      <c r="F79" s="38">
        <f t="shared" si="1"/>
        <v>7.6771653543307092E-5</v>
      </c>
      <c r="G79" s="38">
        <f t="shared" si="1"/>
        <v>1.6456692913385828E-5</v>
      </c>
      <c r="H79" s="38">
        <f t="shared" si="1"/>
        <v>6.8110236220472446E-5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1480</v>
      </c>
      <c r="B80" s="38">
        <v>1.9599999999999999E-6</v>
      </c>
      <c r="C80" s="38">
        <v>4.2599999999999998E-7</v>
      </c>
      <c r="D80" s="38">
        <v>1.77E-6</v>
      </c>
      <c r="E80" s="3"/>
      <c r="F80" s="38">
        <f t="shared" si="1"/>
        <v>7.7165354330708665E-5</v>
      </c>
      <c r="G80" s="38">
        <f t="shared" si="1"/>
        <v>1.6771653543307087E-5</v>
      </c>
      <c r="H80" s="38">
        <f t="shared" si="1"/>
        <v>6.9685039370078752E-5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1500</v>
      </c>
      <c r="B81" s="38">
        <v>1.9800000000000001E-6</v>
      </c>
      <c r="C81" s="38">
        <v>4.3599999999999999E-7</v>
      </c>
      <c r="D81" s="38">
        <v>1.8199999999999999E-6</v>
      </c>
      <c r="E81" s="3"/>
      <c r="F81" s="38">
        <f t="shared" si="1"/>
        <v>7.7952755905511811E-5</v>
      </c>
      <c r="G81" s="38">
        <f t="shared" si="1"/>
        <v>1.716535433070866E-5</v>
      </c>
      <c r="H81" s="38">
        <f t="shared" si="1"/>
        <v>7.1653543307086617E-5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1520</v>
      </c>
      <c r="B82" s="38">
        <v>1.9999999999999999E-6</v>
      </c>
      <c r="C82" s="38">
        <v>4.4900000000000001E-7</v>
      </c>
      <c r="D82" s="38">
        <v>1.86E-6</v>
      </c>
      <c r="E82" s="3"/>
      <c r="F82" s="38">
        <f t="shared" si="1"/>
        <v>7.874015748031497E-5</v>
      </c>
      <c r="G82" s="38">
        <f t="shared" si="1"/>
        <v>1.7677165354330709E-5</v>
      </c>
      <c r="H82" s="38">
        <f t="shared" si="1"/>
        <v>7.3228346456692908E-5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1540</v>
      </c>
      <c r="B83" s="38">
        <v>2.0200000000000001E-6</v>
      </c>
      <c r="C83" s="38">
        <v>4.63E-7</v>
      </c>
      <c r="D83" s="38">
        <v>1.9099999999999999E-6</v>
      </c>
      <c r="E83" s="3"/>
      <c r="F83" s="38">
        <f t="shared" si="1"/>
        <v>7.9527559055118116E-5</v>
      </c>
      <c r="G83" s="38">
        <f t="shared" si="1"/>
        <v>1.8228346456692913E-5</v>
      </c>
      <c r="H83" s="38">
        <f t="shared" si="1"/>
        <v>7.5196850393700787E-5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1560</v>
      </c>
      <c r="B84" s="38">
        <v>2.04E-6</v>
      </c>
      <c r="C84" s="38">
        <v>4.7999999999999996E-7</v>
      </c>
      <c r="D84" s="38">
        <v>1.95E-6</v>
      </c>
      <c r="E84" s="3"/>
      <c r="F84" s="38">
        <f t="shared" si="1"/>
        <v>8.0314960629921276E-5</v>
      </c>
      <c r="G84" s="38">
        <f t="shared" si="1"/>
        <v>1.889763779527559E-5</v>
      </c>
      <c r="H84" s="38">
        <f t="shared" si="1"/>
        <v>7.6771653543307092E-5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1580</v>
      </c>
      <c r="B85" s="38">
        <v>2.0600000000000002E-6</v>
      </c>
      <c r="C85" s="38">
        <v>4.9999999999999998E-7</v>
      </c>
      <c r="D85" s="38">
        <v>1.9999999999999999E-6</v>
      </c>
      <c r="E85" s="3"/>
      <c r="F85" s="38">
        <f t="shared" si="1"/>
        <v>8.1102362204724422E-5</v>
      </c>
      <c r="G85" s="38">
        <f t="shared" si="1"/>
        <v>1.9685039370078743E-5</v>
      </c>
      <c r="H85" s="38">
        <f t="shared" si="1"/>
        <v>7.874015748031497E-5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1600</v>
      </c>
      <c r="B86" s="38">
        <v>2.08E-6</v>
      </c>
      <c r="C86" s="38">
        <v>5.2200000000000004E-7</v>
      </c>
      <c r="D86" s="38">
        <v>2.04E-6</v>
      </c>
      <c r="E86" s="3"/>
      <c r="F86" s="38">
        <f t="shared" si="1"/>
        <v>8.1889763779527554E-5</v>
      </c>
      <c r="G86" s="38">
        <f t="shared" si="1"/>
        <v>2.0551181102362206E-5</v>
      </c>
      <c r="H86" s="38">
        <f t="shared" si="1"/>
        <v>8.0314960629921276E-5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1620</v>
      </c>
      <c r="B87" s="38">
        <v>2.1100000000000001E-6</v>
      </c>
      <c r="C87" s="38">
        <v>5.4600000000000005E-7</v>
      </c>
      <c r="D87" s="38">
        <v>2.08E-6</v>
      </c>
      <c r="E87" s="3"/>
      <c r="F87" s="38">
        <f t="shared" si="1"/>
        <v>8.30708661417323E-5</v>
      </c>
      <c r="G87" s="38">
        <f t="shared" si="1"/>
        <v>2.1496062992125986E-5</v>
      </c>
      <c r="H87" s="38">
        <f t="shared" si="1"/>
        <v>8.1889763779527554E-5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1640</v>
      </c>
      <c r="B88" s="38">
        <v>2.1299999999999999E-6</v>
      </c>
      <c r="C88" s="38">
        <v>5.7299999999999996E-7</v>
      </c>
      <c r="D88" s="38">
        <v>2.1100000000000001E-6</v>
      </c>
      <c r="E88" s="3"/>
      <c r="F88" s="38">
        <f t="shared" si="1"/>
        <v>8.3858267716535432E-5</v>
      </c>
      <c r="G88" s="38">
        <f t="shared" si="1"/>
        <v>2.2559055118110236E-5</v>
      </c>
      <c r="H88" s="38">
        <f t="shared" si="1"/>
        <v>8.30708661417323E-5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1660</v>
      </c>
      <c r="B89" s="38">
        <v>2.1399999999999998E-6</v>
      </c>
      <c r="C89" s="38">
        <v>6.0299999999999999E-7</v>
      </c>
      <c r="D89" s="38">
        <v>2.1500000000000002E-6</v>
      </c>
      <c r="E89" s="3"/>
      <c r="F89" s="38">
        <f t="shared" si="1"/>
        <v>8.4251968503937005E-5</v>
      </c>
      <c r="G89" s="38">
        <f t="shared" si="1"/>
        <v>2.3740157480314962E-5</v>
      </c>
      <c r="H89" s="38">
        <f t="shared" si="1"/>
        <v>8.4645669291338592E-5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1680</v>
      </c>
      <c r="B90" s="38">
        <v>2.1600000000000001E-6</v>
      </c>
      <c r="C90" s="38">
        <v>6.3399999999999999E-7</v>
      </c>
      <c r="D90" s="38">
        <v>2.1799999999999999E-6</v>
      </c>
      <c r="E90" s="3"/>
      <c r="F90" s="38">
        <f t="shared" si="1"/>
        <v>8.5039370078740165E-5</v>
      </c>
      <c r="G90" s="38">
        <f t="shared" si="1"/>
        <v>2.4960629921259846E-5</v>
      </c>
      <c r="H90" s="38">
        <f t="shared" si="1"/>
        <v>8.5826771653543311E-5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1700</v>
      </c>
      <c r="B91" s="38">
        <v>2.17E-6</v>
      </c>
      <c r="C91" s="38">
        <v>6.6599999999999996E-7</v>
      </c>
      <c r="D91" s="38">
        <v>2.2000000000000001E-6</v>
      </c>
      <c r="E91" s="3"/>
      <c r="F91" s="38">
        <f t="shared" si="1"/>
        <v>8.5433070866141738E-5</v>
      </c>
      <c r="G91" s="38">
        <f t="shared" si="1"/>
        <v>2.6220472440944882E-5</v>
      </c>
      <c r="H91" s="38">
        <f t="shared" si="1"/>
        <v>8.661417322834647E-5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1720</v>
      </c>
      <c r="B92" s="38">
        <v>2.1799999999999999E-6</v>
      </c>
      <c r="C92" s="38">
        <v>6.99E-7</v>
      </c>
      <c r="D92" s="38">
        <v>2.2199999999999999E-6</v>
      </c>
      <c r="E92" s="3"/>
      <c r="F92" s="38">
        <f t="shared" si="1"/>
        <v>8.5826771653543311E-5</v>
      </c>
      <c r="G92" s="38">
        <f t="shared" si="1"/>
        <v>2.751968503937008E-5</v>
      </c>
      <c r="H92" s="38">
        <f t="shared" si="1"/>
        <v>8.7401574803149602E-5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1740</v>
      </c>
      <c r="B93" s="38">
        <v>2.17E-6</v>
      </c>
      <c r="C93" s="38">
        <v>7.3099999999999997E-7</v>
      </c>
      <c r="D93" s="38">
        <v>2.2400000000000002E-6</v>
      </c>
      <c r="E93" s="3"/>
      <c r="F93" s="38">
        <f t="shared" si="1"/>
        <v>8.5433070866141738E-5</v>
      </c>
      <c r="G93" s="38">
        <f t="shared" si="1"/>
        <v>2.877952755905512E-5</v>
      </c>
      <c r="H93" s="38">
        <f t="shared" si="1"/>
        <v>8.8188976377952775E-5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1760</v>
      </c>
      <c r="B94" s="38">
        <v>2.1600000000000001E-6</v>
      </c>
      <c r="C94" s="38">
        <v>7.6300000000000004E-7</v>
      </c>
      <c r="D94" s="38">
        <v>2.2500000000000001E-6</v>
      </c>
      <c r="E94" s="3"/>
      <c r="F94" s="38">
        <f t="shared" si="1"/>
        <v>8.5039370078740165E-5</v>
      </c>
      <c r="G94" s="38">
        <f t="shared" si="1"/>
        <v>3.0039370078740159E-5</v>
      </c>
      <c r="H94" s="38">
        <f t="shared" si="1"/>
        <v>8.8582677165354348E-5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1780</v>
      </c>
      <c r="B95" s="38">
        <v>2.1500000000000002E-6</v>
      </c>
      <c r="C95" s="38">
        <v>7.92E-7</v>
      </c>
      <c r="D95" s="38">
        <v>2.26E-6</v>
      </c>
      <c r="E95" s="3"/>
      <c r="F95" s="38">
        <f t="shared" si="1"/>
        <v>8.4645669291338592E-5</v>
      </c>
      <c r="G95" s="38">
        <f t="shared" si="1"/>
        <v>3.1181102362204723E-5</v>
      </c>
      <c r="H95" s="38">
        <f t="shared" si="1"/>
        <v>8.8976377952755908E-5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1800</v>
      </c>
      <c r="B96" s="38">
        <v>2.1100000000000001E-6</v>
      </c>
      <c r="C96" s="38">
        <v>8.1800000000000005E-7</v>
      </c>
      <c r="D96" s="38">
        <v>2.26E-6</v>
      </c>
      <c r="E96" s="3"/>
      <c r="F96" s="38">
        <f t="shared" si="1"/>
        <v>8.30708661417323E-5</v>
      </c>
      <c r="G96" s="38">
        <f t="shared" si="1"/>
        <v>3.2204724409448821E-5</v>
      </c>
      <c r="H96" s="38">
        <f t="shared" si="1"/>
        <v>8.8976377952755908E-5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1820</v>
      </c>
      <c r="B97" s="38">
        <v>2.0700000000000001E-6</v>
      </c>
      <c r="C97" s="38">
        <v>8.3900000000000004E-7</v>
      </c>
      <c r="D97" s="38">
        <v>2.26E-6</v>
      </c>
      <c r="E97" s="3"/>
      <c r="F97" s="38">
        <f t="shared" si="1"/>
        <v>8.1496062992125995E-5</v>
      </c>
      <c r="G97" s="38">
        <f t="shared" si="1"/>
        <v>3.3031496062992125E-5</v>
      </c>
      <c r="H97" s="38">
        <f t="shared" si="1"/>
        <v>8.8976377952755908E-5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1840</v>
      </c>
      <c r="B98" s="38">
        <v>2.0200000000000001E-6</v>
      </c>
      <c r="C98" s="38">
        <v>8.5600000000000004E-7</v>
      </c>
      <c r="D98" s="38">
        <v>2.2500000000000001E-6</v>
      </c>
      <c r="E98" s="3"/>
      <c r="F98" s="38">
        <f t="shared" si="1"/>
        <v>7.9527559055118116E-5</v>
      </c>
      <c r="G98" s="38">
        <f t="shared" si="1"/>
        <v>3.3700787401574802E-5</v>
      </c>
      <c r="H98" s="38">
        <f t="shared" si="1"/>
        <v>8.8582677165354348E-5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1860</v>
      </c>
      <c r="B99" s="38">
        <v>1.9599999999999999E-6</v>
      </c>
      <c r="C99" s="38">
        <v>8.6700000000000002E-7</v>
      </c>
      <c r="D99" s="38">
        <v>2.2500000000000001E-6</v>
      </c>
      <c r="E99" s="3"/>
      <c r="F99" s="38">
        <f t="shared" si="1"/>
        <v>7.7165354330708665E-5</v>
      </c>
      <c r="G99" s="38">
        <f t="shared" si="1"/>
        <v>3.413385826771654E-5</v>
      </c>
      <c r="H99" s="38">
        <f t="shared" si="1"/>
        <v>8.8582677165354348E-5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1880</v>
      </c>
      <c r="B100" s="38">
        <v>1.8899999999999999E-6</v>
      </c>
      <c r="C100" s="38">
        <v>8.7300000000000005E-7</v>
      </c>
      <c r="D100" s="38">
        <v>2.2400000000000002E-6</v>
      </c>
      <c r="E100" s="3"/>
      <c r="F100" s="38">
        <f t="shared" si="1"/>
        <v>7.4409448818897641E-5</v>
      </c>
      <c r="G100" s="38">
        <f t="shared" si="1"/>
        <v>3.4370078740157486E-5</v>
      </c>
      <c r="H100" s="38">
        <f t="shared" si="1"/>
        <v>8.8188976377952775E-5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1900</v>
      </c>
      <c r="B101" s="38">
        <v>1.81E-6</v>
      </c>
      <c r="C101" s="38">
        <v>8.7400000000000002E-7</v>
      </c>
      <c r="D101" s="38">
        <v>2.2199999999999999E-6</v>
      </c>
      <c r="E101" s="3"/>
      <c r="F101" s="38">
        <f t="shared" si="1"/>
        <v>7.1259842519685044E-5</v>
      </c>
      <c r="G101" s="38">
        <f t="shared" si="1"/>
        <v>3.4409448818897638E-5</v>
      </c>
      <c r="H101" s="38">
        <f t="shared" si="1"/>
        <v>8.7401574803149602E-5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1920</v>
      </c>
      <c r="B102" s="38">
        <v>1.73E-6</v>
      </c>
      <c r="C102" s="38">
        <v>8.6899999999999996E-7</v>
      </c>
      <c r="D102" s="38">
        <v>2.21E-6</v>
      </c>
      <c r="E102" s="3"/>
      <c r="F102" s="38">
        <f t="shared" si="1"/>
        <v>6.8110236220472446E-5</v>
      </c>
      <c r="G102" s="38">
        <f t="shared" si="1"/>
        <v>3.4212598425196851E-5</v>
      </c>
      <c r="H102" s="38">
        <f t="shared" si="1"/>
        <v>8.7007874015748043E-5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1940</v>
      </c>
      <c r="B103" s="38">
        <v>1.64E-6</v>
      </c>
      <c r="C103" s="38">
        <v>8.6099999999999999E-7</v>
      </c>
      <c r="D103" s="38">
        <v>2.1900000000000002E-6</v>
      </c>
      <c r="E103" s="3"/>
      <c r="F103" s="38">
        <f t="shared" si="1"/>
        <v>6.4566929133858276E-5</v>
      </c>
      <c r="G103" s="38">
        <f t="shared" si="1"/>
        <v>3.3897637795275595E-5</v>
      </c>
      <c r="H103" s="38">
        <f t="shared" si="1"/>
        <v>8.6220472440944897E-5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1960</v>
      </c>
      <c r="B104" s="38">
        <v>1.5600000000000001E-6</v>
      </c>
      <c r="C104" s="38">
        <v>8.4900000000000005E-7</v>
      </c>
      <c r="D104" s="38">
        <v>2.1799999999999999E-6</v>
      </c>
      <c r="E104" s="3"/>
      <c r="F104" s="38">
        <f t="shared" si="1"/>
        <v>6.1417322834645679E-5</v>
      </c>
      <c r="G104" s="38">
        <f t="shared" si="1"/>
        <v>3.3425196850393705E-5</v>
      </c>
      <c r="H104" s="38">
        <f t="shared" si="1"/>
        <v>8.5826771653543311E-5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1980</v>
      </c>
      <c r="B105" s="38">
        <v>1.4699999999999999E-6</v>
      </c>
      <c r="C105" s="38">
        <v>8.3500000000000005E-7</v>
      </c>
      <c r="D105" s="38">
        <v>2.1600000000000001E-6</v>
      </c>
      <c r="E105" s="3"/>
      <c r="F105" s="38">
        <f t="shared" si="1"/>
        <v>5.7874015748031495E-5</v>
      </c>
      <c r="G105" s="38">
        <f t="shared" si="1"/>
        <v>3.2874015748031498E-5</v>
      </c>
      <c r="H105" s="38">
        <f t="shared" si="1"/>
        <v>8.5039370078740165E-5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2000</v>
      </c>
      <c r="B106" s="38">
        <v>1.39E-6</v>
      </c>
      <c r="C106" s="38">
        <v>8.1900000000000001E-7</v>
      </c>
      <c r="D106" s="38">
        <v>2.1399999999999998E-6</v>
      </c>
      <c r="E106" s="3"/>
      <c r="F106" s="38">
        <f t="shared" si="1"/>
        <v>5.4724409448818898E-5</v>
      </c>
      <c r="G106" s="38">
        <f t="shared" si="1"/>
        <v>3.2244094488188979E-5</v>
      </c>
      <c r="H106" s="38">
        <f t="shared" si="1"/>
        <v>8.4251968503937005E-5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2020</v>
      </c>
      <c r="B107" s="38">
        <v>1.31E-6</v>
      </c>
      <c r="C107" s="38">
        <v>8.0100000000000004E-7</v>
      </c>
      <c r="D107" s="38">
        <v>2.12E-6</v>
      </c>
      <c r="E107" s="3"/>
      <c r="F107" s="38">
        <f t="shared" si="1"/>
        <v>5.1574803149606301E-5</v>
      </c>
      <c r="G107" s="38">
        <f t="shared" si="1"/>
        <v>3.1535433070866144E-5</v>
      </c>
      <c r="H107" s="38">
        <f t="shared" si="1"/>
        <v>8.3464566929133859E-5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2040</v>
      </c>
      <c r="B108" s="38">
        <v>1.24E-6</v>
      </c>
      <c r="C108" s="38">
        <v>7.8299999999999996E-7</v>
      </c>
      <c r="D108" s="38">
        <v>2.0999999999999998E-6</v>
      </c>
      <c r="E108" s="3"/>
      <c r="F108" s="38">
        <f t="shared" si="1"/>
        <v>4.8818897637795277E-5</v>
      </c>
      <c r="G108" s="38">
        <f t="shared" si="1"/>
        <v>3.0826771653543309E-5</v>
      </c>
      <c r="H108" s="38">
        <f t="shared" si="1"/>
        <v>8.2677165354330713E-5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2060</v>
      </c>
      <c r="B109" s="38">
        <v>1.17E-6</v>
      </c>
      <c r="C109" s="38">
        <v>7.6400000000000001E-7</v>
      </c>
      <c r="D109" s="38">
        <v>2.08E-6</v>
      </c>
      <c r="E109" s="3"/>
      <c r="F109" s="38">
        <f t="shared" si="1"/>
        <v>4.6062992125984253E-5</v>
      </c>
      <c r="G109" s="38">
        <f t="shared" si="1"/>
        <v>3.0078740157480318E-5</v>
      </c>
      <c r="H109" s="38">
        <f t="shared" si="1"/>
        <v>8.1889763779527554E-5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2080</v>
      </c>
      <c r="B110" s="38">
        <v>1.1000000000000001E-6</v>
      </c>
      <c r="C110" s="38">
        <v>7.4600000000000004E-7</v>
      </c>
      <c r="D110" s="38">
        <v>2.0600000000000002E-6</v>
      </c>
      <c r="E110" s="3"/>
      <c r="F110" s="38">
        <f t="shared" si="1"/>
        <v>4.3307086614173235E-5</v>
      </c>
      <c r="G110" s="38">
        <f t="shared" si="1"/>
        <v>2.9370078740157483E-5</v>
      </c>
      <c r="H110" s="38">
        <f t="shared" si="1"/>
        <v>8.1102362204724422E-5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2100</v>
      </c>
      <c r="B111" s="38">
        <v>1.04E-6</v>
      </c>
      <c r="C111" s="38">
        <v>7.2799999999999995E-7</v>
      </c>
      <c r="D111" s="38">
        <v>2.04E-6</v>
      </c>
      <c r="E111" s="3"/>
      <c r="F111" s="38">
        <f t="shared" si="1"/>
        <v>4.0944881889763777E-5</v>
      </c>
      <c r="G111" s="38">
        <f t="shared" si="1"/>
        <v>2.8661417322834644E-5</v>
      </c>
      <c r="H111" s="38">
        <f t="shared" si="1"/>
        <v>8.0314960629921276E-5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2120</v>
      </c>
      <c r="B112" s="38">
        <v>9.7600000000000006E-7</v>
      </c>
      <c r="C112" s="38">
        <v>7.0999999999999998E-7</v>
      </c>
      <c r="D112" s="38">
        <v>2.0200000000000001E-6</v>
      </c>
      <c r="E112" s="3"/>
      <c r="F112" s="38">
        <f t="shared" si="1"/>
        <v>3.8425196850393705E-5</v>
      </c>
      <c r="G112" s="38">
        <f t="shared" si="1"/>
        <v>2.7952755905511812E-5</v>
      </c>
      <c r="H112" s="38">
        <f t="shared" si="1"/>
        <v>7.9527559055118116E-5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2140</v>
      </c>
      <c r="B113" s="38">
        <v>9.2099999999999995E-7</v>
      </c>
      <c r="C113" s="38">
        <v>6.92E-7</v>
      </c>
      <c r="D113" s="38">
        <v>1.9999999999999999E-6</v>
      </c>
      <c r="E113" s="3"/>
      <c r="F113" s="38">
        <f t="shared" si="1"/>
        <v>3.625984251968504E-5</v>
      </c>
      <c r="G113" s="38">
        <f t="shared" si="1"/>
        <v>2.724409448818898E-5</v>
      </c>
      <c r="H113" s="38">
        <f t="shared" si="1"/>
        <v>7.874015748031497E-5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2160</v>
      </c>
      <c r="B114" s="38">
        <v>8.7000000000000003E-7</v>
      </c>
      <c r="C114" s="38">
        <v>6.75E-7</v>
      </c>
      <c r="D114" s="38">
        <v>1.99E-6</v>
      </c>
      <c r="E114" s="3"/>
      <c r="F114" s="38">
        <f t="shared" si="1"/>
        <v>3.425196850393701E-5</v>
      </c>
      <c r="G114" s="38">
        <f t="shared" si="1"/>
        <v>2.6574803149606303E-5</v>
      </c>
      <c r="H114" s="38">
        <f t="shared" si="1"/>
        <v>7.8346456692913397E-5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2180</v>
      </c>
      <c r="B115" s="38">
        <v>8.23E-7</v>
      </c>
      <c r="C115" s="38">
        <v>6.5899999999999996E-7</v>
      </c>
      <c r="D115" s="38">
        <v>1.9700000000000002E-6</v>
      </c>
      <c r="E115" s="3"/>
      <c r="F115" s="38">
        <f t="shared" si="1"/>
        <v>3.2401574803149607E-5</v>
      </c>
      <c r="G115" s="38">
        <f t="shared" si="1"/>
        <v>2.5944881889763778E-5</v>
      </c>
      <c r="H115" s="38">
        <f t="shared" si="1"/>
        <v>7.7559055118110252E-5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2200</v>
      </c>
      <c r="B116" s="38">
        <v>7.7899999999999997E-7</v>
      </c>
      <c r="C116" s="38">
        <v>6.44E-7</v>
      </c>
      <c r="D116" s="38">
        <v>1.95E-6</v>
      </c>
      <c r="E116" s="3"/>
      <c r="F116" s="38">
        <f t="shared" si="1"/>
        <v>3.0669291338582674E-5</v>
      </c>
      <c r="G116" s="38">
        <f t="shared" si="1"/>
        <v>2.5354330708661419E-5</v>
      </c>
      <c r="H116" s="38">
        <f t="shared" si="1"/>
        <v>7.6771653543307092E-5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2220</v>
      </c>
      <c r="B117" s="38">
        <v>7.3799999999999996E-7</v>
      </c>
      <c r="C117" s="38">
        <v>6.2900000000000003E-7</v>
      </c>
      <c r="D117" s="38">
        <v>1.9300000000000002E-6</v>
      </c>
      <c r="E117" s="3"/>
      <c r="F117" s="38">
        <f t="shared" si="1"/>
        <v>2.905511811023622E-5</v>
      </c>
      <c r="G117" s="38">
        <f t="shared" si="1"/>
        <v>2.4763779527559056E-5</v>
      </c>
      <c r="H117" s="38">
        <f t="shared" si="1"/>
        <v>7.5984251968503946E-5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2240</v>
      </c>
      <c r="B118" s="38">
        <v>6.9999999999999997E-7</v>
      </c>
      <c r="C118" s="38">
        <v>6.1500000000000004E-7</v>
      </c>
      <c r="D118" s="38">
        <v>1.9099999999999999E-6</v>
      </c>
      <c r="E118" s="3"/>
      <c r="F118" s="38">
        <f t="shared" si="1"/>
        <v>2.7559055118110239E-5</v>
      </c>
      <c r="G118" s="38">
        <f t="shared" si="1"/>
        <v>2.4212598425196855E-5</v>
      </c>
      <c r="H118" s="38">
        <f t="shared" si="1"/>
        <v>7.5196850393700787E-5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2260</v>
      </c>
      <c r="B119" s="38">
        <v>6.6599999999999996E-7</v>
      </c>
      <c r="C119" s="38">
        <v>6.0200000000000002E-7</v>
      </c>
      <c r="D119" s="38">
        <v>1.9E-6</v>
      </c>
      <c r="E119" s="3"/>
      <c r="F119" s="38">
        <f t="shared" si="1"/>
        <v>2.6220472440944882E-5</v>
      </c>
      <c r="G119" s="38">
        <f t="shared" si="1"/>
        <v>2.3700787401574803E-5</v>
      </c>
      <c r="H119" s="38">
        <f t="shared" si="1"/>
        <v>7.4803149606299214E-5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2280</v>
      </c>
      <c r="B120" s="38">
        <v>6.3300000000000002E-7</v>
      </c>
      <c r="C120" s="38">
        <v>5.8899999999999999E-7</v>
      </c>
      <c r="D120" s="38">
        <v>1.88E-6</v>
      </c>
      <c r="E120" s="3"/>
      <c r="F120" s="38">
        <f t="shared" si="1"/>
        <v>2.4921259842519687E-5</v>
      </c>
      <c r="G120" s="38">
        <f t="shared" si="1"/>
        <v>2.3188976377952757E-5</v>
      </c>
      <c r="H120" s="38">
        <f t="shared" si="1"/>
        <v>7.4015748031496068E-5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2300</v>
      </c>
      <c r="B121" s="38">
        <v>6.0399999999999996E-7</v>
      </c>
      <c r="C121" s="38">
        <v>5.7700000000000004E-7</v>
      </c>
      <c r="D121" s="38">
        <v>1.8700000000000001E-6</v>
      </c>
      <c r="E121" s="3"/>
      <c r="F121" s="38">
        <f t="shared" si="1"/>
        <v>2.3779527559055117E-5</v>
      </c>
      <c r="G121" s="38">
        <f t="shared" si="1"/>
        <v>2.2716535433070871E-5</v>
      </c>
      <c r="H121" s="38">
        <f t="shared" si="1"/>
        <v>7.3622047244094495E-5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2320</v>
      </c>
      <c r="B122" s="38">
        <v>5.7599999999999997E-7</v>
      </c>
      <c r="C122" s="38">
        <v>5.6599999999999996E-7</v>
      </c>
      <c r="D122" s="38">
        <v>1.8500000000000001E-6</v>
      </c>
      <c r="E122" s="3"/>
      <c r="F122" s="38">
        <f t="shared" si="1"/>
        <v>2.2677165354330712E-5</v>
      </c>
      <c r="G122" s="38">
        <f t="shared" si="1"/>
        <v>2.2283464566929136E-5</v>
      </c>
      <c r="H122" s="38">
        <f t="shared" si="1"/>
        <v>7.2834645669291349E-5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2340</v>
      </c>
      <c r="B123" s="38">
        <v>5.5000000000000003E-7</v>
      </c>
      <c r="C123" s="38">
        <v>5.5499999999999998E-7</v>
      </c>
      <c r="D123" s="38">
        <v>1.84E-6</v>
      </c>
      <c r="E123" s="3"/>
      <c r="F123" s="38">
        <f t="shared" si="1"/>
        <v>2.1653543307086618E-5</v>
      </c>
      <c r="G123" s="38">
        <f t="shared" si="1"/>
        <v>2.1850393700787401E-5</v>
      </c>
      <c r="H123" s="38">
        <f t="shared" si="1"/>
        <v>7.2440944881889776E-5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2360</v>
      </c>
      <c r="B124" s="38">
        <v>5.2699999999999999E-7</v>
      </c>
      <c r="C124" s="38">
        <v>5.4499999999999997E-7</v>
      </c>
      <c r="D124" s="38">
        <v>1.8199999999999999E-6</v>
      </c>
      <c r="E124" s="3"/>
      <c r="F124" s="38">
        <f t="shared" si="1"/>
        <v>2.0748031496062992E-5</v>
      </c>
      <c r="G124" s="38">
        <f t="shared" si="1"/>
        <v>2.1456692913385828E-5</v>
      </c>
      <c r="H124" s="38">
        <f t="shared" si="1"/>
        <v>7.1653543307086617E-5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2380</v>
      </c>
      <c r="B125" s="38">
        <v>5.0399999999999996E-7</v>
      </c>
      <c r="C125" s="38">
        <v>5.3499999999999996E-7</v>
      </c>
      <c r="D125" s="38">
        <v>1.81E-6</v>
      </c>
      <c r="E125" s="3"/>
      <c r="F125" s="38">
        <f t="shared" si="1"/>
        <v>1.984251968503937E-5</v>
      </c>
      <c r="G125" s="38">
        <f t="shared" si="1"/>
        <v>2.1062992125984251E-5</v>
      </c>
      <c r="H125" s="38">
        <f t="shared" si="1"/>
        <v>7.1259842519685044E-5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2400</v>
      </c>
      <c r="B126" s="38">
        <v>4.8400000000000005E-7</v>
      </c>
      <c r="C126" s="38">
        <v>5.2600000000000002E-7</v>
      </c>
      <c r="D126" s="38">
        <v>1.7999999999999999E-6</v>
      </c>
      <c r="E126" s="3"/>
      <c r="F126" s="38">
        <f t="shared" si="1"/>
        <v>1.9055118110236225E-5</v>
      </c>
      <c r="G126" s="38">
        <f t="shared" si="1"/>
        <v>2.0708661417322837E-5</v>
      </c>
      <c r="H126" s="38">
        <f t="shared" si="1"/>
        <v>7.0866141732283471E-5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3.05E-6</v>
      </c>
      <c r="C128" s="38">
        <f>MAX(C6:C126)</f>
        <v>8.7400000000000002E-7</v>
      </c>
      <c r="D128" s="38">
        <f>MAX(D6:D126)</f>
        <v>2.26E-6</v>
      </c>
      <c r="E128" s="4"/>
      <c r="F128" s="38">
        <f>MAX(F20:F126)</f>
        <v>1.2007874015748033E-4</v>
      </c>
      <c r="G128" s="38">
        <f>MAX(G20:G126)</f>
        <v>3.4409448818897638E-5</v>
      </c>
      <c r="H128" s="38">
        <f>MAX(H20:H126)</f>
        <v>8.8976377952755908E-5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5.7491145560693206E-4</v>
      </c>
      <c r="C129" s="38">
        <f>C128*limits!$E29</f>
        <v>1.6474511875424875E-4</v>
      </c>
      <c r="D129" s="38">
        <f>D128*limits!$E29</f>
        <v>4.2599996382677592E-4</v>
      </c>
      <c r="E129" s="4"/>
      <c r="F129" s="38">
        <f>F128*limits!$E29</f>
        <v>2.2634309275863473E-2</v>
      </c>
      <c r="G129" s="38">
        <f>G128*limits!$E29</f>
        <v>6.4860282974113677E-3</v>
      </c>
      <c r="H129" s="38">
        <f>H128*limits!$E29</f>
        <v>1.6771652119164406E-2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A4:A5"/>
    <mergeCell ref="B4:D4"/>
    <mergeCell ref="F4:H4"/>
  </mergeCells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467E-9329-4794-9D9C-8921C27E1497}">
  <dimension ref="A1:AD140"/>
  <sheetViews>
    <sheetView showGridLines="0" tabSelected="1" topLeftCell="C1" zoomScaleNormal="100" workbookViewId="0">
      <selection activeCell="S41" sqref="S41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33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40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2" t="s">
        <v>35</v>
      </c>
      <c r="B4" s="41" t="s">
        <v>36</v>
      </c>
      <c r="C4" s="41"/>
      <c r="D4" s="41"/>
      <c r="E4" s="3"/>
      <c r="F4" s="41" t="s">
        <v>37</v>
      </c>
      <c r="G4" s="41"/>
      <c r="H4" s="4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3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1.03E-16</v>
      </c>
      <c r="C6" s="38">
        <v>7.8000000000000001E-18</v>
      </c>
      <c r="D6" s="38">
        <v>6.1800000000000001E-17</v>
      </c>
      <c r="E6" s="3"/>
      <c r="F6" s="38">
        <f>B6*1000/25.4</f>
        <v>4.0551181102362211E-15</v>
      </c>
      <c r="G6" s="38">
        <f>C6*1000/25.4</f>
        <v>3.0708661417322841E-16</v>
      </c>
      <c r="H6" s="38">
        <f>D6*1000/25.4</f>
        <v>2.4330708661417323E-15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20</v>
      </c>
      <c r="B7" s="38">
        <v>4.5099999999999999E-10</v>
      </c>
      <c r="C7" s="38">
        <v>3.4200000000000002E-11</v>
      </c>
      <c r="D7" s="38">
        <v>2.7199999999999999E-10</v>
      </c>
      <c r="E7" s="3"/>
      <c r="F7" s="38">
        <f t="shared" ref="F7:H70" si="0">B7*1000/25.4</f>
        <v>1.7755905511811026E-8</v>
      </c>
      <c r="G7" s="38">
        <f t="shared" si="0"/>
        <v>1.346456692913386E-9</v>
      </c>
      <c r="H7" s="38">
        <f t="shared" si="0"/>
        <v>1.0708661417322836E-8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40</v>
      </c>
      <c r="B8" s="38">
        <v>1.81E-9</v>
      </c>
      <c r="C8" s="38">
        <v>1.3699999999999999E-10</v>
      </c>
      <c r="D8" s="38">
        <v>1.09E-9</v>
      </c>
      <c r="E8" s="3"/>
      <c r="F8" s="38">
        <f t="shared" si="0"/>
        <v>7.1259842519685048E-8</v>
      </c>
      <c r="G8" s="38">
        <f t="shared" si="0"/>
        <v>5.3937007874015752E-9</v>
      </c>
      <c r="H8" s="38">
        <f t="shared" si="0"/>
        <v>4.2913385826771657E-8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60</v>
      </c>
      <c r="B9" s="38">
        <v>4.08E-9</v>
      </c>
      <c r="C9" s="38">
        <v>3.1000000000000002E-10</v>
      </c>
      <c r="D9" s="38">
        <v>2.4699999999999999E-9</v>
      </c>
      <c r="E9" s="3"/>
      <c r="F9" s="38">
        <f t="shared" si="0"/>
        <v>1.6062992125984253E-7</v>
      </c>
      <c r="G9" s="38">
        <f t="shared" si="0"/>
        <v>1.220472440944882E-8</v>
      </c>
      <c r="H9" s="38">
        <f t="shared" si="0"/>
        <v>9.7244094488188978E-8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80</v>
      </c>
      <c r="B10" s="38">
        <v>7.2799999999999997E-9</v>
      </c>
      <c r="C10" s="38">
        <v>5.5400000000000005E-10</v>
      </c>
      <c r="D10" s="38">
        <v>4.42E-9</v>
      </c>
      <c r="E10" s="3"/>
      <c r="F10" s="38">
        <f t="shared" si="0"/>
        <v>2.8661417322834647E-7</v>
      </c>
      <c r="G10" s="38">
        <f t="shared" si="0"/>
        <v>2.1811023622047245E-8</v>
      </c>
      <c r="H10" s="38">
        <f t="shared" si="0"/>
        <v>1.7401574803149607E-7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100</v>
      </c>
      <c r="B11" s="38">
        <v>1.15E-8</v>
      </c>
      <c r="C11" s="38">
        <v>8.7199999999999999E-10</v>
      </c>
      <c r="D11" s="38">
        <v>6.9699999999999997E-9</v>
      </c>
      <c r="E11" s="3"/>
      <c r="F11" s="38">
        <f t="shared" si="0"/>
        <v>4.5275590551181104E-7</v>
      </c>
      <c r="G11" s="38">
        <f t="shared" si="0"/>
        <v>3.4330708661417321E-8</v>
      </c>
      <c r="H11" s="38">
        <f t="shared" si="0"/>
        <v>2.7440944881889763E-7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120</v>
      </c>
      <c r="B12" s="38">
        <v>1.66E-8</v>
      </c>
      <c r="C12" s="38">
        <v>1.27E-9</v>
      </c>
      <c r="D12" s="38">
        <v>1.0099999999999999E-8</v>
      </c>
      <c r="E12" s="3"/>
      <c r="F12" s="38">
        <f t="shared" si="0"/>
        <v>6.5354330708661425E-7</v>
      </c>
      <c r="G12" s="38">
        <f t="shared" si="0"/>
        <v>4.9999999999999998E-8</v>
      </c>
      <c r="H12" s="38">
        <f t="shared" si="0"/>
        <v>3.9763779527559059E-7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140</v>
      </c>
      <c r="B13" s="38">
        <v>2.2799999999999999E-8</v>
      </c>
      <c r="C13" s="38">
        <v>1.74E-9</v>
      </c>
      <c r="D13" s="38">
        <v>1.4E-8</v>
      </c>
      <c r="E13" s="3"/>
      <c r="F13" s="38">
        <f t="shared" si="0"/>
        <v>8.9763779527559051E-7</v>
      </c>
      <c r="G13" s="38">
        <f t="shared" si="0"/>
        <v>6.8503937007874017E-8</v>
      </c>
      <c r="H13" s="38">
        <f t="shared" si="0"/>
        <v>5.511811023622047E-7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160</v>
      </c>
      <c r="B14" s="38">
        <v>3.0099999999999998E-8</v>
      </c>
      <c r="C14" s="38">
        <v>2.2999999999999999E-9</v>
      </c>
      <c r="D14" s="38">
        <v>1.8399999999999999E-8</v>
      </c>
      <c r="E14" s="3"/>
      <c r="F14" s="38">
        <f t="shared" si="0"/>
        <v>1.1850393700787401E-6</v>
      </c>
      <c r="G14" s="38">
        <f t="shared" si="0"/>
        <v>9.0551181102362207E-8</v>
      </c>
      <c r="H14" s="38">
        <f t="shared" si="0"/>
        <v>7.2440944881889766E-7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180</v>
      </c>
      <c r="B15" s="38">
        <v>3.8500000000000001E-8</v>
      </c>
      <c r="C15" s="38">
        <v>2.9499999999999999E-9</v>
      </c>
      <c r="D15" s="38">
        <v>2.36E-8</v>
      </c>
      <c r="E15" s="3"/>
      <c r="F15" s="38">
        <f t="shared" si="0"/>
        <v>1.5157480314960632E-6</v>
      </c>
      <c r="G15" s="38">
        <f t="shared" si="0"/>
        <v>1.1614173228346458E-7</v>
      </c>
      <c r="H15" s="38">
        <f t="shared" si="0"/>
        <v>9.2913385826771665E-7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200</v>
      </c>
      <c r="B16" s="38">
        <v>4.8100000000000001E-8</v>
      </c>
      <c r="C16" s="38">
        <v>3.6899999999999999E-9</v>
      </c>
      <c r="D16" s="38">
        <v>2.96E-8</v>
      </c>
      <c r="E16" s="3"/>
      <c r="F16" s="38">
        <f t="shared" si="0"/>
        <v>1.8937007874015751E-6</v>
      </c>
      <c r="G16" s="38">
        <f t="shared" si="0"/>
        <v>1.452755905511811E-7</v>
      </c>
      <c r="H16" s="38">
        <f t="shared" si="0"/>
        <v>1.1653543307086615E-6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220</v>
      </c>
      <c r="B17" s="38">
        <v>5.8999999999999999E-8</v>
      </c>
      <c r="C17" s="38">
        <v>4.5299999999999999E-9</v>
      </c>
      <c r="D17" s="38">
        <v>3.6400000000000002E-8</v>
      </c>
      <c r="E17" s="3"/>
      <c r="F17" s="38">
        <f t="shared" si="0"/>
        <v>2.3228346456692914E-6</v>
      </c>
      <c r="G17" s="38">
        <f t="shared" si="0"/>
        <v>1.7834645669291338E-7</v>
      </c>
      <c r="H17" s="38">
        <f t="shared" si="0"/>
        <v>1.4330708661417326E-6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240</v>
      </c>
      <c r="B18" s="38">
        <v>7.1299999999999997E-8</v>
      </c>
      <c r="C18" s="38">
        <v>5.4899999999999999E-9</v>
      </c>
      <c r="D18" s="38">
        <v>4.4199999999999999E-8</v>
      </c>
      <c r="E18" s="3"/>
      <c r="F18" s="38">
        <f t="shared" si="0"/>
        <v>2.8070866141732285E-6</v>
      </c>
      <c r="G18" s="38">
        <f t="shared" si="0"/>
        <v>2.1614173228346459E-7</v>
      </c>
      <c r="H18" s="38">
        <f t="shared" si="0"/>
        <v>1.7401574803149605E-6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260</v>
      </c>
      <c r="B19" s="38">
        <v>8.4999999999999994E-8</v>
      </c>
      <c r="C19" s="38">
        <v>6.5599999999999997E-9</v>
      </c>
      <c r="D19" s="38">
        <v>5.2899999999999997E-8</v>
      </c>
      <c r="E19" s="3"/>
      <c r="F19" s="38">
        <f t="shared" si="0"/>
        <v>3.3464566929133858E-6</v>
      </c>
      <c r="G19" s="38">
        <f t="shared" si="0"/>
        <v>2.5826771653543311E-7</v>
      </c>
      <c r="H19" s="38">
        <f t="shared" si="0"/>
        <v>2.0826771653543309E-6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280</v>
      </c>
      <c r="B20" s="38">
        <v>9.9999999999999995E-8</v>
      </c>
      <c r="C20" s="38">
        <v>7.7499999999999999E-9</v>
      </c>
      <c r="D20" s="38">
        <v>6.2600000000000005E-8</v>
      </c>
      <c r="E20" s="3"/>
      <c r="F20" s="38">
        <f t="shared" si="0"/>
        <v>3.9370078740157482E-6</v>
      </c>
      <c r="G20" s="38">
        <f t="shared" si="0"/>
        <v>3.0511811023622049E-7</v>
      </c>
      <c r="H20" s="38">
        <f t="shared" si="0"/>
        <v>2.4645669291338586E-6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300</v>
      </c>
      <c r="B21" s="38">
        <v>1.17E-7</v>
      </c>
      <c r="C21" s="38">
        <v>9.0799999999999993E-9</v>
      </c>
      <c r="D21" s="38">
        <v>7.3500000000000003E-8</v>
      </c>
      <c r="E21" s="3"/>
      <c r="F21" s="38">
        <f t="shared" si="0"/>
        <v>4.6062992125984258E-6</v>
      </c>
      <c r="G21" s="38">
        <f t="shared" si="0"/>
        <v>3.5748031496062994E-7</v>
      </c>
      <c r="H21" s="38">
        <f t="shared" si="0"/>
        <v>2.8937007874015749E-6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320</v>
      </c>
      <c r="B22" s="38">
        <v>1.36E-7</v>
      </c>
      <c r="C22" s="38">
        <v>1.0600000000000001E-8</v>
      </c>
      <c r="D22" s="38">
        <v>8.5500000000000005E-8</v>
      </c>
      <c r="E22" s="3"/>
      <c r="F22" s="38">
        <f t="shared" si="0"/>
        <v>5.3543307086614173E-6</v>
      </c>
      <c r="G22" s="38">
        <f t="shared" si="0"/>
        <v>4.1732283464566933E-7</v>
      </c>
      <c r="H22" s="38">
        <f t="shared" si="0"/>
        <v>3.3661417322834651E-6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340</v>
      </c>
      <c r="B23" s="38">
        <v>1.5699999999999999E-7</v>
      </c>
      <c r="C23" s="38">
        <v>1.22E-8</v>
      </c>
      <c r="D23" s="38">
        <v>9.8900000000000005E-8</v>
      </c>
      <c r="E23" s="3"/>
      <c r="F23" s="38">
        <f t="shared" si="0"/>
        <v>6.1811023622047244E-6</v>
      </c>
      <c r="G23" s="38">
        <f t="shared" si="0"/>
        <v>4.8031496062992129E-7</v>
      </c>
      <c r="H23" s="38">
        <f t="shared" si="0"/>
        <v>3.893700787401575E-6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360</v>
      </c>
      <c r="B24" s="38">
        <v>1.8E-7</v>
      </c>
      <c r="C24" s="38">
        <v>1.4100000000000001E-8</v>
      </c>
      <c r="D24" s="38">
        <v>1.14E-7</v>
      </c>
      <c r="E24" s="3"/>
      <c r="F24" s="38">
        <f t="shared" si="0"/>
        <v>7.0866141732283462E-6</v>
      </c>
      <c r="G24" s="38">
        <f t="shared" si="0"/>
        <v>5.5511811023622048E-7</v>
      </c>
      <c r="H24" s="38">
        <f t="shared" si="0"/>
        <v>4.4881889763779532E-6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380</v>
      </c>
      <c r="B25" s="38">
        <v>2.05E-7</v>
      </c>
      <c r="C25" s="38">
        <v>1.6199999999999999E-8</v>
      </c>
      <c r="D25" s="38">
        <v>1.3E-7</v>
      </c>
      <c r="E25" s="3"/>
      <c r="F25" s="38">
        <f t="shared" si="0"/>
        <v>8.0708661417322845E-6</v>
      </c>
      <c r="G25" s="38">
        <f t="shared" si="0"/>
        <v>6.3779527559055123E-7</v>
      </c>
      <c r="H25" s="38">
        <f t="shared" si="0"/>
        <v>5.1181102362204721E-6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400</v>
      </c>
      <c r="B26" s="38">
        <v>2.3300000000000001E-7</v>
      </c>
      <c r="C26" s="38">
        <v>1.85E-8</v>
      </c>
      <c r="D26" s="38">
        <v>1.48E-7</v>
      </c>
      <c r="E26" s="3"/>
      <c r="F26" s="38">
        <f t="shared" si="0"/>
        <v>9.1732283464566929E-6</v>
      </c>
      <c r="G26" s="38">
        <f t="shared" si="0"/>
        <v>7.2834645669291344E-7</v>
      </c>
      <c r="H26" s="38">
        <f t="shared" si="0"/>
        <v>5.8267716535433075E-6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420</v>
      </c>
      <c r="B27" s="38">
        <v>2.6399999999999998E-7</v>
      </c>
      <c r="C27" s="38">
        <v>2.0999999999999999E-8</v>
      </c>
      <c r="D27" s="38">
        <v>1.68E-7</v>
      </c>
      <c r="E27" s="3"/>
      <c r="F27" s="38">
        <f t="shared" si="0"/>
        <v>1.0393700787401574E-5</v>
      </c>
      <c r="G27" s="38">
        <f t="shared" si="0"/>
        <v>8.267716535433071E-7</v>
      </c>
      <c r="H27" s="38">
        <f t="shared" si="0"/>
        <v>6.6141732283464568E-6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440</v>
      </c>
      <c r="B28" s="38">
        <v>2.9799999999999999E-7</v>
      </c>
      <c r="C28" s="38">
        <v>2.3800000000000001E-8</v>
      </c>
      <c r="D28" s="38">
        <v>1.91E-7</v>
      </c>
      <c r="E28" s="3"/>
      <c r="F28" s="38">
        <f t="shared" si="0"/>
        <v>1.1732283464566929E-5</v>
      </c>
      <c r="G28" s="38">
        <f t="shared" si="0"/>
        <v>9.3700787401574821E-7</v>
      </c>
      <c r="H28" s="38">
        <f t="shared" si="0"/>
        <v>7.5196850393700795E-6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460</v>
      </c>
      <c r="B29" s="38">
        <v>3.3599999999999999E-7</v>
      </c>
      <c r="C29" s="38">
        <v>2.7E-8</v>
      </c>
      <c r="D29" s="38">
        <v>2.16E-7</v>
      </c>
      <c r="E29" s="3"/>
      <c r="F29" s="38">
        <f t="shared" si="0"/>
        <v>1.3228346456692914E-5</v>
      </c>
      <c r="G29" s="38">
        <f t="shared" si="0"/>
        <v>1.062992125984252E-6</v>
      </c>
      <c r="H29" s="38">
        <f t="shared" si="0"/>
        <v>8.5039370078740161E-6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480</v>
      </c>
      <c r="B30" s="38">
        <v>3.77E-7</v>
      </c>
      <c r="C30" s="38">
        <v>3.0500000000000002E-8</v>
      </c>
      <c r="D30" s="38">
        <v>2.4299999999999999E-7</v>
      </c>
      <c r="E30" s="3"/>
      <c r="F30" s="38">
        <f t="shared" si="0"/>
        <v>1.4842519685039371E-5</v>
      </c>
      <c r="G30" s="38">
        <f t="shared" si="0"/>
        <v>1.2007874015748033E-6</v>
      </c>
      <c r="H30" s="38">
        <f t="shared" si="0"/>
        <v>9.5669291338582675E-6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500</v>
      </c>
      <c r="B31" s="38">
        <v>4.2399999999999999E-7</v>
      </c>
      <c r="C31" s="38">
        <v>3.4300000000000003E-8</v>
      </c>
      <c r="D31" s="38">
        <v>2.7399999999999999E-7</v>
      </c>
      <c r="E31" s="3"/>
      <c r="F31" s="38">
        <f t="shared" si="0"/>
        <v>1.6692913385826773E-5</v>
      </c>
      <c r="G31" s="38">
        <f t="shared" si="0"/>
        <v>1.3503937007874017E-6</v>
      </c>
      <c r="H31" s="38">
        <f t="shared" si="0"/>
        <v>1.078740157480315E-5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520</v>
      </c>
      <c r="B32" s="38">
        <v>4.75E-7</v>
      </c>
      <c r="C32" s="38">
        <v>3.8700000000000002E-8</v>
      </c>
      <c r="D32" s="38">
        <v>3.0800000000000001E-7</v>
      </c>
      <c r="E32" s="3"/>
      <c r="F32" s="38">
        <f t="shared" si="0"/>
        <v>1.8700787401574803E-5</v>
      </c>
      <c r="G32" s="38">
        <f t="shared" si="0"/>
        <v>1.5236220472440947E-6</v>
      </c>
      <c r="H32" s="38">
        <f t="shared" si="0"/>
        <v>1.2125984251968505E-5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540</v>
      </c>
      <c r="B33" s="38">
        <v>5.3300000000000002E-7</v>
      </c>
      <c r="C33" s="38">
        <v>4.3499999999999999E-8</v>
      </c>
      <c r="D33" s="38">
        <v>3.46E-7</v>
      </c>
      <c r="E33" s="3"/>
      <c r="F33" s="38">
        <f t="shared" si="0"/>
        <v>2.0984251968503941E-5</v>
      </c>
      <c r="G33" s="38">
        <f t="shared" si="0"/>
        <v>1.7125984251968505E-6</v>
      </c>
      <c r="H33" s="38">
        <f t="shared" si="0"/>
        <v>1.362204724409449E-5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560</v>
      </c>
      <c r="B34" s="38">
        <v>5.9800000000000003E-7</v>
      </c>
      <c r="C34" s="38">
        <v>4.8900000000000001E-8</v>
      </c>
      <c r="D34" s="38">
        <v>3.8799999999999998E-7</v>
      </c>
      <c r="E34" s="3"/>
      <c r="F34" s="38">
        <f t="shared" si="0"/>
        <v>2.3543307086614175E-5</v>
      </c>
      <c r="G34" s="38">
        <f t="shared" si="0"/>
        <v>1.9251968503937009E-6</v>
      </c>
      <c r="H34" s="38">
        <f t="shared" si="0"/>
        <v>1.5275590551181102E-5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580</v>
      </c>
      <c r="B35" s="38">
        <v>6.7100000000000001E-7</v>
      </c>
      <c r="C35" s="38">
        <v>5.5000000000000003E-8</v>
      </c>
      <c r="D35" s="38">
        <v>4.34E-7</v>
      </c>
      <c r="E35" s="3"/>
      <c r="F35" s="38">
        <f t="shared" si="0"/>
        <v>2.6417322834645672E-5</v>
      </c>
      <c r="G35" s="38">
        <f t="shared" si="0"/>
        <v>2.1653543307086614E-6</v>
      </c>
      <c r="H35" s="38">
        <f t="shared" si="0"/>
        <v>1.7086614173228346E-5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600</v>
      </c>
      <c r="B36" s="38">
        <v>7.5300000000000003E-7</v>
      </c>
      <c r="C36" s="38">
        <v>6.1900000000000005E-8</v>
      </c>
      <c r="D36" s="38">
        <v>4.8699999999999995E-7</v>
      </c>
      <c r="E36" s="3"/>
      <c r="F36" s="38">
        <f t="shared" si="0"/>
        <v>2.9645669291338583E-5</v>
      </c>
      <c r="G36" s="38">
        <f t="shared" si="0"/>
        <v>2.4370078740157481E-6</v>
      </c>
      <c r="H36" s="38">
        <f t="shared" si="0"/>
        <v>1.9173228346456694E-5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620</v>
      </c>
      <c r="B37" s="38">
        <v>8.4600000000000003E-7</v>
      </c>
      <c r="C37" s="38">
        <v>6.9699999999999995E-8</v>
      </c>
      <c r="D37" s="38">
        <v>5.4499999999999997E-7</v>
      </c>
      <c r="E37" s="3"/>
      <c r="F37" s="38">
        <f t="shared" si="0"/>
        <v>3.3307086614173236E-5</v>
      </c>
      <c r="G37" s="38">
        <f t="shared" si="0"/>
        <v>2.7440944881889765E-6</v>
      </c>
      <c r="H37" s="38">
        <f t="shared" si="0"/>
        <v>2.1456692913385828E-5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640</v>
      </c>
      <c r="B38" s="38">
        <v>9.5199999999999995E-7</v>
      </c>
      <c r="C38" s="38">
        <v>7.8499999999999995E-8</v>
      </c>
      <c r="D38" s="38">
        <v>6.1099999999999995E-7</v>
      </c>
      <c r="E38" s="3"/>
      <c r="F38" s="38">
        <f t="shared" si="0"/>
        <v>3.7480314960629924E-5</v>
      </c>
      <c r="G38" s="38">
        <f t="shared" si="0"/>
        <v>3.0905511811023622E-6</v>
      </c>
      <c r="H38" s="38">
        <f t="shared" si="0"/>
        <v>2.4055118110236221E-5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660</v>
      </c>
      <c r="B39" s="38">
        <v>1.0699999999999999E-6</v>
      </c>
      <c r="C39" s="38">
        <v>8.8399999999999997E-8</v>
      </c>
      <c r="D39" s="38">
        <v>6.8400000000000004E-7</v>
      </c>
      <c r="E39" s="3"/>
      <c r="F39" s="38">
        <f t="shared" si="0"/>
        <v>4.2125984251968503E-5</v>
      </c>
      <c r="G39" s="38">
        <f t="shared" si="0"/>
        <v>3.480314960629921E-6</v>
      </c>
      <c r="H39" s="38">
        <f t="shared" si="0"/>
        <v>2.6929133858267721E-5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680</v>
      </c>
      <c r="B40" s="38">
        <v>1.2100000000000001E-6</v>
      </c>
      <c r="C40" s="38">
        <v>9.9699999999999999E-8</v>
      </c>
      <c r="D40" s="38">
        <v>7.6700000000000003E-7</v>
      </c>
      <c r="E40" s="3"/>
      <c r="F40" s="38">
        <f t="shared" si="0"/>
        <v>4.7637795275590558E-5</v>
      </c>
      <c r="G40" s="38">
        <f t="shared" si="0"/>
        <v>3.9251968503937013E-6</v>
      </c>
      <c r="H40" s="38">
        <f t="shared" si="0"/>
        <v>3.0196850393700787E-5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700</v>
      </c>
      <c r="B41" s="38">
        <v>1.37E-6</v>
      </c>
      <c r="C41" s="38">
        <v>1.1300000000000001E-7</v>
      </c>
      <c r="D41" s="38">
        <v>8.6000000000000002E-7</v>
      </c>
      <c r="E41" s="3"/>
      <c r="F41" s="38">
        <f t="shared" si="0"/>
        <v>5.3937007874015745E-5</v>
      </c>
      <c r="G41" s="38">
        <f t="shared" si="0"/>
        <v>4.4488188976377962E-6</v>
      </c>
      <c r="H41" s="38">
        <f t="shared" si="0"/>
        <v>3.3858267716535437E-5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720</v>
      </c>
      <c r="B42" s="38">
        <v>1.5400000000000001E-6</v>
      </c>
      <c r="C42" s="38">
        <v>1.2700000000000001E-7</v>
      </c>
      <c r="D42" s="38">
        <v>9.6299999999999993E-7</v>
      </c>
      <c r="E42" s="3"/>
      <c r="F42" s="38">
        <f t="shared" si="0"/>
        <v>6.0629921259842526E-5</v>
      </c>
      <c r="G42" s="38">
        <f t="shared" si="0"/>
        <v>5.0000000000000013E-6</v>
      </c>
      <c r="H42" s="38">
        <f t="shared" si="0"/>
        <v>3.7913385826771649E-5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740</v>
      </c>
      <c r="B43" s="38">
        <v>1.7400000000000001E-6</v>
      </c>
      <c r="C43" s="38">
        <v>1.43E-7</v>
      </c>
      <c r="D43" s="38">
        <v>1.08E-6</v>
      </c>
      <c r="E43" s="3"/>
      <c r="F43" s="38">
        <f t="shared" si="0"/>
        <v>6.8503937007874019E-5</v>
      </c>
      <c r="G43" s="38">
        <f t="shared" si="0"/>
        <v>5.6299212598425202E-6</v>
      </c>
      <c r="H43" s="38">
        <f t="shared" si="0"/>
        <v>4.2519685039370082E-5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760</v>
      </c>
      <c r="B44" s="38">
        <v>1.9599999999999999E-6</v>
      </c>
      <c r="C44" s="38">
        <v>1.6199999999999999E-7</v>
      </c>
      <c r="D44" s="38">
        <v>1.1999999999999999E-6</v>
      </c>
      <c r="E44" s="3"/>
      <c r="F44" s="38">
        <f t="shared" si="0"/>
        <v>7.7165354330708665E-5</v>
      </c>
      <c r="G44" s="38">
        <f t="shared" si="0"/>
        <v>6.3779527559055125E-6</v>
      </c>
      <c r="H44" s="38">
        <f t="shared" si="0"/>
        <v>4.7244094488188978E-5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780</v>
      </c>
      <c r="B45" s="38">
        <v>2.2000000000000001E-6</v>
      </c>
      <c r="C45" s="38">
        <v>1.8199999999999999E-7</v>
      </c>
      <c r="D45" s="38">
        <v>1.33E-6</v>
      </c>
      <c r="E45" s="3"/>
      <c r="F45" s="38">
        <f t="shared" si="0"/>
        <v>8.661417322834647E-5</v>
      </c>
      <c r="G45" s="38">
        <f t="shared" si="0"/>
        <v>7.165354330708661E-6</v>
      </c>
      <c r="H45" s="38">
        <f t="shared" si="0"/>
        <v>5.2362204724409454E-5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800</v>
      </c>
      <c r="B46" s="38">
        <v>2.4399999999999999E-6</v>
      </c>
      <c r="C46" s="38">
        <v>2.05E-7</v>
      </c>
      <c r="D46" s="38">
        <v>1.4500000000000001E-6</v>
      </c>
      <c r="E46" s="3"/>
      <c r="F46" s="38">
        <f t="shared" si="0"/>
        <v>9.6062992125984248E-5</v>
      </c>
      <c r="G46" s="38">
        <f t="shared" si="0"/>
        <v>8.0708661417322845E-6</v>
      </c>
      <c r="H46" s="38">
        <f t="shared" si="0"/>
        <v>5.7086614173228356E-5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820</v>
      </c>
      <c r="B47" s="38">
        <v>2.6699999999999998E-6</v>
      </c>
      <c r="C47" s="38">
        <v>2.2999999999999999E-7</v>
      </c>
      <c r="D47" s="38">
        <v>1.5600000000000001E-6</v>
      </c>
      <c r="E47" s="3"/>
      <c r="F47" s="38">
        <f t="shared" si="0"/>
        <v>1.0511811023622047E-4</v>
      </c>
      <c r="G47" s="38">
        <f t="shared" si="0"/>
        <v>9.055118110236222E-6</v>
      </c>
      <c r="H47" s="38">
        <f t="shared" si="0"/>
        <v>6.1417322834645679E-5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840</v>
      </c>
      <c r="B48" s="38">
        <v>2.8600000000000001E-6</v>
      </c>
      <c r="C48" s="38">
        <v>2.5600000000000002E-7</v>
      </c>
      <c r="D48" s="38">
        <v>1.64E-6</v>
      </c>
      <c r="E48" s="3"/>
      <c r="F48" s="38">
        <f t="shared" si="0"/>
        <v>1.1259842519685041E-4</v>
      </c>
      <c r="G48" s="38">
        <f t="shared" si="0"/>
        <v>1.0078740157480316E-5</v>
      </c>
      <c r="H48" s="38">
        <f t="shared" si="0"/>
        <v>6.4566929133858276E-5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860</v>
      </c>
      <c r="B49" s="38">
        <v>2.9799999999999998E-6</v>
      </c>
      <c r="C49" s="38">
        <v>2.8200000000000001E-7</v>
      </c>
      <c r="D49" s="38">
        <v>1.6899999999999999E-6</v>
      </c>
      <c r="E49" s="3"/>
      <c r="F49" s="38">
        <f t="shared" si="0"/>
        <v>1.173228346456693E-4</v>
      </c>
      <c r="G49" s="38">
        <f t="shared" si="0"/>
        <v>1.1102362204724411E-5</v>
      </c>
      <c r="H49" s="38">
        <f t="shared" si="0"/>
        <v>6.6535433070866141E-5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880</v>
      </c>
      <c r="B50" s="38">
        <v>3.0299999999999998E-6</v>
      </c>
      <c r="C50" s="38">
        <v>3.0699999999999998E-7</v>
      </c>
      <c r="D50" s="38">
        <v>1.6899999999999999E-6</v>
      </c>
      <c r="E50" s="3"/>
      <c r="F50" s="38">
        <f t="shared" si="0"/>
        <v>1.1929133858267716E-4</v>
      </c>
      <c r="G50" s="38">
        <f t="shared" si="0"/>
        <v>1.2086614173228347E-5</v>
      </c>
      <c r="H50" s="38">
        <f t="shared" si="0"/>
        <v>6.6535433070866141E-5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900</v>
      </c>
      <c r="B51" s="38">
        <v>3.01E-6</v>
      </c>
      <c r="C51" s="38">
        <v>3.3000000000000002E-7</v>
      </c>
      <c r="D51" s="38">
        <v>1.66E-6</v>
      </c>
      <c r="E51" s="3"/>
      <c r="F51" s="38">
        <f t="shared" si="0"/>
        <v>1.1850393700787403E-4</v>
      </c>
      <c r="G51" s="38">
        <f t="shared" si="0"/>
        <v>1.2992125984251968E-5</v>
      </c>
      <c r="H51" s="38">
        <f t="shared" si="0"/>
        <v>6.5354330708661422E-5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920</v>
      </c>
      <c r="B52" s="38">
        <v>2.9399999999999998E-6</v>
      </c>
      <c r="C52" s="38">
        <v>3.4999999999999998E-7</v>
      </c>
      <c r="D52" s="38">
        <v>1.5999999999999999E-6</v>
      </c>
      <c r="E52" s="3"/>
      <c r="F52" s="38">
        <f t="shared" si="0"/>
        <v>1.1574803149606299E-4</v>
      </c>
      <c r="G52" s="38">
        <f t="shared" si="0"/>
        <v>1.3779527559055119E-5</v>
      </c>
      <c r="H52" s="38">
        <f t="shared" si="0"/>
        <v>6.2992125984251971E-5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940</v>
      </c>
      <c r="B53" s="38">
        <v>2.8200000000000001E-6</v>
      </c>
      <c r="C53" s="38">
        <v>3.6600000000000002E-7</v>
      </c>
      <c r="D53" s="38">
        <v>1.5400000000000001E-6</v>
      </c>
      <c r="E53" s="3"/>
      <c r="F53" s="38">
        <f t="shared" si="0"/>
        <v>1.110236220472441E-4</v>
      </c>
      <c r="G53" s="38">
        <f t="shared" si="0"/>
        <v>1.4409448818897639E-5</v>
      </c>
      <c r="H53" s="38">
        <f t="shared" si="0"/>
        <v>6.0629921259842526E-5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960</v>
      </c>
      <c r="B54" s="38">
        <v>2.6900000000000001E-6</v>
      </c>
      <c r="C54" s="38">
        <v>3.77E-7</v>
      </c>
      <c r="D54" s="38">
        <v>1.4699999999999999E-6</v>
      </c>
      <c r="E54" s="3"/>
      <c r="F54" s="38">
        <f t="shared" si="0"/>
        <v>1.0590551181102363E-4</v>
      </c>
      <c r="G54" s="38">
        <f t="shared" si="0"/>
        <v>1.4842519685039371E-5</v>
      </c>
      <c r="H54" s="38">
        <f t="shared" si="0"/>
        <v>5.7874015748031495E-5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980</v>
      </c>
      <c r="B55" s="38">
        <v>2.5600000000000001E-6</v>
      </c>
      <c r="C55" s="38">
        <v>3.84E-7</v>
      </c>
      <c r="D55" s="38">
        <v>1.42E-6</v>
      </c>
      <c r="E55" s="3"/>
      <c r="F55" s="38">
        <f t="shared" si="0"/>
        <v>1.0078740157480316E-4</v>
      </c>
      <c r="G55" s="38">
        <f t="shared" si="0"/>
        <v>1.5118110236220473E-5</v>
      </c>
      <c r="H55" s="38">
        <f t="shared" si="0"/>
        <v>5.5905511811023624E-5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1000</v>
      </c>
      <c r="B56" s="38">
        <v>2.4200000000000001E-6</v>
      </c>
      <c r="C56" s="38">
        <v>3.8799999999999998E-7</v>
      </c>
      <c r="D56" s="38">
        <v>1.37E-6</v>
      </c>
      <c r="E56" s="3"/>
      <c r="F56" s="38">
        <f t="shared" si="0"/>
        <v>9.5275590551181116E-5</v>
      </c>
      <c r="G56" s="38">
        <f t="shared" si="0"/>
        <v>1.5275590551181102E-5</v>
      </c>
      <c r="H56" s="38">
        <f t="shared" si="0"/>
        <v>5.3937007874015745E-5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1020</v>
      </c>
      <c r="B57" s="38">
        <v>2.3E-6</v>
      </c>
      <c r="C57" s="38">
        <v>3.89E-7</v>
      </c>
      <c r="D57" s="38">
        <v>1.35E-6</v>
      </c>
      <c r="E57" s="3"/>
      <c r="F57" s="38">
        <f t="shared" si="0"/>
        <v>9.0551181102362213E-5</v>
      </c>
      <c r="G57" s="38">
        <f t="shared" si="0"/>
        <v>1.5314960629921261E-5</v>
      </c>
      <c r="H57" s="38">
        <f t="shared" si="0"/>
        <v>5.3149606299212606E-5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1040</v>
      </c>
      <c r="B58" s="38">
        <v>2.1799999999999999E-6</v>
      </c>
      <c r="C58" s="38">
        <v>3.8799999999999998E-7</v>
      </c>
      <c r="D58" s="38">
        <v>1.33E-6</v>
      </c>
      <c r="E58" s="3"/>
      <c r="F58" s="38">
        <f t="shared" si="0"/>
        <v>8.5826771653543311E-5</v>
      </c>
      <c r="G58" s="38">
        <f t="shared" si="0"/>
        <v>1.5275590551181102E-5</v>
      </c>
      <c r="H58" s="38">
        <f t="shared" si="0"/>
        <v>5.2362204724409454E-5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1060</v>
      </c>
      <c r="B59" s="38">
        <v>2.0700000000000001E-6</v>
      </c>
      <c r="C59" s="39">
        <v>3.8599999999999999E-7</v>
      </c>
      <c r="D59" s="38">
        <v>1.3200000000000001E-6</v>
      </c>
      <c r="E59" s="3"/>
      <c r="F59" s="38">
        <f t="shared" si="0"/>
        <v>8.1496062992125995E-5</v>
      </c>
      <c r="G59" s="38">
        <f t="shared" si="0"/>
        <v>1.5196850393700789E-5</v>
      </c>
      <c r="H59" s="38">
        <f t="shared" si="0"/>
        <v>5.1968503937007874E-5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1080</v>
      </c>
      <c r="B60" s="38">
        <v>1.9700000000000002E-6</v>
      </c>
      <c r="C60" s="38">
        <v>3.84E-7</v>
      </c>
      <c r="D60" s="38">
        <v>1.33E-6</v>
      </c>
      <c r="E60" s="3"/>
      <c r="F60" s="38">
        <f t="shared" si="0"/>
        <v>7.7559055118110252E-5</v>
      </c>
      <c r="G60" s="38">
        <f t="shared" si="0"/>
        <v>1.5118110236220473E-5</v>
      </c>
      <c r="H60" s="38">
        <f t="shared" si="0"/>
        <v>5.2362204724409454E-5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1100</v>
      </c>
      <c r="B61" s="38">
        <v>1.88E-6</v>
      </c>
      <c r="C61" s="38">
        <v>3.8099999999999998E-7</v>
      </c>
      <c r="D61" s="38">
        <v>1.33E-6</v>
      </c>
      <c r="E61" s="3"/>
      <c r="F61" s="38">
        <f t="shared" si="0"/>
        <v>7.4015748031496068E-5</v>
      </c>
      <c r="G61" s="38">
        <f t="shared" si="0"/>
        <v>1.5E-5</v>
      </c>
      <c r="H61" s="38">
        <f t="shared" si="0"/>
        <v>5.2362204724409454E-5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1120</v>
      </c>
      <c r="B62" s="38">
        <v>1.7999999999999999E-6</v>
      </c>
      <c r="C62" s="38">
        <v>3.7899999999999999E-7</v>
      </c>
      <c r="D62" s="38">
        <v>1.35E-6</v>
      </c>
      <c r="E62" s="3"/>
      <c r="F62" s="38">
        <f t="shared" si="0"/>
        <v>7.0866141732283471E-5</v>
      </c>
      <c r="G62" s="38">
        <f t="shared" si="0"/>
        <v>1.4921259842519686E-5</v>
      </c>
      <c r="H62" s="38">
        <f t="shared" si="0"/>
        <v>5.3149606299212606E-5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1140</v>
      </c>
      <c r="B63" s="38">
        <v>1.72E-6</v>
      </c>
      <c r="C63" s="38">
        <v>3.7800000000000002E-7</v>
      </c>
      <c r="D63" s="38">
        <v>1.3599999999999999E-6</v>
      </c>
      <c r="E63" s="3"/>
      <c r="F63" s="38">
        <f t="shared" si="0"/>
        <v>6.7716535433070873E-5</v>
      </c>
      <c r="G63" s="38">
        <f t="shared" si="0"/>
        <v>1.488188976377953E-5</v>
      </c>
      <c r="H63" s="38">
        <f t="shared" si="0"/>
        <v>5.3543307086614173E-5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1160</v>
      </c>
      <c r="B64" s="38">
        <v>1.6500000000000001E-6</v>
      </c>
      <c r="C64" s="38">
        <v>3.7599999999999998E-7</v>
      </c>
      <c r="D64" s="38">
        <v>1.3799999999999999E-6</v>
      </c>
      <c r="E64" s="3"/>
      <c r="F64" s="38">
        <f t="shared" si="0"/>
        <v>6.4960629921259849E-5</v>
      </c>
      <c r="G64" s="38">
        <f t="shared" si="0"/>
        <v>1.4803149606299212E-5</v>
      </c>
      <c r="H64" s="38">
        <f t="shared" si="0"/>
        <v>5.4330708661417325E-5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1180</v>
      </c>
      <c r="B65" s="38">
        <v>1.59E-6</v>
      </c>
      <c r="C65" s="38">
        <v>3.7599999999999998E-7</v>
      </c>
      <c r="D65" s="38">
        <v>1.39E-6</v>
      </c>
      <c r="E65" s="3"/>
      <c r="F65" s="38">
        <f t="shared" si="0"/>
        <v>6.2598425196850398E-5</v>
      </c>
      <c r="G65" s="38">
        <f t="shared" si="0"/>
        <v>1.4803149606299212E-5</v>
      </c>
      <c r="H65" s="38">
        <f t="shared" si="0"/>
        <v>5.4724409448818898E-5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1200</v>
      </c>
      <c r="B66" s="38">
        <v>1.53E-6</v>
      </c>
      <c r="C66" s="38">
        <v>3.7599999999999998E-7</v>
      </c>
      <c r="D66" s="38">
        <v>1.4100000000000001E-6</v>
      </c>
      <c r="E66" s="3"/>
      <c r="F66" s="38">
        <f t="shared" si="0"/>
        <v>6.0236220472440947E-5</v>
      </c>
      <c r="G66" s="38">
        <f t="shared" si="0"/>
        <v>1.4803149606299212E-5</v>
      </c>
      <c r="H66" s="38">
        <f t="shared" si="0"/>
        <v>5.5511811023622051E-5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1220</v>
      </c>
      <c r="B67" s="38">
        <v>1.48E-6</v>
      </c>
      <c r="C67" s="38">
        <v>3.7599999999999998E-7</v>
      </c>
      <c r="D67" s="38">
        <v>1.4300000000000001E-6</v>
      </c>
      <c r="E67" s="3"/>
      <c r="F67" s="38">
        <f t="shared" si="0"/>
        <v>5.8267716535433075E-5</v>
      </c>
      <c r="G67" s="38">
        <f t="shared" si="0"/>
        <v>1.4803149606299212E-5</v>
      </c>
      <c r="H67" s="38">
        <f t="shared" si="0"/>
        <v>5.6299212598425204E-5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1240</v>
      </c>
      <c r="B68" s="38">
        <v>1.4300000000000001E-6</v>
      </c>
      <c r="C68" s="38">
        <v>3.77E-7</v>
      </c>
      <c r="D68" s="38">
        <v>1.44E-6</v>
      </c>
      <c r="E68" s="3"/>
      <c r="F68" s="38">
        <f t="shared" si="0"/>
        <v>5.6299212598425204E-5</v>
      </c>
      <c r="G68" s="38">
        <f t="shared" si="0"/>
        <v>1.4842519685039371E-5</v>
      </c>
      <c r="H68" s="38">
        <f t="shared" si="0"/>
        <v>5.669291338582677E-5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1260</v>
      </c>
      <c r="B69" s="38">
        <v>1.3799999999999999E-6</v>
      </c>
      <c r="C69" s="38">
        <v>3.7899999999999999E-7</v>
      </c>
      <c r="D69" s="38">
        <v>1.46E-6</v>
      </c>
      <c r="E69" s="3"/>
      <c r="F69" s="38">
        <f t="shared" si="0"/>
        <v>5.4330708661417325E-5</v>
      </c>
      <c r="G69" s="38">
        <f t="shared" si="0"/>
        <v>1.4921259842519686E-5</v>
      </c>
      <c r="H69" s="38">
        <f t="shared" si="0"/>
        <v>5.7480314960629922E-5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1280</v>
      </c>
      <c r="B70" s="38">
        <v>1.3400000000000001E-6</v>
      </c>
      <c r="C70" s="38">
        <v>3.8099999999999998E-7</v>
      </c>
      <c r="D70" s="38">
        <v>1.48E-6</v>
      </c>
      <c r="E70" s="3"/>
      <c r="F70" s="38">
        <f t="shared" si="0"/>
        <v>5.2755905511811027E-5</v>
      </c>
      <c r="G70" s="38">
        <f t="shared" si="0"/>
        <v>1.5E-5</v>
      </c>
      <c r="H70" s="38">
        <f t="shared" si="0"/>
        <v>5.8267716535433075E-5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1300</v>
      </c>
      <c r="B71" s="38">
        <v>1.3E-6</v>
      </c>
      <c r="C71" s="38">
        <v>3.8299999999999998E-7</v>
      </c>
      <c r="D71" s="38">
        <v>1.4899999999999999E-6</v>
      </c>
      <c r="E71" s="3"/>
      <c r="F71" s="38">
        <f t="shared" ref="F71:H126" si="1">B71*1000/25.4</f>
        <v>5.1181102362204728E-5</v>
      </c>
      <c r="G71" s="38">
        <f t="shared" si="1"/>
        <v>1.5078740157480316E-5</v>
      </c>
      <c r="H71" s="38">
        <f t="shared" si="1"/>
        <v>5.8661417322834648E-5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1320</v>
      </c>
      <c r="B72" s="38">
        <v>1.26E-6</v>
      </c>
      <c r="C72" s="38">
        <v>3.8500000000000002E-7</v>
      </c>
      <c r="D72" s="38">
        <v>1.5099999999999999E-6</v>
      </c>
      <c r="E72" s="3"/>
      <c r="F72" s="38">
        <f t="shared" si="1"/>
        <v>4.9606299212598429E-5</v>
      </c>
      <c r="G72" s="38">
        <f t="shared" si="1"/>
        <v>1.5157480314960632E-5</v>
      </c>
      <c r="H72" s="38">
        <f t="shared" si="1"/>
        <v>5.9448818897637794E-5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1340</v>
      </c>
      <c r="B73" s="38">
        <v>1.22E-6</v>
      </c>
      <c r="C73" s="38">
        <v>3.8799999999999998E-7</v>
      </c>
      <c r="D73" s="38">
        <v>1.5200000000000001E-6</v>
      </c>
      <c r="E73" s="3"/>
      <c r="F73" s="38">
        <f t="shared" si="1"/>
        <v>4.8031496062992124E-5</v>
      </c>
      <c r="G73" s="38">
        <f t="shared" si="1"/>
        <v>1.5275590551181102E-5</v>
      </c>
      <c r="H73" s="38">
        <f t="shared" si="1"/>
        <v>5.9842519685039374E-5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1360</v>
      </c>
      <c r="B74" s="38">
        <v>1.1799999999999999E-6</v>
      </c>
      <c r="C74" s="38">
        <v>3.9099999999999999E-7</v>
      </c>
      <c r="D74" s="38">
        <v>1.53E-6</v>
      </c>
      <c r="E74" s="3"/>
      <c r="F74" s="38">
        <f t="shared" si="1"/>
        <v>4.6456692913385825E-5</v>
      </c>
      <c r="G74" s="38">
        <f t="shared" si="1"/>
        <v>1.5393700787401575E-5</v>
      </c>
      <c r="H74" s="38">
        <f t="shared" si="1"/>
        <v>6.0236220472440947E-5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1380</v>
      </c>
      <c r="B75" s="38">
        <v>1.15E-6</v>
      </c>
      <c r="C75" s="38">
        <v>3.9499999999999998E-7</v>
      </c>
      <c r="D75" s="38">
        <v>1.55E-6</v>
      </c>
      <c r="E75" s="3"/>
      <c r="F75" s="38">
        <f t="shared" si="1"/>
        <v>4.5275590551181107E-5</v>
      </c>
      <c r="G75" s="38">
        <f t="shared" si="1"/>
        <v>1.5551181102362203E-5</v>
      </c>
      <c r="H75" s="38">
        <f t="shared" si="1"/>
        <v>6.1023622047244093E-5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1400</v>
      </c>
      <c r="B76" s="38">
        <v>1.1200000000000001E-6</v>
      </c>
      <c r="C76" s="38">
        <v>3.9900000000000001E-7</v>
      </c>
      <c r="D76" s="38">
        <v>1.5600000000000001E-6</v>
      </c>
      <c r="E76" s="3"/>
      <c r="F76" s="38">
        <f t="shared" si="1"/>
        <v>4.4094488188976388E-5</v>
      </c>
      <c r="G76" s="38">
        <f t="shared" si="1"/>
        <v>1.5708661417322834E-5</v>
      </c>
      <c r="H76" s="38">
        <f t="shared" si="1"/>
        <v>6.1417322834645679E-5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1420</v>
      </c>
      <c r="B77" s="38">
        <v>1.0899999999999999E-6</v>
      </c>
      <c r="C77" s="38">
        <v>4.0400000000000002E-7</v>
      </c>
      <c r="D77" s="38">
        <v>1.57E-6</v>
      </c>
      <c r="E77" s="3"/>
      <c r="F77" s="38">
        <f t="shared" si="1"/>
        <v>4.2913385826771655E-5</v>
      </c>
      <c r="G77" s="38">
        <f t="shared" si="1"/>
        <v>1.5905511811023624E-5</v>
      </c>
      <c r="H77" s="38">
        <f t="shared" si="1"/>
        <v>6.1811023622047252E-5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1440</v>
      </c>
      <c r="B78" s="38">
        <v>1.06E-6</v>
      </c>
      <c r="C78" s="38">
        <v>4.0999999999999999E-7</v>
      </c>
      <c r="D78" s="38">
        <v>1.57E-6</v>
      </c>
      <c r="E78" s="3"/>
      <c r="F78" s="38">
        <f t="shared" si="1"/>
        <v>4.173228346456693E-5</v>
      </c>
      <c r="G78" s="38">
        <f t="shared" si="1"/>
        <v>1.6141732283464569E-5</v>
      </c>
      <c r="H78" s="38">
        <f t="shared" si="1"/>
        <v>6.1811023622047252E-5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1460</v>
      </c>
      <c r="B79" s="38">
        <v>1.0300000000000001E-6</v>
      </c>
      <c r="C79" s="38">
        <v>4.1800000000000001E-7</v>
      </c>
      <c r="D79" s="38">
        <v>1.5799999999999999E-6</v>
      </c>
      <c r="E79" s="3"/>
      <c r="F79" s="38">
        <f t="shared" si="1"/>
        <v>4.0551181102362211E-5</v>
      </c>
      <c r="G79" s="38">
        <f t="shared" si="1"/>
        <v>1.6456692913385828E-5</v>
      </c>
      <c r="H79" s="38">
        <f t="shared" si="1"/>
        <v>6.2204724409448811E-5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1480</v>
      </c>
      <c r="B80" s="38">
        <v>1.0100000000000001E-6</v>
      </c>
      <c r="C80" s="38">
        <v>4.2599999999999998E-7</v>
      </c>
      <c r="D80" s="38">
        <v>1.59E-6</v>
      </c>
      <c r="E80" s="3"/>
      <c r="F80" s="38">
        <f t="shared" si="1"/>
        <v>3.9763779527559058E-5</v>
      </c>
      <c r="G80" s="38">
        <f t="shared" si="1"/>
        <v>1.6771653543307087E-5</v>
      </c>
      <c r="H80" s="38">
        <f t="shared" si="1"/>
        <v>6.2598425196850398E-5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1500</v>
      </c>
      <c r="B81" s="38">
        <v>9.9099999999999991E-7</v>
      </c>
      <c r="C81" s="38">
        <v>4.3599999999999999E-7</v>
      </c>
      <c r="D81" s="38">
        <v>1.59E-6</v>
      </c>
      <c r="E81" s="3"/>
      <c r="F81" s="38">
        <f t="shared" si="1"/>
        <v>3.9015748031496064E-5</v>
      </c>
      <c r="G81" s="38">
        <f t="shared" si="1"/>
        <v>1.716535433070866E-5</v>
      </c>
      <c r="H81" s="38">
        <f t="shared" si="1"/>
        <v>6.2598425196850398E-5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1520</v>
      </c>
      <c r="B82" s="38">
        <v>9.7600000000000006E-7</v>
      </c>
      <c r="C82" s="38">
        <v>4.4900000000000001E-7</v>
      </c>
      <c r="D82" s="38">
        <v>1.5999999999999999E-6</v>
      </c>
      <c r="E82" s="3"/>
      <c r="F82" s="38">
        <f t="shared" si="1"/>
        <v>3.8425196850393705E-5</v>
      </c>
      <c r="G82" s="38">
        <f t="shared" si="1"/>
        <v>1.7677165354330709E-5</v>
      </c>
      <c r="H82" s="38">
        <f t="shared" si="1"/>
        <v>6.2992125984251971E-5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1540</v>
      </c>
      <c r="B83" s="38">
        <v>9.6599999999999994E-7</v>
      </c>
      <c r="C83" s="38">
        <v>4.63E-7</v>
      </c>
      <c r="D83" s="38">
        <v>1.61E-6</v>
      </c>
      <c r="E83" s="3"/>
      <c r="F83" s="38">
        <f t="shared" si="1"/>
        <v>3.8031496062992125E-5</v>
      </c>
      <c r="G83" s="38">
        <f t="shared" si="1"/>
        <v>1.8228346456692913E-5</v>
      </c>
      <c r="H83" s="38">
        <f t="shared" si="1"/>
        <v>6.3385826771653557E-5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1560</v>
      </c>
      <c r="B84" s="38">
        <v>9.6200000000000006E-7</v>
      </c>
      <c r="C84" s="38">
        <v>4.7999999999999996E-7</v>
      </c>
      <c r="D84" s="38">
        <v>1.61E-6</v>
      </c>
      <c r="E84" s="3"/>
      <c r="F84" s="38">
        <f t="shared" si="1"/>
        <v>3.7874015748031504E-5</v>
      </c>
      <c r="G84" s="38">
        <f t="shared" si="1"/>
        <v>1.889763779527559E-5</v>
      </c>
      <c r="H84" s="38">
        <f t="shared" si="1"/>
        <v>6.3385826771653557E-5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1580</v>
      </c>
      <c r="B85" s="38">
        <v>9.6700000000000002E-7</v>
      </c>
      <c r="C85" s="38">
        <v>4.9999999999999998E-7</v>
      </c>
      <c r="D85" s="38">
        <v>1.6199999999999999E-6</v>
      </c>
      <c r="E85" s="3"/>
      <c r="F85" s="38">
        <f t="shared" si="1"/>
        <v>3.8070866141732284E-5</v>
      </c>
      <c r="G85" s="38">
        <f t="shared" si="1"/>
        <v>1.9685039370078743E-5</v>
      </c>
      <c r="H85" s="38">
        <f t="shared" si="1"/>
        <v>6.3779527559055117E-5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1600</v>
      </c>
      <c r="B86" s="38">
        <v>9.7999999999999993E-7</v>
      </c>
      <c r="C86" s="38">
        <v>5.2200000000000004E-7</v>
      </c>
      <c r="D86" s="38">
        <v>1.64E-6</v>
      </c>
      <c r="E86" s="3"/>
      <c r="F86" s="38">
        <f t="shared" si="1"/>
        <v>3.8582677165354333E-5</v>
      </c>
      <c r="G86" s="38">
        <f t="shared" si="1"/>
        <v>2.0551181102362206E-5</v>
      </c>
      <c r="H86" s="38">
        <f t="shared" si="1"/>
        <v>6.4566929133858276E-5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1620</v>
      </c>
      <c r="B87" s="38">
        <v>9.9999999999999995E-7</v>
      </c>
      <c r="C87" s="38">
        <v>5.4600000000000005E-7</v>
      </c>
      <c r="D87" s="38">
        <v>1.6500000000000001E-6</v>
      </c>
      <c r="E87" s="3"/>
      <c r="F87" s="38">
        <f t="shared" si="1"/>
        <v>3.9370078740157485E-5</v>
      </c>
      <c r="G87" s="38">
        <f t="shared" si="1"/>
        <v>2.1496062992125986E-5</v>
      </c>
      <c r="H87" s="38">
        <f t="shared" si="1"/>
        <v>6.4960629921259849E-5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1640</v>
      </c>
      <c r="B88" s="38">
        <v>1.04E-6</v>
      </c>
      <c r="C88" s="38">
        <v>5.7299999999999996E-7</v>
      </c>
      <c r="D88" s="38">
        <v>1.66E-6</v>
      </c>
      <c r="E88" s="3"/>
      <c r="F88" s="38">
        <f t="shared" si="1"/>
        <v>4.0944881889763777E-5</v>
      </c>
      <c r="G88" s="38">
        <f t="shared" si="1"/>
        <v>2.2559055118110236E-5</v>
      </c>
      <c r="H88" s="38">
        <f t="shared" si="1"/>
        <v>6.5354330708661422E-5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1660</v>
      </c>
      <c r="B89" s="38">
        <v>1.0899999999999999E-6</v>
      </c>
      <c r="C89" s="38">
        <v>6.0299999999999999E-7</v>
      </c>
      <c r="D89" s="38">
        <v>1.6700000000000001E-6</v>
      </c>
      <c r="E89" s="3"/>
      <c r="F89" s="38">
        <f t="shared" si="1"/>
        <v>4.2913385826771655E-5</v>
      </c>
      <c r="G89" s="38">
        <f t="shared" si="1"/>
        <v>2.3740157480314962E-5</v>
      </c>
      <c r="H89" s="38">
        <f t="shared" si="1"/>
        <v>6.5748031496062995E-5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1680</v>
      </c>
      <c r="B90" s="38">
        <v>1.1400000000000001E-6</v>
      </c>
      <c r="C90" s="38">
        <v>6.3399999999999999E-7</v>
      </c>
      <c r="D90" s="38">
        <v>1.6899999999999999E-6</v>
      </c>
      <c r="E90" s="3"/>
      <c r="F90" s="38">
        <f t="shared" si="1"/>
        <v>4.4881889763779534E-5</v>
      </c>
      <c r="G90" s="38">
        <f t="shared" si="1"/>
        <v>2.4960629921259846E-5</v>
      </c>
      <c r="H90" s="38">
        <f t="shared" si="1"/>
        <v>6.6535433070866141E-5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1700</v>
      </c>
      <c r="B91" s="38">
        <v>1.2100000000000001E-6</v>
      </c>
      <c r="C91" s="38">
        <v>6.6599999999999996E-7</v>
      </c>
      <c r="D91" s="38">
        <v>1.7E-6</v>
      </c>
      <c r="E91" s="3"/>
      <c r="F91" s="38">
        <f t="shared" si="1"/>
        <v>4.7637795275590558E-5</v>
      </c>
      <c r="G91" s="38">
        <f t="shared" si="1"/>
        <v>2.6220472440944882E-5</v>
      </c>
      <c r="H91" s="38">
        <f t="shared" si="1"/>
        <v>6.6929133858267728E-5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1720</v>
      </c>
      <c r="B92" s="38">
        <v>1.2899999999999999E-6</v>
      </c>
      <c r="C92" s="38">
        <v>6.99E-7</v>
      </c>
      <c r="D92" s="38">
        <v>1.72E-6</v>
      </c>
      <c r="E92" s="3"/>
      <c r="F92" s="38">
        <f t="shared" si="1"/>
        <v>5.0787401574803148E-5</v>
      </c>
      <c r="G92" s="38">
        <f t="shared" si="1"/>
        <v>2.751968503937008E-5</v>
      </c>
      <c r="H92" s="38">
        <f t="shared" si="1"/>
        <v>6.7716535433070873E-5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1740</v>
      </c>
      <c r="B93" s="38">
        <v>1.3799999999999999E-6</v>
      </c>
      <c r="C93" s="38">
        <v>7.3099999999999997E-7</v>
      </c>
      <c r="D93" s="38">
        <v>1.73E-6</v>
      </c>
      <c r="E93" s="3"/>
      <c r="F93" s="38">
        <f t="shared" si="1"/>
        <v>5.4330708661417325E-5</v>
      </c>
      <c r="G93" s="38">
        <f t="shared" si="1"/>
        <v>2.877952755905512E-5</v>
      </c>
      <c r="H93" s="38">
        <f t="shared" si="1"/>
        <v>6.8110236220472446E-5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1760</v>
      </c>
      <c r="B94" s="38">
        <v>1.4699999999999999E-6</v>
      </c>
      <c r="C94" s="38">
        <v>7.6300000000000004E-7</v>
      </c>
      <c r="D94" s="38">
        <v>1.7400000000000001E-6</v>
      </c>
      <c r="E94" s="3"/>
      <c r="F94" s="38">
        <f t="shared" si="1"/>
        <v>5.7874015748031495E-5</v>
      </c>
      <c r="G94" s="38">
        <f t="shared" si="1"/>
        <v>3.0039370078740159E-5</v>
      </c>
      <c r="H94" s="38">
        <f t="shared" si="1"/>
        <v>6.8503937007874019E-5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1780</v>
      </c>
      <c r="B95" s="38">
        <v>1.57E-6</v>
      </c>
      <c r="C95" s="38">
        <v>7.92E-7</v>
      </c>
      <c r="D95" s="38">
        <v>1.75E-6</v>
      </c>
      <c r="E95" s="3"/>
      <c r="F95" s="38">
        <f t="shared" si="1"/>
        <v>6.1811023622047252E-5</v>
      </c>
      <c r="G95" s="38">
        <f t="shared" si="1"/>
        <v>3.1181102362204723E-5</v>
      </c>
      <c r="H95" s="38">
        <f t="shared" si="1"/>
        <v>6.8897637795275592E-5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1800</v>
      </c>
      <c r="B96" s="38">
        <v>1.66E-6</v>
      </c>
      <c r="C96" s="38">
        <v>8.1800000000000005E-7</v>
      </c>
      <c r="D96" s="38">
        <v>1.75E-6</v>
      </c>
      <c r="E96" s="3"/>
      <c r="F96" s="38">
        <f t="shared" si="1"/>
        <v>6.5354330708661422E-5</v>
      </c>
      <c r="G96" s="38">
        <f t="shared" si="1"/>
        <v>3.2204724409448821E-5</v>
      </c>
      <c r="H96" s="38">
        <f t="shared" si="1"/>
        <v>6.8897637795275592E-5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1820</v>
      </c>
      <c r="B97" s="38">
        <v>1.75E-6</v>
      </c>
      <c r="C97" s="38">
        <v>8.3900000000000004E-7</v>
      </c>
      <c r="D97" s="38">
        <v>1.75E-6</v>
      </c>
      <c r="E97" s="3"/>
      <c r="F97" s="38">
        <f t="shared" si="1"/>
        <v>6.8897637795275592E-5</v>
      </c>
      <c r="G97" s="38">
        <f t="shared" si="1"/>
        <v>3.3031496062992125E-5</v>
      </c>
      <c r="H97" s="38">
        <f t="shared" si="1"/>
        <v>6.8897637795275592E-5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1840</v>
      </c>
      <c r="B98" s="38">
        <v>1.84E-6</v>
      </c>
      <c r="C98" s="38">
        <v>8.5600000000000004E-7</v>
      </c>
      <c r="D98" s="38">
        <v>1.75E-6</v>
      </c>
      <c r="E98" s="3"/>
      <c r="F98" s="38">
        <f t="shared" si="1"/>
        <v>7.2440944881889776E-5</v>
      </c>
      <c r="G98" s="38">
        <f t="shared" si="1"/>
        <v>3.3700787401574802E-5</v>
      </c>
      <c r="H98" s="38">
        <f t="shared" si="1"/>
        <v>6.8897637795275592E-5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1860</v>
      </c>
      <c r="B99" s="38">
        <v>1.9099999999999999E-6</v>
      </c>
      <c r="C99" s="38">
        <v>8.6700000000000002E-7</v>
      </c>
      <c r="D99" s="38">
        <v>1.75E-6</v>
      </c>
      <c r="E99" s="3"/>
      <c r="F99" s="38">
        <f t="shared" si="1"/>
        <v>7.5196850393700787E-5</v>
      </c>
      <c r="G99" s="38">
        <f t="shared" si="1"/>
        <v>3.413385826771654E-5</v>
      </c>
      <c r="H99" s="38">
        <f t="shared" si="1"/>
        <v>6.8897637795275592E-5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1880</v>
      </c>
      <c r="B100" s="38">
        <v>1.9700000000000002E-6</v>
      </c>
      <c r="C100" s="38">
        <v>8.7300000000000005E-7</v>
      </c>
      <c r="D100" s="38">
        <v>1.75E-6</v>
      </c>
      <c r="E100" s="3"/>
      <c r="F100" s="38">
        <f t="shared" si="1"/>
        <v>7.7559055118110252E-5</v>
      </c>
      <c r="G100" s="38">
        <f t="shared" si="1"/>
        <v>3.4370078740157486E-5</v>
      </c>
      <c r="H100" s="38">
        <f t="shared" si="1"/>
        <v>6.8897637795275592E-5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1900</v>
      </c>
      <c r="B101" s="38">
        <v>2.0200000000000001E-6</v>
      </c>
      <c r="C101" s="38">
        <v>8.7400000000000002E-7</v>
      </c>
      <c r="D101" s="38">
        <v>1.7400000000000001E-6</v>
      </c>
      <c r="E101" s="3"/>
      <c r="F101" s="38">
        <f t="shared" si="1"/>
        <v>7.9527559055118116E-5</v>
      </c>
      <c r="G101" s="38">
        <f t="shared" si="1"/>
        <v>3.4409448818897638E-5</v>
      </c>
      <c r="H101" s="38">
        <f t="shared" si="1"/>
        <v>6.8503937007874019E-5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1920</v>
      </c>
      <c r="B102" s="38">
        <v>2.0600000000000002E-6</v>
      </c>
      <c r="C102" s="38">
        <v>8.6899999999999996E-7</v>
      </c>
      <c r="D102" s="38">
        <v>1.7400000000000001E-6</v>
      </c>
      <c r="E102" s="3"/>
      <c r="F102" s="38">
        <f t="shared" si="1"/>
        <v>8.1102362204724422E-5</v>
      </c>
      <c r="G102" s="38">
        <f t="shared" si="1"/>
        <v>3.4212598425196851E-5</v>
      </c>
      <c r="H102" s="38">
        <f t="shared" si="1"/>
        <v>6.8503937007874019E-5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1940</v>
      </c>
      <c r="B103" s="38">
        <v>2.0899999999999999E-6</v>
      </c>
      <c r="C103" s="38">
        <v>8.6099999999999999E-7</v>
      </c>
      <c r="D103" s="38">
        <v>1.73E-6</v>
      </c>
      <c r="E103" s="3"/>
      <c r="F103" s="38">
        <f t="shared" si="1"/>
        <v>8.2283464566929127E-5</v>
      </c>
      <c r="G103" s="38">
        <f t="shared" si="1"/>
        <v>3.3897637795275595E-5</v>
      </c>
      <c r="H103" s="38">
        <f t="shared" si="1"/>
        <v>6.8110236220472446E-5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1960</v>
      </c>
      <c r="B104" s="38">
        <v>2.1100000000000001E-6</v>
      </c>
      <c r="C104" s="38">
        <v>8.4900000000000005E-7</v>
      </c>
      <c r="D104" s="38">
        <v>1.72E-6</v>
      </c>
      <c r="E104" s="3"/>
      <c r="F104" s="38">
        <f t="shared" si="1"/>
        <v>8.30708661417323E-5</v>
      </c>
      <c r="G104" s="38">
        <f t="shared" si="1"/>
        <v>3.3425196850393705E-5</v>
      </c>
      <c r="H104" s="38">
        <f t="shared" si="1"/>
        <v>6.7716535433070873E-5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1980</v>
      </c>
      <c r="B105" s="38">
        <v>2.1100000000000001E-6</v>
      </c>
      <c r="C105" s="38">
        <v>8.3500000000000005E-7</v>
      </c>
      <c r="D105" s="38">
        <v>1.7099999999999999E-6</v>
      </c>
      <c r="E105" s="3"/>
      <c r="F105" s="38">
        <f t="shared" si="1"/>
        <v>8.30708661417323E-5</v>
      </c>
      <c r="G105" s="38">
        <f t="shared" si="1"/>
        <v>3.2874015748031498E-5</v>
      </c>
      <c r="H105" s="38">
        <f t="shared" si="1"/>
        <v>6.7322834645669287E-5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2000</v>
      </c>
      <c r="B106" s="38">
        <v>2.1100000000000001E-6</v>
      </c>
      <c r="C106" s="38">
        <v>8.1900000000000001E-7</v>
      </c>
      <c r="D106" s="38">
        <v>1.7E-6</v>
      </c>
      <c r="E106" s="3"/>
      <c r="F106" s="38">
        <f t="shared" si="1"/>
        <v>8.30708661417323E-5</v>
      </c>
      <c r="G106" s="38">
        <f t="shared" si="1"/>
        <v>3.2244094488188979E-5</v>
      </c>
      <c r="H106" s="38">
        <f t="shared" si="1"/>
        <v>6.6929133858267728E-5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2020</v>
      </c>
      <c r="B107" s="38">
        <v>2.1100000000000001E-6</v>
      </c>
      <c r="C107" s="38">
        <v>8.0100000000000004E-7</v>
      </c>
      <c r="D107" s="38">
        <v>1.6899999999999999E-6</v>
      </c>
      <c r="E107" s="3"/>
      <c r="F107" s="38">
        <f t="shared" si="1"/>
        <v>8.30708661417323E-5</v>
      </c>
      <c r="G107" s="38">
        <f t="shared" si="1"/>
        <v>3.1535433070866144E-5</v>
      </c>
      <c r="H107" s="38">
        <f t="shared" si="1"/>
        <v>6.6535433070866141E-5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2040</v>
      </c>
      <c r="B108" s="38">
        <v>2.0999999999999998E-6</v>
      </c>
      <c r="C108" s="38">
        <v>7.8299999999999996E-7</v>
      </c>
      <c r="D108" s="38">
        <v>1.68E-6</v>
      </c>
      <c r="E108" s="3"/>
      <c r="F108" s="38">
        <f t="shared" si="1"/>
        <v>8.2677165354330713E-5</v>
      </c>
      <c r="G108" s="38">
        <f t="shared" si="1"/>
        <v>3.0826771653543309E-5</v>
      </c>
      <c r="H108" s="38">
        <f t="shared" si="1"/>
        <v>6.6141732283464568E-5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2060</v>
      </c>
      <c r="B109" s="38">
        <v>2.08E-6</v>
      </c>
      <c r="C109" s="38">
        <v>7.6400000000000001E-7</v>
      </c>
      <c r="D109" s="38">
        <v>1.66E-6</v>
      </c>
      <c r="E109" s="3"/>
      <c r="F109" s="38">
        <f t="shared" si="1"/>
        <v>8.1889763779527554E-5</v>
      </c>
      <c r="G109" s="38">
        <f t="shared" si="1"/>
        <v>3.0078740157480318E-5</v>
      </c>
      <c r="H109" s="38">
        <f t="shared" si="1"/>
        <v>6.5354330708661422E-5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2080</v>
      </c>
      <c r="B110" s="38">
        <v>2.0600000000000002E-6</v>
      </c>
      <c r="C110" s="38">
        <v>7.4600000000000004E-7</v>
      </c>
      <c r="D110" s="38">
        <v>1.6500000000000001E-6</v>
      </c>
      <c r="E110" s="3"/>
      <c r="F110" s="38">
        <f t="shared" si="1"/>
        <v>8.1102362204724422E-5</v>
      </c>
      <c r="G110" s="38">
        <f t="shared" si="1"/>
        <v>2.9370078740157483E-5</v>
      </c>
      <c r="H110" s="38">
        <f t="shared" si="1"/>
        <v>6.4960629921259849E-5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2100</v>
      </c>
      <c r="B111" s="38">
        <v>2.04E-6</v>
      </c>
      <c r="C111" s="38">
        <v>7.2799999999999995E-7</v>
      </c>
      <c r="D111" s="38">
        <v>1.64E-6</v>
      </c>
      <c r="E111" s="3"/>
      <c r="F111" s="38">
        <f t="shared" si="1"/>
        <v>8.0314960629921276E-5</v>
      </c>
      <c r="G111" s="38">
        <f t="shared" si="1"/>
        <v>2.8661417322834644E-5</v>
      </c>
      <c r="H111" s="38">
        <f t="shared" si="1"/>
        <v>6.4566929133858276E-5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2120</v>
      </c>
      <c r="B112" s="38">
        <v>2.0200000000000001E-6</v>
      </c>
      <c r="C112" s="38">
        <v>7.0999999999999998E-7</v>
      </c>
      <c r="D112" s="38">
        <v>1.6300000000000001E-6</v>
      </c>
      <c r="E112" s="3"/>
      <c r="F112" s="38">
        <f t="shared" si="1"/>
        <v>7.9527559055118116E-5</v>
      </c>
      <c r="G112" s="38">
        <f t="shared" si="1"/>
        <v>2.7952755905511812E-5</v>
      </c>
      <c r="H112" s="38">
        <f t="shared" si="1"/>
        <v>6.4173228346456703E-5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2140</v>
      </c>
      <c r="B113" s="38">
        <v>1.9999999999999999E-6</v>
      </c>
      <c r="C113" s="38">
        <v>6.92E-7</v>
      </c>
      <c r="D113" s="38">
        <v>1.61E-6</v>
      </c>
      <c r="E113" s="3"/>
      <c r="F113" s="38">
        <f t="shared" si="1"/>
        <v>7.874015748031497E-5</v>
      </c>
      <c r="G113" s="38">
        <f t="shared" si="1"/>
        <v>2.724409448818898E-5</v>
      </c>
      <c r="H113" s="38">
        <f t="shared" si="1"/>
        <v>6.3385826771653557E-5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2160</v>
      </c>
      <c r="B114" s="38">
        <v>1.9800000000000001E-6</v>
      </c>
      <c r="C114" s="38">
        <v>6.75E-7</v>
      </c>
      <c r="D114" s="38">
        <v>1.5999999999999999E-6</v>
      </c>
      <c r="E114" s="3"/>
      <c r="F114" s="38">
        <f t="shared" si="1"/>
        <v>7.7952755905511811E-5</v>
      </c>
      <c r="G114" s="38">
        <f t="shared" si="1"/>
        <v>2.6574803149606303E-5</v>
      </c>
      <c r="H114" s="38">
        <f t="shared" si="1"/>
        <v>6.2992125984251971E-5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2180</v>
      </c>
      <c r="B115" s="38">
        <v>1.9599999999999999E-6</v>
      </c>
      <c r="C115" s="38">
        <v>6.5899999999999996E-7</v>
      </c>
      <c r="D115" s="38">
        <v>1.59E-6</v>
      </c>
      <c r="E115" s="3"/>
      <c r="F115" s="38">
        <f t="shared" si="1"/>
        <v>7.7165354330708665E-5</v>
      </c>
      <c r="G115" s="38">
        <f t="shared" si="1"/>
        <v>2.5944881889763778E-5</v>
      </c>
      <c r="H115" s="38">
        <f t="shared" si="1"/>
        <v>6.2598425196850398E-5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2200</v>
      </c>
      <c r="B116" s="38">
        <v>1.9400000000000001E-6</v>
      </c>
      <c r="C116" s="38">
        <v>6.44E-7</v>
      </c>
      <c r="D116" s="38">
        <v>1.57E-6</v>
      </c>
      <c r="E116" s="3"/>
      <c r="F116" s="38">
        <f t="shared" si="1"/>
        <v>7.6377952755905519E-5</v>
      </c>
      <c r="G116" s="38">
        <f t="shared" si="1"/>
        <v>2.5354330708661419E-5</v>
      </c>
      <c r="H116" s="38">
        <f t="shared" si="1"/>
        <v>6.1811023622047252E-5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2220</v>
      </c>
      <c r="B117" s="38">
        <v>1.9199999999999998E-6</v>
      </c>
      <c r="C117" s="38">
        <v>6.2900000000000003E-7</v>
      </c>
      <c r="D117" s="38">
        <v>1.5600000000000001E-6</v>
      </c>
      <c r="E117" s="3"/>
      <c r="F117" s="38">
        <f t="shared" si="1"/>
        <v>7.559055118110236E-5</v>
      </c>
      <c r="G117" s="38">
        <f t="shared" si="1"/>
        <v>2.4763779527559056E-5</v>
      </c>
      <c r="H117" s="38">
        <f t="shared" si="1"/>
        <v>6.1417322834645679E-5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2240</v>
      </c>
      <c r="B118" s="38">
        <v>1.9E-6</v>
      </c>
      <c r="C118" s="38">
        <v>6.1500000000000004E-7</v>
      </c>
      <c r="D118" s="38">
        <v>1.55E-6</v>
      </c>
      <c r="E118" s="3"/>
      <c r="F118" s="38">
        <f t="shared" si="1"/>
        <v>7.4803149606299214E-5</v>
      </c>
      <c r="G118" s="38">
        <f t="shared" si="1"/>
        <v>2.4212598425196855E-5</v>
      </c>
      <c r="H118" s="38">
        <f t="shared" si="1"/>
        <v>6.1023622047244093E-5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2260</v>
      </c>
      <c r="B119" s="38">
        <v>1.88E-6</v>
      </c>
      <c r="C119" s="38">
        <v>6.0200000000000002E-7</v>
      </c>
      <c r="D119" s="38">
        <v>1.5400000000000001E-6</v>
      </c>
      <c r="E119" s="3"/>
      <c r="F119" s="38">
        <f t="shared" si="1"/>
        <v>7.4015748031496068E-5</v>
      </c>
      <c r="G119" s="38">
        <f t="shared" si="1"/>
        <v>2.3700787401574803E-5</v>
      </c>
      <c r="H119" s="38">
        <f t="shared" si="1"/>
        <v>6.0629921259842526E-5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2280</v>
      </c>
      <c r="B120" s="38">
        <v>1.86E-6</v>
      </c>
      <c r="C120" s="38">
        <v>5.8899999999999999E-7</v>
      </c>
      <c r="D120" s="38">
        <v>1.5200000000000001E-6</v>
      </c>
      <c r="E120" s="3"/>
      <c r="F120" s="38">
        <f t="shared" si="1"/>
        <v>7.3228346456692908E-5</v>
      </c>
      <c r="G120" s="38">
        <f t="shared" si="1"/>
        <v>2.3188976377952757E-5</v>
      </c>
      <c r="H120" s="38">
        <f t="shared" si="1"/>
        <v>5.9842519685039374E-5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2300</v>
      </c>
      <c r="B121" s="38">
        <v>1.84E-6</v>
      </c>
      <c r="C121" s="38">
        <v>5.7700000000000004E-7</v>
      </c>
      <c r="D121" s="38">
        <v>1.5099999999999999E-6</v>
      </c>
      <c r="E121" s="3"/>
      <c r="F121" s="38">
        <f t="shared" si="1"/>
        <v>7.2440944881889776E-5</v>
      </c>
      <c r="G121" s="38">
        <f t="shared" si="1"/>
        <v>2.2716535433070871E-5</v>
      </c>
      <c r="H121" s="38">
        <f t="shared" si="1"/>
        <v>5.9448818897637794E-5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2320</v>
      </c>
      <c r="B122" s="38">
        <v>1.8199999999999999E-6</v>
      </c>
      <c r="C122" s="38">
        <v>5.6599999999999996E-7</v>
      </c>
      <c r="D122" s="38">
        <v>1.5E-6</v>
      </c>
      <c r="E122" s="3"/>
      <c r="F122" s="38">
        <f t="shared" si="1"/>
        <v>7.1653543307086617E-5</v>
      </c>
      <c r="G122" s="38">
        <f t="shared" si="1"/>
        <v>2.2283464566929136E-5</v>
      </c>
      <c r="H122" s="38">
        <f t="shared" si="1"/>
        <v>5.9055118110236228E-5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2340</v>
      </c>
      <c r="B123" s="38">
        <v>1.81E-6</v>
      </c>
      <c r="C123" s="38">
        <v>5.5499999999999998E-7</v>
      </c>
      <c r="D123" s="38">
        <v>1.4899999999999999E-6</v>
      </c>
      <c r="E123" s="3"/>
      <c r="F123" s="38">
        <f t="shared" si="1"/>
        <v>7.1259842519685044E-5</v>
      </c>
      <c r="G123" s="38">
        <f t="shared" si="1"/>
        <v>2.1850393700787401E-5</v>
      </c>
      <c r="H123" s="38">
        <f t="shared" si="1"/>
        <v>5.8661417322834648E-5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2360</v>
      </c>
      <c r="B124" s="38">
        <v>1.79E-6</v>
      </c>
      <c r="C124" s="38">
        <v>5.4499999999999997E-7</v>
      </c>
      <c r="D124" s="38">
        <v>1.48E-6</v>
      </c>
      <c r="E124" s="3"/>
      <c r="F124" s="38">
        <f t="shared" si="1"/>
        <v>7.0472440944881884E-5</v>
      </c>
      <c r="G124" s="38">
        <f t="shared" si="1"/>
        <v>2.1456692913385828E-5</v>
      </c>
      <c r="H124" s="38">
        <f t="shared" si="1"/>
        <v>5.8267716535433075E-5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2380</v>
      </c>
      <c r="B125" s="38">
        <v>1.77E-6</v>
      </c>
      <c r="C125" s="38">
        <v>5.3499999999999996E-7</v>
      </c>
      <c r="D125" s="38">
        <v>1.4699999999999999E-6</v>
      </c>
      <c r="E125" s="3"/>
      <c r="F125" s="38">
        <f t="shared" si="1"/>
        <v>6.9685039370078752E-5</v>
      </c>
      <c r="G125" s="38">
        <f t="shared" si="1"/>
        <v>2.1062992125984251E-5</v>
      </c>
      <c r="H125" s="38">
        <f t="shared" si="1"/>
        <v>5.7874015748031495E-5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2400</v>
      </c>
      <c r="B126" s="38">
        <v>1.7600000000000001E-6</v>
      </c>
      <c r="C126" s="38">
        <v>5.2600000000000002E-7</v>
      </c>
      <c r="D126" s="38">
        <v>1.46E-6</v>
      </c>
      <c r="E126" s="3"/>
      <c r="F126" s="38">
        <f t="shared" si="1"/>
        <v>6.9291338582677165E-5</v>
      </c>
      <c r="G126" s="38">
        <f t="shared" si="1"/>
        <v>2.0708661417322837E-5</v>
      </c>
      <c r="H126" s="38">
        <f t="shared" si="1"/>
        <v>5.7480314960629922E-5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3.0299999999999998E-6</v>
      </c>
      <c r="C128" s="38">
        <f>MAX(C6:C126)</f>
        <v>8.7400000000000002E-7</v>
      </c>
      <c r="D128" s="38">
        <f>MAX(D6:D126)</f>
        <v>1.75E-6</v>
      </c>
      <c r="E128" s="4"/>
      <c r="F128" s="38">
        <f>MAX(F20:F126)</f>
        <v>1.1929133858267716E-4</v>
      </c>
      <c r="G128" s="38">
        <f>MAX(G20:G126)</f>
        <v>3.4409448818897638E-5</v>
      </c>
      <c r="H128" s="38">
        <f>MAX(H20:H126)</f>
        <v>6.8897637795275592E-5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5.7114154442262433E-4</v>
      </c>
      <c r="C129" s="38">
        <f>C128*limits!$E29</f>
        <v>1.6474511875424875E-4</v>
      </c>
      <c r="D129" s="38">
        <f>D128*limits!$E29</f>
        <v>3.2986722862692823E-4</v>
      </c>
      <c r="E129" s="4"/>
      <c r="F129" s="38">
        <f>F128*limits!$E29</f>
        <v>2.2485887575693871E-2</v>
      </c>
      <c r="G129" s="38">
        <f>G128*limits!$E29</f>
        <v>6.4860282974113677E-3</v>
      </c>
      <c r="H129" s="38">
        <f>H128*limits!$E29</f>
        <v>1.2986898764839695E-2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A4:A5"/>
    <mergeCell ref="B4:D4"/>
    <mergeCell ref="F4:H4"/>
  </mergeCells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docMetadata/LabelInfo.xml><?xml version="1.0" encoding="utf-8"?>
<clbl:labelList xmlns:clbl="http://schemas.microsoft.com/office/2020/mipLabelMetadata">
  <clbl:label id="{e9d746c0-3369-42be-bf83-6862f3f56ae7}" enabled="1" method="Standard" siteId="{75864cfe-f26d-419c-b69d-c638695b55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limits</vt:lpstr>
      <vt:lpstr>P3_LB</vt:lpstr>
      <vt:lpstr>P4_LB</vt:lpstr>
      <vt:lpstr>P5_LB</vt:lpstr>
      <vt:lpstr>P6_LB</vt:lpstr>
      <vt:lpstr>P3_UB</vt:lpstr>
      <vt:lpstr>P4_UB</vt:lpstr>
      <vt:lpstr>P5_UB</vt:lpstr>
      <vt:lpstr>P6_UB</vt:lpstr>
    </vt:vector>
  </TitlesOfParts>
  <Company>Fluor Canada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Surjani Suherman</dc:creator>
  <cp:lastModifiedBy>Coltin Walsh</cp:lastModifiedBy>
  <cp:lastPrinted>2014-06-05T19:08:36Z</cp:lastPrinted>
  <dcterms:created xsi:type="dcterms:W3CDTF">2005-05-09T17:30:21Z</dcterms:created>
  <dcterms:modified xsi:type="dcterms:W3CDTF">2026-06-01T20:02:02Z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d746c0-3369-42be-bf83-6862f3f56ae7_Enabled">
    <vt:lpwstr>true</vt:lpwstr>
  </property>
  <property fmtid="{D5CDD505-2E9C-101B-9397-08002B2CF9AE}" pid="3" name="MSIP_Label_e9d746c0-3369-42be-bf83-6862f3f56ae7_SetDate">
    <vt:lpwstr>2023-02-28T16:47:09Z</vt:lpwstr>
  </property>
  <property fmtid="{D5CDD505-2E9C-101B-9397-08002B2CF9AE}" pid="4" name="MSIP_Label_e9d746c0-3369-42be-bf83-6862f3f56ae7_Method">
    <vt:lpwstr>Standard</vt:lpwstr>
  </property>
  <property fmtid="{D5CDD505-2E9C-101B-9397-08002B2CF9AE}" pid="5" name="MSIP_Label_e9d746c0-3369-42be-bf83-6862f3f56ae7_Name">
    <vt:lpwstr>Fluor General</vt:lpwstr>
  </property>
  <property fmtid="{D5CDD505-2E9C-101B-9397-08002B2CF9AE}" pid="6" name="MSIP_Label_e9d746c0-3369-42be-bf83-6862f3f56ae7_SiteId">
    <vt:lpwstr>75864cfe-f26d-419c-b69d-c638695b5533</vt:lpwstr>
  </property>
  <property fmtid="{D5CDD505-2E9C-101B-9397-08002B2CF9AE}" pid="7" name="MSIP_Label_e9d746c0-3369-42be-bf83-6862f3f56ae7_ActionId">
    <vt:lpwstr>f19c4eee-c650-4e29-bbe2-067064ffb776</vt:lpwstr>
  </property>
  <property fmtid="{D5CDD505-2E9C-101B-9397-08002B2CF9AE}" pid="8" name="MSIP_Label_e9d746c0-3369-42be-bf83-6862f3f56ae7_ContentBits">
    <vt:lpwstr>0</vt:lpwstr>
  </property>
</Properties>
</file>