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ml.chartshapes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ml.chartshape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ml.chartshapes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ml.chartshape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24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\\FDNET.COM\CA_Projects\CA_F3KY\215_STRUCTURAL\215E_ENGINEERING_DESIGN_DATA\215E_014_R_Proj_Calculations_Sketches\F3KY-215-CAL-006 Injection Pump Dyn Analysis and Fdn Design\Working\"/>
    </mc:Choice>
  </mc:AlternateContent>
  <xr:revisionPtr revIDLastSave="0" documentId="13_ncr:1_{31A651B7-AE2B-4230-94F1-B431AAD2024E}" xr6:coauthVersionLast="47" xr6:coauthVersionMax="47" xr10:uidLastSave="{00000000-0000-0000-0000-000000000000}"/>
  <bookViews>
    <workbookView xWindow="-120" yWindow="-120" windowWidth="29040" windowHeight="15720" activeTab="1" xr2:uid="{114DAE75-D41E-44B9-A88C-8E71D3DAE40E}"/>
  </bookViews>
  <sheets>
    <sheet name="limits" sheetId="570" r:id="rId1"/>
    <sheet name="P3_LB" sheetId="585" r:id="rId2"/>
    <sheet name="P4_LB" sheetId="632" r:id="rId3"/>
    <sheet name="P5_LB" sheetId="633" r:id="rId4"/>
    <sheet name="P6_LB" sheetId="634" r:id="rId5"/>
    <sheet name="P3_UB" sheetId="635" r:id="rId6"/>
    <sheet name="P4_UB" sheetId="636" r:id="rId7"/>
    <sheet name="P5_UB" sheetId="637" r:id="rId8"/>
    <sheet name="P6_UB" sheetId="63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570" l="1"/>
  <c r="H27" i="570"/>
  <c r="D128" i="638"/>
  <c r="D129" i="638" s="1"/>
  <c r="C128" i="638"/>
  <c r="C129" i="638" s="1"/>
  <c r="B128" i="638"/>
  <c r="B129" i="638" s="1"/>
  <c r="H126" i="638"/>
  <c r="G126" i="638"/>
  <c r="F126" i="638"/>
  <c r="H125" i="638"/>
  <c r="G125" i="638"/>
  <c r="F125" i="638"/>
  <c r="H124" i="638"/>
  <c r="G124" i="638"/>
  <c r="F124" i="638"/>
  <c r="H123" i="638"/>
  <c r="G123" i="638"/>
  <c r="F123" i="638"/>
  <c r="H122" i="638"/>
  <c r="G122" i="638"/>
  <c r="F122" i="638"/>
  <c r="H121" i="638"/>
  <c r="G121" i="638"/>
  <c r="F121" i="638"/>
  <c r="H120" i="638"/>
  <c r="G120" i="638"/>
  <c r="F120" i="638"/>
  <c r="H119" i="638"/>
  <c r="G119" i="638"/>
  <c r="F119" i="638"/>
  <c r="H118" i="638"/>
  <c r="G118" i="638"/>
  <c r="F118" i="638"/>
  <c r="H117" i="638"/>
  <c r="G117" i="638"/>
  <c r="F117" i="638"/>
  <c r="H116" i="638"/>
  <c r="G116" i="638"/>
  <c r="F116" i="638"/>
  <c r="H115" i="638"/>
  <c r="G115" i="638"/>
  <c r="F115" i="638"/>
  <c r="H114" i="638"/>
  <c r="G114" i="638"/>
  <c r="F114" i="638"/>
  <c r="H113" i="638"/>
  <c r="G113" i="638"/>
  <c r="F113" i="638"/>
  <c r="H112" i="638"/>
  <c r="G112" i="638"/>
  <c r="F112" i="638"/>
  <c r="H111" i="638"/>
  <c r="G111" i="638"/>
  <c r="F111" i="638"/>
  <c r="H110" i="638"/>
  <c r="G110" i="638"/>
  <c r="F110" i="638"/>
  <c r="H109" i="638"/>
  <c r="G109" i="638"/>
  <c r="F109" i="638"/>
  <c r="H108" i="638"/>
  <c r="G108" i="638"/>
  <c r="F108" i="638"/>
  <c r="H107" i="638"/>
  <c r="G107" i="638"/>
  <c r="F107" i="638"/>
  <c r="H106" i="638"/>
  <c r="G106" i="638"/>
  <c r="F106" i="638"/>
  <c r="H105" i="638"/>
  <c r="G105" i="638"/>
  <c r="F105" i="638"/>
  <c r="H104" i="638"/>
  <c r="G104" i="638"/>
  <c r="F104" i="638"/>
  <c r="H103" i="638"/>
  <c r="G103" i="638"/>
  <c r="F103" i="638"/>
  <c r="H102" i="638"/>
  <c r="G102" i="638"/>
  <c r="F102" i="638"/>
  <c r="H101" i="638"/>
  <c r="G101" i="638"/>
  <c r="F101" i="638"/>
  <c r="H100" i="638"/>
  <c r="G100" i="638"/>
  <c r="F100" i="638"/>
  <c r="H99" i="638"/>
  <c r="G99" i="638"/>
  <c r="F99" i="638"/>
  <c r="H98" i="638"/>
  <c r="G98" i="638"/>
  <c r="F98" i="638"/>
  <c r="H97" i="638"/>
  <c r="G97" i="638"/>
  <c r="F97" i="638"/>
  <c r="H96" i="638"/>
  <c r="G96" i="638"/>
  <c r="F96" i="638"/>
  <c r="H95" i="638"/>
  <c r="G95" i="638"/>
  <c r="F95" i="638"/>
  <c r="H94" i="638"/>
  <c r="G94" i="638"/>
  <c r="F94" i="638"/>
  <c r="H93" i="638"/>
  <c r="G93" i="638"/>
  <c r="F93" i="638"/>
  <c r="H92" i="638"/>
  <c r="G92" i="638"/>
  <c r="F92" i="638"/>
  <c r="H91" i="638"/>
  <c r="G91" i="638"/>
  <c r="F91" i="638"/>
  <c r="H90" i="638"/>
  <c r="G90" i="638"/>
  <c r="F90" i="638"/>
  <c r="H89" i="638"/>
  <c r="G89" i="638"/>
  <c r="F89" i="638"/>
  <c r="H88" i="638"/>
  <c r="G88" i="638"/>
  <c r="F88" i="638"/>
  <c r="H87" i="638"/>
  <c r="G87" i="638"/>
  <c r="F87" i="638"/>
  <c r="H86" i="638"/>
  <c r="G86" i="638"/>
  <c r="F86" i="638"/>
  <c r="H85" i="638"/>
  <c r="G85" i="638"/>
  <c r="F85" i="638"/>
  <c r="H84" i="638"/>
  <c r="G84" i="638"/>
  <c r="F84" i="638"/>
  <c r="H83" i="638"/>
  <c r="G83" i="638"/>
  <c r="F83" i="638"/>
  <c r="H82" i="638"/>
  <c r="G82" i="638"/>
  <c r="F82" i="638"/>
  <c r="H81" i="638"/>
  <c r="G81" i="638"/>
  <c r="F81" i="638"/>
  <c r="H80" i="638"/>
  <c r="G80" i="638"/>
  <c r="F80" i="638"/>
  <c r="H79" i="638"/>
  <c r="G79" i="638"/>
  <c r="F79" i="638"/>
  <c r="H78" i="638"/>
  <c r="G78" i="638"/>
  <c r="F78" i="638"/>
  <c r="H77" i="638"/>
  <c r="G77" i="638"/>
  <c r="F77" i="638"/>
  <c r="H76" i="638"/>
  <c r="G76" i="638"/>
  <c r="F76" i="638"/>
  <c r="H75" i="638"/>
  <c r="G75" i="638"/>
  <c r="F75" i="638"/>
  <c r="H74" i="638"/>
  <c r="G74" i="638"/>
  <c r="F74" i="638"/>
  <c r="H73" i="638"/>
  <c r="G73" i="638"/>
  <c r="F73" i="638"/>
  <c r="H72" i="638"/>
  <c r="G72" i="638"/>
  <c r="F72" i="638"/>
  <c r="H71" i="638"/>
  <c r="G71" i="638"/>
  <c r="F71" i="638"/>
  <c r="H70" i="638"/>
  <c r="G70" i="638"/>
  <c r="F70" i="638"/>
  <c r="H69" i="638"/>
  <c r="G69" i="638"/>
  <c r="F69" i="638"/>
  <c r="H68" i="638"/>
  <c r="G68" i="638"/>
  <c r="F68" i="638"/>
  <c r="H67" i="638"/>
  <c r="G67" i="638"/>
  <c r="F67" i="638"/>
  <c r="H66" i="638"/>
  <c r="G66" i="638"/>
  <c r="F66" i="638"/>
  <c r="H65" i="638"/>
  <c r="G65" i="638"/>
  <c r="F65" i="638"/>
  <c r="H64" i="638"/>
  <c r="G64" i="638"/>
  <c r="F64" i="638"/>
  <c r="H63" i="638"/>
  <c r="G63" i="638"/>
  <c r="F63" i="638"/>
  <c r="H62" i="638"/>
  <c r="G62" i="638"/>
  <c r="F62" i="638"/>
  <c r="H61" i="638"/>
  <c r="G61" i="638"/>
  <c r="F61" i="638"/>
  <c r="H60" i="638"/>
  <c r="G60" i="638"/>
  <c r="F60" i="638"/>
  <c r="H59" i="638"/>
  <c r="G59" i="638"/>
  <c r="F59" i="638"/>
  <c r="H58" i="638"/>
  <c r="G58" i="638"/>
  <c r="F58" i="638"/>
  <c r="H57" i="638"/>
  <c r="G57" i="638"/>
  <c r="F57" i="638"/>
  <c r="H56" i="638"/>
  <c r="G56" i="638"/>
  <c r="F56" i="638"/>
  <c r="H55" i="638"/>
  <c r="G55" i="638"/>
  <c r="F55" i="638"/>
  <c r="H54" i="638"/>
  <c r="G54" i="638"/>
  <c r="F54" i="638"/>
  <c r="H53" i="638"/>
  <c r="G53" i="638"/>
  <c r="F53" i="638"/>
  <c r="H52" i="638"/>
  <c r="G52" i="638"/>
  <c r="F52" i="638"/>
  <c r="H51" i="638"/>
  <c r="G51" i="638"/>
  <c r="F51" i="638"/>
  <c r="H50" i="638"/>
  <c r="G50" i="638"/>
  <c r="F50" i="638"/>
  <c r="H49" i="638"/>
  <c r="G49" i="638"/>
  <c r="F49" i="638"/>
  <c r="H48" i="638"/>
  <c r="G48" i="638"/>
  <c r="F48" i="638"/>
  <c r="H47" i="638"/>
  <c r="G47" i="638"/>
  <c r="F47" i="638"/>
  <c r="H46" i="638"/>
  <c r="G46" i="638"/>
  <c r="F46" i="638"/>
  <c r="H45" i="638"/>
  <c r="G45" i="638"/>
  <c r="F45" i="638"/>
  <c r="H44" i="638"/>
  <c r="G44" i="638"/>
  <c r="F44" i="638"/>
  <c r="H43" i="638"/>
  <c r="G43" i="638"/>
  <c r="F43" i="638"/>
  <c r="H42" i="638"/>
  <c r="G42" i="638"/>
  <c r="F42" i="638"/>
  <c r="H41" i="638"/>
  <c r="G41" i="638"/>
  <c r="F41" i="638"/>
  <c r="H40" i="638"/>
  <c r="G40" i="638"/>
  <c r="F40" i="638"/>
  <c r="H39" i="638"/>
  <c r="G39" i="638"/>
  <c r="F39" i="638"/>
  <c r="H38" i="638"/>
  <c r="G38" i="638"/>
  <c r="F38" i="638"/>
  <c r="H37" i="638"/>
  <c r="G37" i="638"/>
  <c r="F37" i="638"/>
  <c r="H36" i="638"/>
  <c r="G36" i="638"/>
  <c r="F36" i="638"/>
  <c r="H35" i="638"/>
  <c r="G35" i="638"/>
  <c r="F35" i="638"/>
  <c r="H34" i="638"/>
  <c r="G34" i="638"/>
  <c r="F34" i="638"/>
  <c r="H33" i="638"/>
  <c r="G33" i="638"/>
  <c r="F33" i="638"/>
  <c r="H32" i="638"/>
  <c r="G32" i="638"/>
  <c r="F32" i="638"/>
  <c r="H31" i="638"/>
  <c r="G31" i="638"/>
  <c r="F31" i="638"/>
  <c r="H30" i="638"/>
  <c r="G30" i="638"/>
  <c r="F30" i="638"/>
  <c r="H29" i="638"/>
  <c r="G29" i="638"/>
  <c r="F29" i="638"/>
  <c r="H28" i="638"/>
  <c r="G28" i="638"/>
  <c r="F28" i="638"/>
  <c r="H27" i="638"/>
  <c r="G27" i="638"/>
  <c r="F27" i="638"/>
  <c r="H26" i="638"/>
  <c r="G26" i="638"/>
  <c r="F26" i="638"/>
  <c r="H25" i="638"/>
  <c r="G25" i="638"/>
  <c r="F25" i="638"/>
  <c r="H24" i="638"/>
  <c r="G24" i="638"/>
  <c r="F24" i="638"/>
  <c r="H23" i="638"/>
  <c r="G23" i="638"/>
  <c r="F23" i="638"/>
  <c r="H22" i="638"/>
  <c r="G22" i="638"/>
  <c r="F22" i="638"/>
  <c r="H21" i="638"/>
  <c r="G21" i="638"/>
  <c r="F21" i="638"/>
  <c r="H20" i="638"/>
  <c r="H128" i="638" s="1"/>
  <c r="H129" i="638" s="1"/>
  <c r="G20" i="638"/>
  <c r="F20" i="638"/>
  <c r="H19" i="638"/>
  <c r="G19" i="638"/>
  <c r="F19" i="638"/>
  <c r="H18" i="638"/>
  <c r="G18" i="638"/>
  <c r="F18" i="638"/>
  <c r="H17" i="638"/>
  <c r="G17" i="638"/>
  <c r="F17" i="638"/>
  <c r="H16" i="638"/>
  <c r="G16" i="638"/>
  <c r="F16" i="638"/>
  <c r="H15" i="638"/>
  <c r="G15" i="638"/>
  <c r="F15" i="638"/>
  <c r="H14" i="638"/>
  <c r="G14" i="638"/>
  <c r="F14" i="638"/>
  <c r="H13" i="638"/>
  <c r="G13" i="638"/>
  <c r="F13" i="638"/>
  <c r="H12" i="638"/>
  <c r="G12" i="638"/>
  <c r="F12" i="638"/>
  <c r="H11" i="638"/>
  <c r="G11" i="638"/>
  <c r="F11" i="638"/>
  <c r="H10" i="638"/>
  <c r="G10" i="638"/>
  <c r="F10" i="638"/>
  <c r="H9" i="638"/>
  <c r="G9" i="638"/>
  <c r="F9" i="638"/>
  <c r="H8" i="638"/>
  <c r="G8" i="638"/>
  <c r="F8" i="638"/>
  <c r="H7" i="638"/>
  <c r="G7" i="638"/>
  <c r="F7" i="638"/>
  <c r="H6" i="638"/>
  <c r="G6" i="638"/>
  <c r="F6" i="638"/>
  <c r="D128" i="637"/>
  <c r="D129" i="637" s="1"/>
  <c r="C128" i="637"/>
  <c r="C129" i="637" s="1"/>
  <c r="B128" i="637"/>
  <c r="B129" i="637" s="1"/>
  <c r="H126" i="637"/>
  <c r="G126" i="637"/>
  <c r="F126" i="637"/>
  <c r="H125" i="637"/>
  <c r="G125" i="637"/>
  <c r="F125" i="637"/>
  <c r="H124" i="637"/>
  <c r="G124" i="637"/>
  <c r="F124" i="637"/>
  <c r="H123" i="637"/>
  <c r="G123" i="637"/>
  <c r="F123" i="637"/>
  <c r="H122" i="637"/>
  <c r="G122" i="637"/>
  <c r="F122" i="637"/>
  <c r="H121" i="637"/>
  <c r="G121" i="637"/>
  <c r="F121" i="637"/>
  <c r="H120" i="637"/>
  <c r="G120" i="637"/>
  <c r="F120" i="637"/>
  <c r="H119" i="637"/>
  <c r="G119" i="637"/>
  <c r="F119" i="637"/>
  <c r="H118" i="637"/>
  <c r="G118" i="637"/>
  <c r="F118" i="637"/>
  <c r="H117" i="637"/>
  <c r="G117" i="637"/>
  <c r="F117" i="637"/>
  <c r="H116" i="637"/>
  <c r="G116" i="637"/>
  <c r="F116" i="637"/>
  <c r="H115" i="637"/>
  <c r="G115" i="637"/>
  <c r="F115" i="637"/>
  <c r="H114" i="637"/>
  <c r="G114" i="637"/>
  <c r="F114" i="637"/>
  <c r="H113" i="637"/>
  <c r="G113" i="637"/>
  <c r="F113" i="637"/>
  <c r="H112" i="637"/>
  <c r="G112" i="637"/>
  <c r="F112" i="637"/>
  <c r="H111" i="637"/>
  <c r="G111" i="637"/>
  <c r="F111" i="637"/>
  <c r="H110" i="637"/>
  <c r="G110" i="637"/>
  <c r="F110" i="637"/>
  <c r="H109" i="637"/>
  <c r="G109" i="637"/>
  <c r="F109" i="637"/>
  <c r="H108" i="637"/>
  <c r="G108" i="637"/>
  <c r="F108" i="637"/>
  <c r="H107" i="637"/>
  <c r="G107" i="637"/>
  <c r="F107" i="637"/>
  <c r="H106" i="637"/>
  <c r="G106" i="637"/>
  <c r="F106" i="637"/>
  <c r="H105" i="637"/>
  <c r="G105" i="637"/>
  <c r="F105" i="637"/>
  <c r="H104" i="637"/>
  <c r="G104" i="637"/>
  <c r="F104" i="637"/>
  <c r="H103" i="637"/>
  <c r="G103" i="637"/>
  <c r="F103" i="637"/>
  <c r="H102" i="637"/>
  <c r="G102" i="637"/>
  <c r="F102" i="637"/>
  <c r="H101" i="637"/>
  <c r="G101" i="637"/>
  <c r="F101" i="637"/>
  <c r="H100" i="637"/>
  <c r="G100" i="637"/>
  <c r="F100" i="637"/>
  <c r="H99" i="637"/>
  <c r="G99" i="637"/>
  <c r="F99" i="637"/>
  <c r="H98" i="637"/>
  <c r="G98" i="637"/>
  <c r="F98" i="637"/>
  <c r="H97" i="637"/>
  <c r="G97" i="637"/>
  <c r="F97" i="637"/>
  <c r="H96" i="637"/>
  <c r="G96" i="637"/>
  <c r="F96" i="637"/>
  <c r="H95" i="637"/>
  <c r="G95" i="637"/>
  <c r="F95" i="637"/>
  <c r="H94" i="637"/>
  <c r="G94" i="637"/>
  <c r="F94" i="637"/>
  <c r="H93" i="637"/>
  <c r="G93" i="637"/>
  <c r="F93" i="637"/>
  <c r="H92" i="637"/>
  <c r="G92" i="637"/>
  <c r="F92" i="637"/>
  <c r="H91" i="637"/>
  <c r="G91" i="637"/>
  <c r="F91" i="637"/>
  <c r="H90" i="637"/>
  <c r="G90" i="637"/>
  <c r="F90" i="637"/>
  <c r="H89" i="637"/>
  <c r="G89" i="637"/>
  <c r="F89" i="637"/>
  <c r="H88" i="637"/>
  <c r="G88" i="637"/>
  <c r="F88" i="637"/>
  <c r="H87" i="637"/>
  <c r="G87" i="637"/>
  <c r="F87" i="637"/>
  <c r="H86" i="637"/>
  <c r="G86" i="637"/>
  <c r="F86" i="637"/>
  <c r="H85" i="637"/>
  <c r="G85" i="637"/>
  <c r="F85" i="637"/>
  <c r="H84" i="637"/>
  <c r="G84" i="637"/>
  <c r="F84" i="637"/>
  <c r="H83" i="637"/>
  <c r="G83" i="637"/>
  <c r="F83" i="637"/>
  <c r="H82" i="637"/>
  <c r="G82" i="637"/>
  <c r="F82" i="637"/>
  <c r="H81" i="637"/>
  <c r="G81" i="637"/>
  <c r="F81" i="637"/>
  <c r="H80" i="637"/>
  <c r="G80" i="637"/>
  <c r="F80" i="637"/>
  <c r="H79" i="637"/>
  <c r="G79" i="637"/>
  <c r="F79" i="637"/>
  <c r="H78" i="637"/>
  <c r="G78" i="637"/>
  <c r="F78" i="637"/>
  <c r="H77" i="637"/>
  <c r="G77" i="637"/>
  <c r="F77" i="637"/>
  <c r="H76" i="637"/>
  <c r="G76" i="637"/>
  <c r="F76" i="637"/>
  <c r="H75" i="637"/>
  <c r="G75" i="637"/>
  <c r="F75" i="637"/>
  <c r="H74" i="637"/>
  <c r="G74" i="637"/>
  <c r="F74" i="637"/>
  <c r="H73" i="637"/>
  <c r="G73" i="637"/>
  <c r="F73" i="637"/>
  <c r="H72" i="637"/>
  <c r="G72" i="637"/>
  <c r="F72" i="637"/>
  <c r="H71" i="637"/>
  <c r="G71" i="637"/>
  <c r="F71" i="637"/>
  <c r="H70" i="637"/>
  <c r="G70" i="637"/>
  <c r="F70" i="637"/>
  <c r="H69" i="637"/>
  <c r="G69" i="637"/>
  <c r="F69" i="637"/>
  <c r="H68" i="637"/>
  <c r="G68" i="637"/>
  <c r="F68" i="637"/>
  <c r="H67" i="637"/>
  <c r="G67" i="637"/>
  <c r="F67" i="637"/>
  <c r="H66" i="637"/>
  <c r="G66" i="637"/>
  <c r="F66" i="637"/>
  <c r="H65" i="637"/>
  <c r="G65" i="637"/>
  <c r="F65" i="637"/>
  <c r="H64" i="637"/>
  <c r="G64" i="637"/>
  <c r="F64" i="637"/>
  <c r="H63" i="637"/>
  <c r="G63" i="637"/>
  <c r="F63" i="637"/>
  <c r="H62" i="637"/>
  <c r="G62" i="637"/>
  <c r="F62" i="637"/>
  <c r="H61" i="637"/>
  <c r="G61" i="637"/>
  <c r="F61" i="637"/>
  <c r="H60" i="637"/>
  <c r="G60" i="637"/>
  <c r="F60" i="637"/>
  <c r="H59" i="637"/>
  <c r="G59" i="637"/>
  <c r="F59" i="637"/>
  <c r="H58" i="637"/>
  <c r="G58" i="637"/>
  <c r="F58" i="637"/>
  <c r="H57" i="637"/>
  <c r="G57" i="637"/>
  <c r="F57" i="637"/>
  <c r="H56" i="637"/>
  <c r="G56" i="637"/>
  <c r="F56" i="637"/>
  <c r="H55" i="637"/>
  <c r="G55" i="637"/>
  <c r="F55" i="637"/>
  <c r="H54" i="637"/>
  <c r="G54" i="637"/>
  <c r="F54" i="637"/>
  <c r="H53" i="637"/>
  <c r="G53" i="637"/>
  <c r="F53" i="637"/>
  <c r="H52" i="637"/>
  <c r="G52" i="637"/>
  <c r="F52" i="637"/>
  <c r="H51" i="637"/>
  <c r="G51" i="637"/>
  <c r="F51" i="637"/>
  <c r="H50" i="637"/>
  <c r="G50" i="637"/>
  <c r="F50" i="637"/>
  <c r="H49" i="637"/>
  <c r="G49" i="637"/>
  <c r="F49" i="637"/>
  <c r="H48" i="637"/>
  <c r="G48" i="637"/>
  <c r="F48" i="637"/>
  <c r="H47" i="637"/>
  <c r="G47" i="637"/>
  <c r="F47" i="637"/>
  <c r="H46" i="637"/>
  <c r="G46" i="637"/>
  <c r="F46" i="637"/>
  <c r="H45" i="637"/>
  <c r="G45" i="637"/>
  <c r="F45" i="637"/>
  <c r="H44" i="637"/>
  <c r="G44" i="637"/>
  <c r="F44" i="637"/>
  <c r="H43" i="637"/>
  <c r="G43" i="637"/>
  <c r="F43" i="637"/>
  <c r="H42" i="637"/>
  <c r="G42" i="637"/>
  <c r="F42" i="637"/>
  <c r="H41" i="637"/>
  <c r="G41" i="637"/>
  <c r="F41" i="637"/>
  <c r="H40" i="637"/>
  <c r="G40" i="637"/>
  <c r="F40" i="637"/>
  <c r="H39" i="637"/>
  <c r="G39" i="637"/>
  <c r="F39" i="637"/>
  <c r="H38" i="637"/>
  <c r="G38" i="637"/>
  <c r="F38" i="637"/>
  <c r="H37" i="637"/>
  <c r="G37" i="637"/>
  <c r="F37" i="637"/>
  <c r="H36" i="637"/>
  <c r="G36" i="637"/>
  <c r="F36" i="637"/>
  <c r="H35" i="637"/>
  <c r="G35" i="637"/>
  <c r="F35" i="637"/>
  <c r="H34" i="637"/>
  <c r="G34" i="637"/>
  <c r="F34" i="637"/>
  <c r="H33" i="637"/>
  <c r="G33" i="637"/>
  <c r="F33" i="637"/>
  <c r="H32" i="637"/>
  <c r="G32" i="637"/>
  <c r="F32" i="637"/>
  <c r="H31" i="637"/>
  <c r="G31" i="637"/>
  <c r="F31" i="637"/>
  <c r="H30" i="637"/>
  <c r="G30" i="637"/>
  <c r="F30" i="637"/>
  <c r="H29" i="637"/>
  <c r="G29" i="637"/>
  <c r="F29" i="637"/>
  <c r="H28" i="637"/>
  <c r="G28" i="637"/>
  <c r="F28" i="637"/>
  <c r="H27" i="637"/>
  <c r="G27" i="637"/>
  <c r="F27" i="637"/>
  <c r="H26" i="637"/>
  <c r="G26" i="637"/>
  <c r="F26" i="637"/>
  <c r="H25" i="637"/>
  <c r="G25" i="637"/>
  <c r="F25" i="637"/>
  <c r="H24" i="637"/>
  <c r="G24" i="637"/>
  <c r="F24" i="637"/>
  <c r="H23" i="637"/>
  <c r="G23" i="637"/>
  <c r="F23" i="637"/>
  <c r="H22" i="637"/>
  <c r="G22" i="637"/>
  <c r="F22" i="637"/>
  <c r="H21" i="637"/>
  <c r="G21" i="637"/>
  <c r="F21" i="637"/>
  <c r="H20" i="637"/>
  <c r="G20" i="637"/>
  <c r="F20" i="637"/>
  <c r="H19" i="637"/>
  <c r="G19" i="637"/>
  <c r="F19" i="637"/>
  <c r="H18" i="637"/>
  <c r="G18" i="637"/>
  <c r="F18" i="637"/>
  <c r="H17" i="637"/>
  <c r="G17" i="637"/>
  <c r="F17" i="637"/>
  <c r="H16" i="637"/>
  <c r="G16" i="637"/>
  <c r="F16" i="637"/>
  <c r="H15" i="637"/>
  <c r="G15" i="637"/>
  <c r="F15" i="637"/>
  <c r="H14" i="637"/>
  <c r="G14" i="637"/>
  <c r="F14" i="637"/>
  <c r="H13" i="637"/>
  <c r="G13" i="637"/>
  <c r="F13" i="637"/>
  <c r="H12" i="637"/>
  <c r="G12" i="637"/>
  <c r="F12" i="637"/>
  <c r="H11" i="637"/>
  <c r="G11" i="637"/>
  <c r="F11" i="637"/>
  <c r="H10" i="637"/>
  <c r="G10" i="637"/>
  <c r="F10" i="637"/>
  <c r="H9" i="637"/>
  <c r="G9" i="637"/>
  <c r="F9" i="637"/>
  <c r="H8" i="637"/>
  <c r="G8" i="637"/>
  <c r="F8" i="637"/>
  <c r="H7" i="637"/>
  <c r="G7" i="637"/>
  <c r="F7" i="637"/>
  <c r="H6" i="637"/>
  <c r="G6" i="637"/>
  <c r="F6" i="637"/>
  <c r="D128" i="636"/>
  <c r="D129" i="636" s="1"/>
  <c r="C128" i="636"/>
  <c r="C129" i="636" s="1"/>
  <c r="B128" i="636"/>
  <c r="B129" i="636" s="1"/>
  <c r="H126" i="636"/>
  <c r="G126" i="636"/>
  <c r="F126" i="636"/>
  <c r="H125" i="636"/>
  <c r="G125" i="636"/>
  <c r="F125" i="636"/>
  <c r="H124" i="636"/>
  <c r="G124" i="636"/>
  <c r="F124" i="636"/>
  <c r="H123" i="636"/>
  <c r="G123" i="636"/>
  <c r="F123" i="636"/>
  <c r="H122" i="636"/>
  <c r="G122" i="636"/>
  <c r="F122" i="636"/>
  <c r="H121" i="636"/>
  <c r="G121" i="636"/>
  <c r="F121" i="636"/>
  <c r="H120" i="636"/>
  <c r="G120" i="636"/>
  <c r="F120" i="636"/>
  <c r="H119" i="636"/>
  <c r="G119" i="636"/>
  <c r="F119" i="636"/>
  <c r="H118" i="636"/>
  <c r="G118" i="636"/>
  <c r="F118" i="636"/>
  <c r="H117" i="636"/>
  <c r="G117" i="636"/>
  <c r="F117" i="636"/>
  <c r="H116" i="636"/>
  <c r="G116" i="636"/>
  <c r="F116" i="636"/>
  <c r="H115" i="636"/>
  <c r="G115" i="636"/>
  <c r="F115" i="636"/>
  <c r="H114" i="636"/>
  <c r="G114" i="636"/>
  <c r="F114" i="636"/>
  <c r="H113" i="636"/>
  <c r="G113" i="636"/>
  <c r="F113" i="636"/>
  <c r="H112" i="636"/>
  <c r="G112" i="636"/>
  <c r="F112" i="636"/>
  <c r="H111" i="636"/>
  <c r="G111" i="636"/>
  <c r="F111" i="636"/>
  <c r="H110" i="636"/>
  <c r="G110" i="636"/>
  <c r="F110" i="636"/>
  <c r="H109" i="636"/>
  <c r="G109" i="636"/>
  <c r="F109" i="636"/>
  <c r="H108" i="636"/>
  <c r="G108" i="636"/>
  <c r="F108" i="636"/>
  <c r="H107" i="636"/>
  <c r="G107" i="636"/>
  <c r="F107" i="636"/>
  <c r="H106" i="636"/>
  <c r="G106" i="636"/>
  <c r="F106" i="636"/>
  <c r="H105" i="636"/>
  <c r="G105" i="636"/>
  <c r="F105" i="636"/>
  <c r="H104" i="636"/>
  <c r="G104" i="636"/>
  <c r="F104" i="636"/>
  <c r="H103" i="636"/>
  <c r="G103" i="636"/>
  <c r="F103" i="636"/>
  <c r="H102" i="636"/>
  <c r="G102" i="636"/>
  <c r="F102" i="636"/>
  <c r="H101" i="636"/>
  <c r="G101" i="636"/>
  <c r="F101" i="636"/>
  <c r="H100" i="636"/>
  <c r="G100" i="636"/>
  <c r="F100" i="636"/>
  <c r="H99" i="636"/>
  <c r="G99" i="636"/>
  <c r="F99" i="636"/>
  <c r="H98" i="636"/>
  <c r="G98" i="636"/>
  <c r="F98" i="636"/>
  <c r="H97" i="636"/>
  <c r="G97" i="636"/>
  <c r="F97" i="636"/>
  <c r="H96" i="636"/>
  <c r="G96" i="636"/>
  <c r="F96" i="636"/>
  <c r="H95" i="636"/>
  <c r="G95" i="636"/>
  <c r="F95" i="636"/>
  <c r="H94" i="636"/>
  <c r="G94" i="636"/>
  <c r="F94" i="636"/>
  <c r="H93" i="636"/>
  <c r="G93" i="636"/>
  <c r="F93" i="636"/>
  <c r="H92" i="636"/>
  <c r="G92" i="636"/>
  <c r="F92" i="636"/>
  <c r="H91" i="636"/>
  <c r="G91" i="636"/>
  <c r="F91" i="636"/>
  <c r="H90" i="636"/>
  <c r="G90" i="636"/>
  <c r="F90" i="636"/>
  <c r="H89" i="636"/>
  <c r="G89" i="636"/>
  <c r="F89" i="636"/>
  <c r="H88" i="636"/>
  <c r="G88" i="636"/>
  <c r="F88" i="636"/>
  <c r="H87" i="636"/>
  <c r="G87" i="636"/>
  <c r="F87" i="636"/>
  <c r="H86" i="636"/>
  <c r="G86" i="636"/>
  <c r="F86" i="636"/>
  <c r="H85" i="636"/>
  <c r="G85" i="636"/>
  <c r="F85" i="636"/>
  <c r="H84" i="636"/>
  <c r="G84" i="636"/>
  <c r="F84" i="636"/>
  <c r="H83" i="636"/>
  <c r="G83" i="636"/>
  <c r="F83" i="636"/>
  <c r="H82" i="636"/>
  <c r="G82" i="636"/>
  <c r="F82" i="636"/>
  <c r="H81" i="636"/>
  <c r="G81" i="636"/>
  <c r="F81" i="636"/>
  <c r="H80" i="636"/>
  <c r="G80" i="636"/>
  <c r="F80" i="636"/>
  <c r="H79" i="636"/>
  <c r="G79" i="636"/>
  <c r="F79" i="636"/>
  <c r="H78" i="636"/>
  <c r="G78" i="636"/>
  <c r="F78" i="636"/>
  <c r="H77" i="636"/>
  <c r="G77" i="636"/>
  <c r="F77" i="636"/>
  <c r="H76" i="636"/>
  <c r="G76" i="636"/>
  <c r="F76" i="636"/>
  <c r="H75" i="636"/>
  <c r="G75" i="636"/>
  <c r="F75" i="636"/>
  <c r="H74" i="636"/>
  <c r="G74" i="636"/>
  <c r="F74" i="636"/>
  <c r="H73" i="636"/>
  <c r="G73" i="636"/>
  <c r="F73" i="636"/>
  <c r="H72" i="636"/>
  <c r="G72" i="636"/>
  <c r="F72" i="636"/>
  <c r="H71" i="636"/>
  <c r="G71" i="636"/>
  <c r="F71" i="636"/>
  <c r="H70" i="636"/>
  <c r="G70" i="636"/>
  <c r="F70" i="636"/>
  <c r="H69" i="636"/>
  <c r="G69" i="636"/>
  <c r="F69" i="636"/>
  <c r="H68" i="636"/>
  <c r="G68" i="636"/>
  <c r="F68" i="636"/>
  <c r="H67" i="636"/>
  <c r="G67" i="636"/>
  <c r="F67" i="636"/>
  <c r="H66" i="636"/>
  <c r="G66" i="636"/>
  <c r="F66" i="636"/>
  <c r="H65" i="636"/>
  <c r="G65" i="636"/>
  <c r="F65" i="636"/>
  <c r="H64" i="636"/>
  <c r="G64" i="636"/>
  <c r="F64" i="636"/>
  <c r="H63" i="636"/>
  <c r="G63" i="636"/>
  <c r="F63" i="636"/>
  <c r="H62" i="636"/>
  <c r="G62" i="636"/>
  <c r="F62" i="636"/>
  <c r="H61" i="636"/>
  <c r="G61" i="636"/>
  <c r="F61" i="636"/>
  <c r="H60" i="636"/>
  <c r="G60" i="636"/>
  <c r="F60" i="636"/>
  <c r="H59" i="636"/>
  <c r="G59" i="636"/>
  <c r="F59" i="636"/>
  <c r="H58" i="636"/>
  <c r="G58" i="636"/>
  <c r="F58" i="636"/>
  <c r="H57" i="636"/>
  <c r="G57" i="636"/>
  <c r="F57" i="636"/>
  <c r="H56" i="636"/>
  <c r="G56" i="636"/>
  <c r="F56" i="636"/>
  <c r="H55" i="636"/>
  <c r="G55" i="636"/>
  <c r="F55" i="636"/>
  <c r="H54" i="636"/>
  <c r="G54" i="636"/>
  <c r="F54" i="636"/>
  <c r="H53" i="636"/>
  <c r="G53" i="636"/>
  <c r="F53" i="636"/>
  <c r="H52" i="636"/>
  <c r="G52" i="636"/>
  <c r="F52" i="636"/>
  <c r="H51" i="636"/>
  <c r="G51" i="636"/>
  <c r="F51" i="636"/>
  <c r="H50" i="636"/>
  <c r="G50" i="636"/>
  <c r="F50" i="636"/>
  <c r="H49" i="636"/>
  <c r="G49" i="636"/>
  <c r="F49" i="636"/>
  <c r="H48" i="636"/>
  <c r="G48" i="636"/>
  <c r="F48" i="636"/>
  <c r="H47" i="636"/>
  <c r="G47" i="636"/>
  <c r="F47" i="636"/>
  <c r="H46" i="636"/>
  <c r="G46" i="636"/>
  <c r="F46" i="636"/>
  <c r="H45" i="636"/>
  <c r="G45" i="636"/>
  <c r="F45" i="636"/>
  <c r="H44" i="636"/>
  <c r="G44" i="636"/>
  <c r="F44" i="636"/>
  <c r="H43" i="636"/>
  <c r="G43" i="636"/>
  <c r="F43" i="636"/>
  <c r="H42" i="636"/>
  <c r="G42" i="636"/>
  <c r="F42" i="636"/>
  <c r="H41" i="636"/>
  <c r="G41" i="636"/>
  <c r="F41" i="636"/>
  <c r="H40" i="636"/>
  <c r="G40" i="636"/>
  <c r="F40" i="636"/>
  <c r="H39" i="636"/>
  <c r="G39" i="636"/>
  <c r="F39" i="636"/>
  <c r="H38" i="636"/>
  <c r="G38" i="636"/>
  <c r="F38" i="636"/>
  <c r="H37" i="636"/>
  <c r="G37" i="636"/>
  <c r="F37" i="636"/>
  <c r="H36" i="636"/>
  <c r="G36" i="636"/>
  <c r="F36" i="636"/>
  <c r="H35" i="636"/>
  <c r="G35" i="636"/>
  <c r="F35" i="636"/>
  <c r="H34" i="636"/>
  <c r="G34" i="636"/>
  <c r="F34" i="636"/>
  <c r="H33" i="636"/>
  <c r="G33" i="636"/>
  <c r="F33" i="636"/>
  <c r="H32" i="636"/>
  <c r="G32" i="636"/>
  <c r="F32" i="636"/>
  <c r="H31" i="636"/>
  <c r="G31" i="636"/>
  <c r="F31" i="636"/>
  <c r="H30" i="636"/>
  <c r="G30" i="636"/>
  <c r="F30" i="636"/>
  <c r="H29" i="636"/>
  <c r="G29" i="636"/>
  <c r="F29" i="636"/>
  <c r="H28" i="636"/>
  <c r="G28" i="636"/>
  <c r="F28" i="636"/>
  <c r="H27" i="636"/>
  <c r="G27" i="636"/>
  <c r="F27" i="636"/>
  <c r="H26" i="636"/>
  <c r="G26" i="636"/>
  <c r="F26" i="636"/>
  <c r="H25" i="636"/>
  <c r="G25" i="636"/>
  <c r="F25" i="636"/>
  <c r="H24" i="636"/>
  <c r="G24" i="636"/>
  <c r="F24" i="636"/>
  <c r="H23" i="636"/>
  <c r="G23" i="636"/>
  <c r="F23" i="636"/>
  <c r="H22" i="636"/>
  <c r="G22" i="636"/>
  <c r="F22" i="636"/>
  <c r="H21" i="636"/>
  <c r="G21" i="636"/>
  <c r="F21" i="636"/>
  <c r="H20" i="636"/>
  <c r="G20" i="636"/>
  <c r="F20" i="636"/>
  <c r="H19" i="636"/>
  <c r="G19" i="636"/>
  <c r="F19" i="636"/>
  <c r="H18" i="636"/>
  <c r="G18" i="636"/>
  <c r="F18" i="636"/>
  <c r="H17" i="636"/>
  <c r="G17" i="636"/>
  <c r="F17" i="636"/>
  <c r="H16" i="636"/>
  <c r="G16" i="636"/>
  <c r="F16" i="636"/>
  <c r="H15" i="636"/>
  <c r="G15" i="636"/>
  <c r="F15" i="636"/>
  <c r="H14" i="636"/>
  <c r="G14" i="636"/>
  <c r="F14" i="636"/>
  <c r="H13" i="636"/>
  <c r="G13" i="636"/>
  <c r="F13" i="636"/>
  <c r="H12" i="636"/>
  <c r="G12" i="636"/>
  <c r="F12" i="636"/>
  <c r="H11" i="636"/>
  <c r="G11" i="636"/>
  <c r="F11" i="636"/>
  <c r="H10" i="636"/>
  <c r="G10" i="636"/>
  <c r="F10" i="636"/>
  <c r="H9" i="636"/>
  <c r="G9" i="636"/>
  <c r="F9" i="636"/>
  <c r="H8" i="636"/>
  <c r="G8" i="636"/>
  <c r="F8" i="636"/>
  <c r="H7" i="636"/>
  <c r="G7" i="636"/>
  <c r="F7" i="636"/>
  <c r="H6" i="636"/>
  <c r="G6" i="636"/>
  <c r="F6" i="636"/>
  <c r="D128" i="635"/>
  <c r="D129" i="635" s="1"/>
  <c r="C128" i="635"/>
  <c r="C129" i="635" s="1"/>
  <c r="B128" i="635"/>
  <c r="B129" i="635" s="1"/>
  <c r="H126" i="635"/>
  <c r="G126" i="635"/>
  <c r="F126" i="635"/>
  <c r="H125" i="635"/>
  <c r="G125" i="635"/>
  <c r="F125" i="635"/>
  <c r="H124" i="635"/>
  <c r="G124" i="635"/>
  <c r="F124" i="635"/>
  <c r="H123" i="635"/>
  <c r="G123" i="635"/>
  <c r="F123" i="635"/>
  <c r="H122" i="635"/>
  <c r="G122" i="635"/>
  <c r="F122" i="635"/>
  <c r="H121" i="635"/>
  <c r="G121" i="635"/>
  <c r="F121" i="635"/>
  <c r="H120" i="635"/>
  <c r="G120" i="635"/>
  <c r="F120" i="635"/>
  <c r="H119" i="635"/>
  <c r="G119" i="635"/>
  <c r="F119" i="635"/>
  <c r="H118" i="635"/>
  <c r="G118" i="635"/>
  <c r="F118" i="635"/>
  <c r="H117" i="635"/>
  <c r="G117" i="635"/>
  <c r="F117" i="635"/>
  <c r="H116" i="635"/>
  <c r="G116" i="635"/>
  <c r="F116" i="635"/>
  <c r="H115" i="635"/>
  <c r="G115" i="635"/>
  <c r="F115" i="635"/>
  <c r="H114" i="635"/>
  <c r="G114" i="635"/>
  <c r="F114" i="635"/>
  <c r="H113" i="635"/>
  <c r="G113" i="635"/>
  <c r="F113" i="635"/>
  <c r="H112" i="635"/>
  <c r="G112" i="635"/>
  <c r="F112" i="635"/>
  <c r="H111" i="635"/>
  <c r="G111" i="635"/>
  <c r="F111" i="635"/>
  <c r="H110" i="635"/>
  <c r="G110" i="635"/>
  <c r="F110" i="635"/>
  <c r="H109" i="635"/>
  <c r="G109" i="635"/>
  <c r="F109" i="635"/>
  <c r="H108" i="635"/>
  <c r="G108" i="635"/>
  <c r="F108" i="635"/>
  <c r="H107" i="635"/>
  <c r="G107" i="635"/>
  <c r="F107" i="635"/>
  <c r="H106" i="635"/>
  <c r="G106" i="635"/>
  <c r="F106" i="635"/>
  <c r="H105" i="635"/>
  <c r="G105" i="635"/>
  <c r="F105" i="635"/>
  <c r="H104" i="635"/>
  <c r="G104" i="635"/>
  <c r="F104" i="635"/>
  <c r="H103" i="635"/>
  <c r="G103" i="635"/>
  <c r="F103" i="635"/>
  <c r="H102" i="635"/>
  <c r="G102" i="635"/>
  <c r="F102" i="635"/>
  <c r="H101" i="635"/>
  <c r="G101" i="635"/>
  <c r="F101" i="635"/>
  <c r="H100" i="635"/>
  <c r="G100" i="635"/>
  <c r="F100" i="635"/>
  <c r="H99" i="635"/>
  <c r="G99" i="635"/>
  <c r="F99" i="635"/>
  <c r="H98" i="635"/>
  <c r="G98" i="635"/>
  <c r="F98" i="635"/>
  <c r="H97" i="635"/>
  <c r="G97" i="635"/>
  <c r="F97" i="635"/>
  <c r="H96" i="635"/>
  <c r="G96" i="635"/>
  <c r="F96" i="635"/>
  <c r="H95" i="635"/>
  <c r="G95" i="635"/>
  <c r="F95" i="635"/>
  <c r="H94" i="635"/>
  <c r="G94" i="635"/>
  <c r="F94" i="635"/>
  <c r="H93" i="635"/>
  <c r="G93" i="635"/>
  <c r="F93" i="635"/>
  <c r="H92" i="635"/>
  <c r="G92" i="635"/>
  <c r="F92" i="635"/>
  <c r="H91" i="635"/>
  <c r="G91" i="635"/>
  <c r="F91" i="635"/>
  <c r="H90" i="635"/>
  <c r="G90" i="635"/>
  <c r="F90" i="635"/>
  <c r="H89" i="635"/>
  <c r="G89" i="635"/>
  <c r="F89" i="635"/>
  <c r="H88" i="635"/>
  <c r="G88" i="635"/>
  <c r="F88" i="635"/>
  <c r="H87" i="635"/>
  <c r="G87" i="635"/>
  <c r="F87" i="635"/>
  <c r="H86" i="635"/>
  <c r="G86" i="635"/>
  <c r="F86" i="635"/>
  <c r="H85" i="635"/>
  <c r="G85" i="635"/>
  <c r="F85" i="635"/>
  <c r="H84" i="635"/>
  <c r="G84" i="635"/>
  <c r="F84" i="635"/>
  <c r="H83" i="635"/>
  <c r="G83" i="635"/>
  <c r="F83" i="635"/>
  <c r="H82" i="635"/>
  <c r="G82" i="635"/>
  <c r="F82" i="635"/>
  <c r="H81" i="635"/>
  <c r="G81" i="635"/>
  <c r="F81" i="635"/>
  <c r="H80" i="635"/>
  <c r="G80" i="635"/>
  <c r="F80" i="635"/>
  <c r="H79" i="635"/>
  <c r="G79" i="635"/>
  <c r="F79" i="635"/>
  <c r="H78" i="635"/>
  <c r="G78" i="635"/>
  <c r="F78" i="635"/>
  <c r="H77" i="635"/>
  <c r="G77" i="635"/>
  <c r="F77" i="635"/>
  <c r="H76" i="635"/>
  <c r="G76" i="635"/>
  <c r="F76" i="635"/>
  <c r="H75" i="635"/>
  <c r="G75" i="635"/>
  <c r="F75" i="635"/>
  <c r="H74" i="635"/>
  <c r="G74" i="635"/>
  <c r="F74" i="635"/>
  <c r="H73" i="635"/>
  <c r="G73" i="635"/>
  <c r="F73" i="635"/>
  <c r="H72" i="635"/>
  <c r="G72" i="635"/>
  <c r="F72" i="635"/>
  <c r="H71" i="635"/>
  <c r="G71" i="635"/>
  <c r="F71" i="635"/>
  <c r="H70" i="635"/>
  <c r="G70" i="635"/>
  <c r="F70" i="635"/>
  <c r="H69" i="635"/>
  <c r="G69" i="635"/>
  <c r="F69" i="635"/>
  <c r="H68" i="635"/>
  <c r="G68" i="635"/>
  <c r="F68" i="635"/>
  <c r="H67" i="635"/>
  <c r="G67" i="635"/>
  <c r="F67" i="635"/>
  <c r="H66" i="635"/>
  <c r="G66" i="635"/>
  <c r="F66" i="635"/>
  <c r="H65" i="635"/>
  <c r="G65" i="635"/>
  <c r="F65" i="635"/>
  <c r="H64" i="635"/>
  <c r="G64" i="635"/>
  <c r="F64" i="635"/>
  <c r="H63" i="635"/>
  <c r="G63" i="635"/>
  <c r="F63" i="635"/>
  <c r="H62" i="635"/>
  <c r="G62" i="635"/>
  <c r="F62" i="635"/>
  <c r="H61" i="635"/>
  <c r="G61" i="635"/>
  <c r="F61" i="635"/>
  <c r="H60" i="635"/>
  <c r="G60" i="635"/>
  <c r="F60" i="635"/>
  <c r="H59" i="635"/>
  <c r="G59" i="635"/>
  <c r="F59" i="635"/>
  <c r="H58" i="635"/>
  <c r="G58" i="635"/>
  <c r="F58" i="635"/>
  <c r="H57" i="635"/>
  <c r="G57" i="635"/>
  <c r="F57" i="635"/>
  <c r="H56" i="635"/>
  <c r="G56" i="635"/>
  <c r="F56" i="635"/>
  <c r="H55" i="635"/>
  <c r="G55" i="635"/>
  <c r="F55" i="635"/>
  <c r="H54" i="635"/>
  <c r="G54" i="635"/>
  <c r="F54" i="635"/>
  <c r="H53" i="635"/>
  <c r="G53" i="635"/>
  <c r="F53" i="635"/>
  <c r="H52" i="635"/>
  <c r="G52" i="635"/>
  <c r="F52" i="635"/>
  <c r="H51" i="635"/>
  <c r="G51" i="635"/>
  <c r="F51" i="635"/>
  <c r="H50" i="635"/>
  <c r="G50" i="635"/>
  <c r="F50" i="635"/>
  <c r="H49" i="635"/>
  <c r="G49" i="635"/>
  <c r="F49" i="635"/>
  <c r="H48" i="635"/>
  <c r="G48" i="635"/>
  <c r="F48" i="635"/>
  <c r="H47" i="635"/>
  <c r="G47" i="635"/>
  <c r="F47" i="635"/>
  <c r="H46" i="635"/>
  <c r="G46" i="635"/>
  <c r="F46" i="635"/>
  <c r="H45" i="635"/>
  <c r="G45" i="635"/>
  <c r="F45" i="635"/>
  <c r="H44" i="635"/>
  <c r="G44" i="635"/>
  <c r="F44" i="635"/>
  <c r="H43" i="635"/>
  <c r="G43" i="635"/>
  <c r="F43" i="635"/>
  <c r="H42" i="635"/>
  <c r="G42" i="635"/>
  <c r="F42" i="635"/>
  <c r="H41" i="635"/>
  <c r="G41" i="635"/>
  <c r="F41" i="635"/>
  <c r="H40" i="635"/>
  <c r="G40" i="635"/>
  <c r="F40" i="635"/>
  <c r="H39" i="635"/>
  <c r="G39" i="635"/>
  <c r="F39" i="635"/>
  <c r="H38" i="635"/>
  <c r="G38" i="635"/>
  <c r="F38" i="635"/>
  <c r="H37" i="635"/>
  <c r="G37" i="635"/>
  <c r="F37" i="635"/>
  <c r="H36" i="635"/>
  <c r="G36" i="635"/>
  <c r="F36" i="635"/>
  <c r="H35" i="635"/>
  <c r="G35" i="635"/>
  <c r="F35" i="635"/>
  <c r="H34" i="635"/>
  <c r="G34" i="635"/>
  <c r="F34" i="635"/>
  <c r="H33" i="635"/>
  <c r="G33" i="635"/>
  <c r="F33" i="635"/>
  <c r="H32" i="635"/>
  <c r="G32" i="635"/>
  <c r="F32" i="635"/>
  <c r="H31" i="635"/>
  <c r="G31" i="635"/>
  <c r="F31" i="635"/>
  <c r="H30" i="635"/>
  <c r="G30" i="635"/>
  <c r="F30" i="635"/>
  <c r="H29" i="635"/>
  <c r="G29" i="635"/>
  <c r="F29" i="635"/>
  <c r="H28" i="635"/>
  <c r="G28" i="635"/>
  <c r="F28" i="635"/>
  <c r="H27" i="635"/>
  <c r="G27" i="635"/>
  <c r="F27" i="635"/>
  <c r="H26" i="635"/>
  <c r="G26" i="635"/>
  <c r="F26" i="635"/>
  <c r="H25" i="635"/>
  <c r="G25" i="635"/>
  <c r="F25" i="635"/>
  <c r="H24" i="635"/>
  <c r="G24" i="635"/>
  <c r="F24" i="635"/>
  <c r="H23" i="635"/>
  <c r="G23" i="635"/>
  <c r="F23" i="635"/>
  <c r="H22" i="635"/>
  <c r="G22" i="635"/>
  <c r="F22" i="635"/>
  <c r="H21" i="635"/>
  <c r="G21" i="635"/>
  <c r="F21" i="635"/>
  <c r="H20" i="635"/>
  <c r="G20" i="635"/>
  <c r="F20" i="635"/>
  <c r="H19" i="635"/>
  <c r="G19" i="635"/>
  <c r="F19" i="635"/>
  <c r="H18" i="635"/>
  <c r="G18" i="635"/>
  <c r="F18" i="635"/>
  <c r="H17" i="635"/>
  <c r="G17" i="635"/>
  <c r="F17" i="635"/>
  <c r="H16" i="635"/>
  <c r="G16" i="635"/>
  <c r="F16" i="635"/>
  <c r="H15" i="635"/>
  <c r="G15" i="635"/>
  <c r="F15" i="635"/>
  <c r="H14" i="635"/>
  <c r="G14" i="635"/>
  <c r="F14" i="635"/>
  <c r="H13" i="635"/>
  <c r="G13" i="635"/>
  <c r="F13" i="635"/>
  <c r="H12" i="635"/>
  <c r="G12" i="635"/>
  <c r="F12" i="635"/>
  <c r="H11" i="635"/>
  <c r="G11" i="635"/>
  <c r="F11" i="635"/>
  <c r="H10" i="635"/>
  <c r="G10" i="635"/>
  <c r="F10" i="635"/>
  <c r="H9" i="635"/>
  <c r="G9" i="635"/>
  <c r="F9" i="635"/>
  <c r="H8" i="635"/>
  <c r="G8" i="635"/>
  <c r="F8" i="635"/>
  <c r="H7" i="635"/>
  <c r="G7" i="635"/>
  <c r="F7" i="635"/>
  <c r="H6" i="635"/>
  <c r="G6" i="635"/>
  <c r="F6" i="635"/>
  <c r="D128" i="634"/>
  <c r="D129" i="634" s="1"/>
  <c r="C128" i="634"/>
  <c r="C129" i="634" s="1"/>
  <c r="B128" i="634"/>
  <c r="B129" i="634" s="1"/>
  <c r="H126" i="634"/>
  <c r="G126" i="634"/>
  <c r="F126" i="634"/>
  <c r="H125" i="634"/>
  <c r="G125" i="634"/>
  <c r="F125" i="634"/>
  <c r="H124" i="634"/>
  <c r="G124" i="634"/>
  <c r="F124" i="634"/>
  <c r="H123" i="634"/>
  <c r="G123" i="634"/>
  <c r="F123" i="634"/>
  <c r="H122" i="634"/>
  <c r="G122" i="634"/>
  <c r="F122" i="634"/>
  <c r="H121" i="634"/>
  <c r="G121" i="634"/>
  <c r="F121" i="634"/>
  <c r="H120" i="634"/>
  <c r="G120" i="634"/>
  <c r="F120" i="634"/>
  <c r="H119" i="634"/>
  <c r="G119" i="634"/>
  <c r="F119" i="634"/>
  <c r="H118" i="634"/>
  <c r="G118" i="634"/>
  <c r="F118" i="634"/>
  <c r="H117" i="634"/>
  <c r="G117" i="634"/>
  <c r="F117" i="634"/>
  <c r="H116" i="634"/>
  <c r="G116" i="634"/>
  <c r="F116" i="634"/>
  <c r="H115" i="634"/>
  <c r="G115" i="634"/>
  <c r="F115" i="634"/>
  <c r="H114" i="634"/>
  <c r="G114" i="634"/>
  <c r="F114" i="634"/>
  <c r="H113" i="634"/>
  <c r="G113" i="634"/>
  <c r="F113" i="634"/>
  <c r="H112" i="634"/>
  <c r="G112" i="634"/>
  <c r="F112" i="634"/>
  <c r="H111" i="634"/>
  <c r="G111" i="634"/>
  <c r="F111" i="634"/>
  <c r="H110" i="634"/>
  <c r="G110" i="634"/>
  <c r="F110" i="634"/>
  <c r="H109" i="634"/>
  <c r="G109" i="634"/>
  <c r="F109" i="634"/>
  <c r="H108" i="634"/>
  <c r="G108" i="634"/>
  <c r="F108" i="634"/>
  <c r="H107" i="634"/>
  <c r="G107" i="634"/>
  <c r="F107" i="634"/>
  <c r="H106" i="634"/>
  <c r="G106" i="634"/>
  <c r="F106" i="634"/>
  <c r="H105" i="634"/>
  <c r="G105" i="634"/>
  <c r="F105" i="634"/>
  <c r="H104" i="634"/>
  <c r="G104" i="634"/>
  <c r="F104" i="634"/>
  <c r="H103" i="634"/>
  <c r="G103" i="634"/>
  <c r="F103" i="634"/>
  <c r="H102" i="634"/>
  <c r="G102" i="634"/>
  <c r="F102" i="634"/>
  <c r="H101" i="634"/>
  <c r="G101" i="634"/>
  <c r="F101" i="634"/>
  <c r="H100" i="634"/>
  <c r="G100" i="634"/>
  <c r="F100" i="634"/>
  <c r="H99" i="634"/>
  <c r="G99" i="634"/>
  <c r="F99" i="634"/>
  <c r="H98" i="634"/>
  <c r="G98" i="634"/>
  <c r="F98" i="634"/>
  <c r="H97" i="634"/>
  <c r="G97" i="634"/>
  <c r="F97" i="634"/>
  <c r="H96" i="634"/>
  <c r="G96" i="634"/>
  <c r="F96" i="634"/>
  <c r="H95" i="634"/>
  <c r="G95" i="634"/>
  <c r="F95" i="634"/>
  <c r="H94" i="634"/>
  <c r="G94" i="634"/>
  <c r="F94" i="634"/>
  <c r="H93" i="634"/>
  <c r="G93" i="634"/>
  <c r="F93" i="634"/>
  <c r="H92" i="634"/>
  <c r="G92" i="634"/>
  <c r="F92" i="634"/>
  <c r="H91" i="634"/>
  <c r="G91" i="634"/>
  <c r="F91" i="634"/>
  <c r="H90" i="634"/>
  <c r="G90" i="634"/>
  <c r="F90" i="634"/>
  <c r="H89" i="634"/>
  <c r="G89" i="634"/>
  <c r="F89" i="634"/>
  <c r="H88" i="634"/>
  <c r="G88" i="634"/>
  <c r="F88" i="634"/>
  <c r="H87" i="634"/>
  <c r="G87" i="634"/>
  <c r="F87" i="634"/>
  <c r="H86" i="634"/>
  <c r="G86" i="634"/>
  <c r="F86" i="634"/>
  <c r="H85" i="634"/>
  <c r="G85" i="634"/>
  <c r="F85" i="634"/>
  <c r="H84" i="634"/>
  <c r="G84" i="634"/>
  <c r="F84" i="634"/>
  <c r="H83" i="634"/>
  <c r="G83" i="634"/>
  <c r="F83" i="634"/>
  <c r="H82" i="634"/>
  <c r="G82" i="634"/>
  <c r="F82" i="634"/>
  <c r="H81" i="634"/>
  <c r="G81" i="634"/>
  <c r="F81" i="634"/>
  <c r="H80" i="634"/>
  <c r="G80" i="634"/>
  <c r="F80" i="634"/>
  <c r="H79" i="634"/>
  <c r="G79" i="634"/>
  <c r="F79" i="634"/>
  <c r="H78" i="634"/>
  <c r="G78" i="634"/>
  <c r="F78" i="634"/>
  <c r="H77" i="634"/>
  <c r="G77" i="634"/>
  <c r="F77" i="634"/>
  <c r="H76" i="634"/>
  <c r="G76" i="634"/>
  <c r="F76" i="634"/>
  <c r="H75" i="634"/>
  <c r="G75" i="634"/>
  <c r="F75" i="634"/>
  <c r="H74" i="634"/>
  <c r="G74" i="634"/>
  <c r="F74" i="634"/>
  <c r="H73" i="634"/>
  <c r="G73" i="634"/>
  <c r="F73" i="634"/>
  <c r="H72" i="634"/>
  <c r="G72" i="634"/>
  <c r="F72" i="634"/>
  <c r="H71" i="634"/>
  <c r="G71" i="634"/>
  <c r="F71" i="634"/>
  <c r="H70" i="634"/>
  <c r="G70" i="634"/>
  <c r="F70" i="634"/>
  <c r="H69" i="634"/>
  <c r="G69" i="634"/>
  <c r="F69" i="634"/>
  <c r="H68" i="634"/>
  <c r="G68" i="634"/>
  <c r="F68" i="634"/>
  <c r="H67" i="634"/>
  <c r="G67" i="634"/>
  <c r="F67" i="634"/>
  <c r="H66" i="634"/>
  <c r="G66" i="634"/>
  <c r="F66" i="634"/>
  <c r="H65" i="634"/>
  <c r="G65" i="634"/>
  <c r="F65" i="634"/>
  <c r="H64" i="634"/>
  <c r="G64" i="634"/>
  <c r="F64" i="634"/>
  <c r="H63" i="634"/>
  <c r="G63" i="634"/>
  <c r="F63" i="634"/>
  <c r="H62" i="634"/>
  <c r="G62" i="634"/>
  <c r="F62" i="634"/>
  <c r="H61" i="634"/>
  <c r="G61" i="634"/>
  <c r="F61" i="634"/>
  <c r="H60" i="634"/>
  <c r="G60" i="634"/>
  <c r="F60" i="634"/>
  <c r="H59" i="634"/>
  <c r="G59" i="634"/>
  <c r="F59" i="634"/>
  <c r="H58" i="634"/>
  <c r="G58" i="634"/>
  <c r="F58" i="634"/>
  <c r="H57" i="634"/>
  <c r="G57" i="634"/>
  <c r="F57" i="634"/>
  <c r="H56" i="634"/>
  <c r="G56" i="634"/>
  <c r="F56" i="634"/>
  <c r="H55" i="634"/>
  <c r="G55" i="634"/>
  <c r="F55" i="634"/>
  <c r="H54" i="634"/>
  <c r="G54" i="634"/>
  <c r="F54" i="634"/>
  <c r="H53" i="634"/>
  <c r="G53" i="634"/>
  <c r="F53" i="634"/>
  <c r="H52" i="634"/>
  <c r="G52" i="634"/>
  <c r="F52" i="634"/>
  <c r="H51" i="634"/>
  <c r="G51" i="634"/>
  <c r="F51" i="634"/>
  <c r="H50" i="634"/>
  <c r="G50" i="634"/>
  <c r="F50" i="634"/>
  <c r="H49" i="634"/>
  <c r="G49" i="634"/>
  <c r="F49" i="634"/>
  <c r="H48" i="634"/>
  <c r="G48" i="634"/>
  <c r="F48" i="634"/>
  <c r="H47" i="634"/>
  <c r="G47" i="634"/>
  <c r="F47" i="634"/>
  <c r="H46" i="634"/>
  <c r="G46" i="634"/>
  <c r="F46" i="634"/>
  <c r="H45" i="634"/>
  <c r="G45" i="634"/>
  <c r="F45" i="634"/>
  <c r="H44" i="634"/>
  <c r="G44" i="634"/>
  <c r="F44" i="634"/>
  <c r="H43" i="634"/>
  <c r="G43" i="634"/>
  <c r="F43" i="634"/>
  <c r="H42" i="634"/>
  <c r="G42" i="634"/>
  <c r="F42" i="634"/>
  <c r="H41" i="634"/>
  <c r="G41" i="634"/>
  <c r="F41" i="634"/>
  <c r="H40" i="634"/>
  <c r="G40" i="634"/>
  <c r="F40" i="634"/>
  <c r="H39" i="634"/>
  <c r="G39" i="634"/>
  <c r="F39" i="634"/>
  <c r="H38" i="634"/>
  <c r="G38" i="634"/>
  <c r="F38" i="634"/>
  <c r="H37" i="634"/>
  <c r="G37" i="634"/>
  <c r="F37" i="634"/>
  <c r="H36" i="634"/>
  <c r="G36" i="634"/>
  <c r="F36" i="634"/>
  <c r="H35" i="634"/>
  <c r="G35" i="634"/>
  <c r="F35" i="634"/>
  <c r="H34" i="634"/>
  <c r="G34" i="634"/>
  <c r="F34" i="634"/>
  <c r="H33" i="634"/>
  <c r="G33" i="634"/>
  <c r="F33" i="634"/>
  <c r="H32" i="634"/>
  <c r="G32" i="634"/>
  <c r="F32" i="634"/>
  <c r="H31" i="634"/>
  <c r="G31" i="634"/>
  <c r="F31" i="634"/>
  <c r="H30" i="634"/>
  <c r="G30" i="634"/>
  <c r="F30" i="634"/>
  <c r="H29" i="634"/>
  <c r="G29" i="634"/>
  <c r="F29" i="634"/>
  <c r="H28" i="634"/>
  <c r="G28" i="634"/>
  <c r="F28" i="634"/>
  <c r="H27" i="634"/>
  <c r="G27" i="634"/>
  <c r="F27" i="634"/>
  <c r="H26" i="634"/>
  <c r="G26" i="634"/>
  <c r="F26" i="634"/>
  <c r="H25" i="634"/>
  <c r="G25" i="634"/>
  <c r="F25" i="634"/>
  <c r="H24" i="634"/>
  <c r="G24" i="634"/>
  <c r="F24" i="634"/>
  <c r="H23" i="634"/>
  <c r="G23" i="634"/>
  <c r="F23" i="634"/>
  <c r="H22" i="634"/>
  <c r="G22" i="634"/>
  <c r="F22" i="634"/>
  <c r="H21" i="634"/>
  <c r="G21" i="634"/>
  <c r="F21" i="634"/>
  <c r="H20" i="634"/>
  <c r="G20" i="634"/>
  <c r="F20" i="634"/>
  <c r="H19" i="634"/>
  <c r="G19" i="634"/>
  <c r="F19" i="634"/>
  <c r="H18" i="634"/>
  <c r="G18" i="634"/>
  <c r="F18" i="634"/>
  <c r="H17" i="634"/>
  <c r="G17" i="634"/>
  <c r="F17" i="634"/>
  <c r="H16" i="634"/>
  <c r="G16" i="634"/>
  <c r="F16" i="634"/>
  <c r="H15" i="634"/>
  <c r="G15" i="634"/>
  <c r="F15" i="634"/>
  <c r="H14" i="634"/>
  <c r="G14" i="634"/>
  <c r="F14" i="634"/>
  <c r="H13" i="634"/>
  <c r="G13" i="634"/>
  <c r="F13" i="634"/>
  <c r="H12" i="634"/>
  <c r="G12" i="634"/>
  <c r="F12" i="634"/>
  <c r="H11" i="634"/>
  <c r="G11" i="634"/>
  <c r="F11" i="634"/>
  <c r="H10" i="634"/>
  <c r="G10" i="634"/>
  <c r="F10" i="634"/>
  <c r="H9" i="634"/>
  <c r="G9" i="634"/>
  <c r="F9" i="634"/>
  <c r="H8" i="634"/>
  <c r="G8" i="634"/>
  <c r="F8" i="634"/>
  <c r="H7" i="634"/>
  <c r="G7" i="634"/>
  <c r="F7" i="634"/>
  <c r="H6" i="634"/>
  <c r="G6" i="634"/>
  <c r="F6" i="634"/>
  <c r="D128" i="633"/>
  <c r="D129" i="633" s="1"/>
  <c r="C128" i="633"/>
  <c r="C129" i="633" s="1"/>
  <c r="B128" i="633"/>
  <c r="B129" i="633" s="1"/>
  <c r="H126" i="633"/>
  <c r="G126" i="633"/>
  <c r="F126" i="633"/>
  <c r="H125" i="633"/>
  <c r="G125" i="633"/>
  <c r="F125" i="633"/>
  <c r="H124" i="633"/>
  <c r="G124" i="633"/>
  <c r="F124" i="633"/>
  <c r="H123" i="633"/>
  <c r="G123" i="633"/>
  <c r="F123" i="633"/>
  <c r="H122" i="633"/>
  <c r="G122" i="633"/>
  <c r="F122" i="633"/>
  <c r="H121" i="633"/>
  <c r="G121" i="633"/>
  <c r="F121" i="633"/>
  <c r="H120" i="633"/>
  <c r="G120" i="633"/>
  <c r="F120" i="633"/>
  <c r="H119" i="633"/>
  <c r="G119" i="633"/>
  <c r="F119" i="633"/>
  <c r="H118" i="633"/>
  <c r="G118" i="633"/>
  <c r="F118" i="633"/>
  <c r="H117" i="633"/>
  <c r="G117" i="633"/>
  <c r="F117" i="633"/>
  <c r="H116" i="633"/>
  <c r="G116" i="633"/>
  <c r="F116" i="633"/>
  <c r="H115" i="633"/>
  <c r="G115" i="633"/>
  <c r="F115" i="633"/>
  <c r="H114" i="633"/>
  <c r="G114" i="633"/>
  <c r="F114" i="633"/>
  <c r="H113" i="633"/>
  <c r="G113" i="633"/>
  <c r="F113" i="633"/>
  <c r="H112" i="633"/>
  <c r="G112" i="633"/>
  <c r="F112" i="633"/>
  <c r="H111" i="633"/>
  <c r="G111" i="633"/>
  <c r="F111" i="633"/>
  <c r="H110" i="633"/>
  <c r="G110" i="633"/>
  <c r="F110" i="633"/>
  <c r="H109" i="633"/>
  <c r="G109" i="633"/>
  <c r="F109" i="633"/>
  <c r="H108" i="633"/>
  <c r="G108" i="633"/>
  <c r="F108" i="633"/>
  <c r="H107" i="633"/>
  <c r="G107" i="633"/>
  <c r="F107" i="633"/>
  <c r="H106" i="633"/>
  <c r="G106" i="633"/>
  <c r="F106" i="633"/>
  <c r="H105" i="633"/>
  <c r="G105" i="633"/>
  <c r="F105" i="633"/>
  <c r="H104" i="633"/>
  <c r="G104" i="633"/>
  <c r="F104" i="633"/>
  <c r="H103" i="633"/>
  <c r="G103" i="633"/>
  <c r="F103" i="633"/>
  <c r="H102" i="633"/>
  <c r="G102" i="633"/>
  <c r="F102" i="633"/>
  <c r="H101" i="633"/>
  <c r="G101" i="633"/>
  <c r="F101" i="633"/>
  <c r="H100" i="633"/>
  <c r="G100" i="633"/>
  <c r="F100" i="633"/>
  <c r="H99" i="633"/>
  <c r="G99" i="633"/>
  <c r="F99" i="633"/>
  <c r="H98" i="633"/>
  <c r="G98" i="633"/>
  <c r="F98" i="633"/>
  <c r="H97" i="633"/>
  <c r="G97" i="633"/>
  <c r="F97" i="633"/>
  <c r="H96" i="633"/>
  <c r="G96" i="633"/>
  <c r="F96" i="633"/>
  <c r="H95" i="633"/>
  <c r="G95" i="633"/>
  <c r="F95" i="633"/>
  <c r="H94" i="633"/>
  <c r="G94" i="633"/>
  <c r="F94" i="633"/>
  <c r="H93" i="633"/>
  <c r="G93" i="633"/>
  <c r="F93" i="633"/>
  <c r="H92" i="633"/>
  <c r="G92" i="633"/>
  <c r="F92" i="633"/>
  <c r="H91" i="633"/>
  <c r="G91" i="633"/>
  <c r="F91" i="633"/>
  <c r="H90" i="633"/>
  <c r="G90" i="633"/>
  <c r="F90" i="633"/>
  <c r="H89" i="633"/>
  <c r="G89" i="633"/>
  <c r="F89" i="633"/>
  <c r="H88" i="633"/>
  <c r="G88" i="633"/>
  <c r="F88" i="633"/>
  <c r="H87" i="633"/>
  <c r="G87" i="633"/>
  <c r="F87" i="633"/>
  <c r="H86" i="633"/>
  <c r="G86" i="633"/>
  <c r="F86" i="633"/>
  <c r="H85" i="633"/>
  <c r="G85" i="633"/>
  <c r="F85" i="633"/>
  <c r="H84" i="633"/>
  <c r="G84" i="633"/>
  <c r="F84" i="633"/>
  <c r="H83" i="633"/>
  <c r="G83" i="633"/>
  <c r="F83" i="633"/>
  <c r="H82" i="633"/>
  <c r="G82" i="633"/>
  <c r="F82" i="633"/>
  <c r="H81" i="633"/>
  <c r="G81" i="633"/>
  <c r="F81" i="633"/>
  <c r="H80" i="633"/>
  <c r="G80" i="633"/>
  <c r="F80" i="633"/>
  <c r="H79" i="633"/>
  <c r="G79" i="633"/>
  <c r="F79" i="633"/>
  <c r="H78" i="633"/>
  <c r="G78" i="633"/>
  <c r="F78" i="633"/>
  <c r="H77" i="633"/>
  <c r="G77" i="633"/>
  <c r="F77" i="633"/>
  <c r="H76" i="633"/>
  <c r="G76" i="633"/>
  <c r="F76" i="633"/>
  <c r="H75" i="633"/>
  <c r="G75" i="633"/>
  <c r="F75" i="633"/>
  <c r="H74" i="633"/>
  <c r="G74" i="633"/>
  <c r="F74" i="633"/>
  <c r="H73" i="633"/>
  <c r="G73" i="633"/>
  <c r="F73" i="633"/>
  <c r="H72" i="633"/>
  <c r="G72" i="633"/>
  <c r="F72" i="633"/>
  <c r="H71" i="633"/>
  <c r="G71" i="633"/>
  <c r="F71" i="633"/>
  <c r="H70" i="633"/>
  <c r="G70" i="633"/>
  <c r="F70" i="633"/>
  <c r="H69" i="633"/>
  <c r="G69" i="633"/>
  <c r="F69" i="633"/>
  <c r="H68" i="633"/>
  <c r="G68" i="633"/>
  <c r="F68" i="633"/>
  <c r="H67" i="633"/>
  <c r="G67" i="633"/>
  <c r="F67" i="633"/>
  <c r="H66" i="633"/>
  <c r="G66" i="633"/>
  <c r="F66" i="633"/>
  <c r="H65" i="633"/>
  <c r="G65" i="633"/>
  <c r="F65" i="633"/>
  <c r="H64" i="633"/>
  <c r="G64" i="633"/>
  <c r="F64" i="633"/>
  <c r="H63" i="633"/>
  <c r="G63" i="633"/>
  <c r="F63" i="633"/>
  <c r="H62" i="633"/>
  <c r="G62" i="633"/>
  <c r="F62" i="633"/>
  <c r="H61" i="633"/>
  <c r="G61" i="633"/>
  <c r="F61" i="633"/>
  <c r="H60" i="633"/>
  <c r="G60" i="633"/>
  <c r="F60" i="633"/>
  <c r="H59" i="633"/>
  <c r="G59" i="633"/>
  <c r="F59" i="633"/>
  <c r="H58" i="633"/>
  <c r="G58" i="633"/>
  <c r="F58" i="633"/>
  <c r="H57" i="633"/>
  <c r="G57" i="633"/>
  <c r="F57" i="633"/>
  <c r="H56" i="633"/>
  <c r="G56" i="633"/>
  <c r="F56" i="633"/>
  <c r="H55" i="633"/>
  <c r="G55" i="633"/>
  <c r="F55" i="633"/>
  <c r="H54" i="633"/>
  <c r="G54" i="633"/>
  <c r="F54" i="633"/>
  <c r="H53" i="633"/>
  <c r="G53" i="633"/>
  <c r="F53" i="633"/>
  <c r="H52" i="633"/>
  <c r="G52" i="633"/>
  <c r="F52" i="633"/>
  <c r="H51" i="633"/>
  <c r="G51" i="633"/>
  <c r="F51" i="633"/>
  <c r="H50" i="633"/>
  <c r="G50" i="633"/>
  <c r="F50" i="633"/>
  <c r="H49" i="633"/>
  <c r="G49" i="633"/>
  <c r="F49" i="633"/>
  <c r="H48" i="633"/>
  <c r="G48" i="633"/>
  <c r="F48" i="633"/>
  <c r="H47" i="633"/>
  <c r="G47" i="633"/>
  <c r="F47" i="633"/>
  <c r="H46" i="633"/>
  <c r="G46" i="633"/>
  <c r="F46" i="633"/>
  <c r="H45" i="633"/>
  <c r="G45" i="633"/>
  <c r="F45" i="633"/>
  <c r="H44" i="633"/>
  <c r="G44" i="633"/>
  <c r="F44" i="633"/>
  <c r="H43" i="633"/>
  <c r="G43" i="633"/>
  <c r="F43" i="633"/>
  <c r="H42" i="633"/>
  <c r="G42" i="633"/>
  <c r="F42" i="633"/>
  <c r="H41" i="633"/>
  <c r="G41" i="633"/>
  <c r="F41" i="633"/>
  <c r="H40" i="633"/>
  <c r="G40" i="633"/>
  <c r="F40" i="633"/>
  <c r="H39" i="633"/>
  <c r="G39" i="633"/>
  <c r="F39" i="633"/>
  <c r="H38" i="633"/>
  <c r="G38" i="633"/>
  <c r="F38" i="633"/>
  <c r="H37" i="633"/>
  <c r="G37" i="633"/>
  <c r="F37" i="633"/>
  <c r="H36" i="633"/>
  <c r="G36" i="633"/>
  <c r="F36" i="633"/>
  <c r="H35" i="633"/>
  <c r="G35" i="633"/>
  <c r="F35" i="633"/>
  <c r="H34" i="633"/>
  <c r="G34" i="633"/>
  <c r="F34" i="633"/>
  <c r="H33" i="633"/>
  <c r="G33" i="633"/>
  <c r="F33" i="633"/>
  <c r="H32" i="633"/>
  <c r="G32" i="633"/>
  <c r="F32" i="633"/>
  <c r="H31" i="633"/>
  <c r="G31" i="633"/>
  <c r="F31" i="633"/>
  <c r="H30" i="633"/>
  <c r="G30" i="633"/>
  <c r="F30" i="633"/>
  <c r="H29" i="633"/>
  <c r="G29" i="633"/>
  <c r="F29" i="633"/>
  <c r="H28" i="633"/>
  <c r="G28" i="633"/>
  <c r="F28" i="633"/>
  <c r="H27" i="633"/>
  <c r="G27" i="633"/>
  <c r="F27" i="633"/>
  <c r="H26" i="633"/>
  <c r="G26" i="633"/>
  <c r="F26" i="633"/>
  <c r="H25" i="633"/>
  <c r="G25" i="633"/>
  <c r="F25" i="633"/>
  <c r="H24" i="633"/>
  <c r="G24" i="633"/>
  <c r="F24" i="633"/>
  <c r="H23" i="633"/>
  <c r="G23" i="633"/>
  <c r="F23" i="633"/>
  <c r="H22" i="633"/>
  <c r="G22" i="633"/>
  <c r="F22" i="633"/>
  <c r="H21" i="633"/>
  <c r="G21" i="633"/>
  <c r="F21" i="633"/>
  <c r="H20" i="633"/>
  <c r="G20" i="633"/>
  <c r="F20" i="633"/>
  <c r="H19" i="633"/>
  <c r="G19" i="633"/>
  <c r="F19" i="633"/>
  <c r="H18" i="633"/>
  <c r="G18" i="633"/>
  <c r="F18" i="633"/>
  <c r="H17" i="633"/>
  <c r="G17" i="633"/>
  <c r="F17" i="633"/>
  <c r="H16" i="633"/>
  <c r="G16" i="633"/>
  <c r="F16" i="633"/>
  <c r="H15" i="633"/>
  <c r="G15" i="633"/>
  <c r="F15" i="633"/>
  <c r="H14" i="633"/>
  <c r="G14" i="633"/>
  <c r="F14" i="633"/>
  <c r="H13" i="633"/>
  <c r="G13" i="633"/>
  <c r="F13" i="633"/>
  <c r="H12" i="633"/>
  <c r="G12" i="633"/>
  <c r="F12" i="633"/>
  <c r="H11" i="633"/>
  <c r="G11" i="633"/>
  <c r="F11" i="633"/>
  <c r="H10" i="633"/>
  <c r="G10" i="633"/>
  <c r="F10" i="633"/>
  <c r="H9" i="633"/>
  <c r="G9" i="633"/>
  <c r="F9" i="633"/>
  <c r="H8" i="633"/>
  <c r="G8" i="633"/>
  <c r="F8" i="633"/>
  <c r="H7" i="633"/>
  <c r="G7" i="633"/>
  <c r="F7" i="633"/>
  <c r="H6" i="633"/>
  <c r="G6" i="633"/>
  <c r="F6" i="633"/>
  <c r="D128" i="632"/>
  <c r="D129" i="632" s="1"/>
  <c r="C128" i="632"/>
  <c r="C129" i="632" s="1"/>
  <c r="B128" i="632"/>
  <c r="B129" i="632" s="1"/>
  <c r="H126" i="632"/>
  <c r="G126" i="632"/>
  <c r="F126" i="632"/>
  <c r="H125" i="632"/>
  <c r="G125" i="632"/>
  <c r="F125" i="632"/>
  <c r="H124" i="632"/>
  <c r="G124" i="632"/>
  <c r="F124" i="632"/>
  <c r="H123" i="632"/>
  <c r="G123" i="632"/>
  <c r="F123" i="632"/>
  <c r="H122" i="632"/>
  <c r="G122" i="632"/>
  <c r="F122" i="632"/>
  <c r="H121" i="632"/>
  <c r="G121" i="632"/>
  <c r="F121" i="632"/>
  <c r="H120" i="632"/>
  <c r="G120" i="632"/>
  <c r="F120" i="632"/>
  <c r="H119" i="632"/>
  <c r="G119" i="632"/>
  <c r="F119" i="632"/>
  <c r="H118" i="632"/>
  <c r="G118" i="632"/>
  <c r="F118" i="632"/>
  <c r="H117" i="632"/>
  <c r="G117" i="632"/>
  <c r="F117" i="632"/>
  <c r="H116" i="632"/>
  <c r="G116" i="632"/>
  <c r="F116" i="632"/>
  <c r="H115" i="632"/>
  <c r="G115" i="632"/>
  <c r="F115" i="632"/>
  <c r="H114" i="632"/>
  <c r="G114" i="632"/>
  <c r="F114" i="632"/>
  <c r="H113" i="632"/>
  <c r="G113" i="632"/>
  <c r="F113" i="632"/>
  <c r="H112" i="632"/>
  <c r="G112" i="632"/>
  <c r="F112" i="632"/>
  <c r="H111" i="632"/>
  <c r="G111" i="632"/>
  <c r="F111" i="632"/>
  <c r="H110" i="632"/>
  <c r="G110" i="632"/>
  <c r="F110" i="632"/>
  <c r="H109" i="632"/>
  <c r="G109" i="632"/>
  <c r="F109" i="632"/>
  <c r="H108" i="632"/>
  <c r="G108" i="632"/>
  <c r="F108" i="632"/>
  <c r="H107" i="632"/>
  <c r="G107" i="632"/>
  <c r="F107" i="632"/>
  <c r="H106" i="632"/>
  <c r="G106" i="632"/>
  <c r="F106" i="632"/>
  <c r="H105" i="632"/>
  <c r="G105" i="632"/>
  <c r="F105" i="632"/>
  <c r="H104" i="632"/>
  <c r="G104" i="632"/>
  <c r="F104" i="632"/>
  <c r="H103" i="632"/>
  <c r="G103" i="632"/>
  <c r="F103" i="632"/>
  <c r="H102" i="632"/>
  <c r="G102" i="632"/>
  <c r="F102" i="632"/>
  <c r="H101" i="632"/>
  <c r="G101" i="632"/>
  <c r="F101" i="632"/>
  <c r="H100" i="632"/>
  <c r="G100" i="632"/>
  <c r="F100" i="632"/>
  <c r="H99" i="632"/>
  <c r="G99" i="632"/>
  <c r="F99" i="632"/>
  <c r="H98" i="632"/>
  <c r="G98" i="632"/>
  <c r="F98" i="632"/>
  <c r="H97" i="632"/>
  <c r="G97" i="632"/>
  <c r="F97" i="632"/>
  <c r="H96" i="632"/>
  <c r="G96" i="632"/>
  <c r="F96" i="632"/>
  <c r="H95" i="632"/>
  <c r="G95" i="632"/>
  <c r="F95" i="632"/>
  <c r="H94" i="632"/>
  <c r="G94" i="632"/>
  <c r="F94" i="632"/>
  <c r="H93" i="632"/>
  <c r="G93" i="632"/>
  <c r="F93" i="632"/>
  <c r="H92" i="632"/>
  <c r="G92" i="632"/>
  <c r="F92" i="632"/>
  <c r="H91" i="632"/>
  <c r="G91" i="632"/>
  <c r="F91" i="632"/>
  <c r="H90" i="632"/>
  <c r="G90" i="632"/>
  <c r="F90" i="632"/>
  <c r="H89" i="632"/>
  <c r="G89" i="632"/>
  <c r="F89" i="632"/>
  <c r="H88" i="632"/>
  <c r="G88" i="632"/>
  <c r="F88" i="632"/>
  <c r="H87" i="632"/>
  <c r="G87" i="632"/>
  <c r="F87" i="632"/>
  <c r="H86" i="632"/>
  <c r="G86" i="632"/>
  <c r="F86" i="632"/>
  <c r="H85" i="632"/>
  <c r="G85" i="632"/>
  <c r="F85" i="632"/>
  <c r="H84" i="632"/>
  <c r="G84" i="632"/>
  <c r="F84" i="632"/>
  <c r="H83" i="632"/>
  <c r="G83" i="632"/>
  <c r="F83" i="632"/>
  <c r="H82" i="632"/>
  <c r="G82" i="632"/>
  <c r="F82" i="632"/>
  <c r="H81" i="632"/>
  <c r="G81" i="632"/>
  <c r="F81" i="632"/>
  <c r="H80" i="632"/>
  <c r="G80" i="632"/>
  <c r="F80" i="632"/>
  <c r="H79" i="632"/>
  <c r="G79" i="632"/>
  <c r="F79" i="632"/>
  <c r="H78" i="632"/>
  <c r="G78" i="632"/>
  <c r="F78" i="632"/>
  <c r="H77" i="632"/>
  <c r="G77" i="632"/>
  <c r="F77" i="632"/>
  <c r="H76" i="632"/>
  <c r="G76" i="632"/>
  <c r="F76" i="632"/>
  <c r="H75" i="632"/>
  <c r="G75" i="632"/>
  <c r="F75" i="632"/>
  <c r="H74" i="632"/>
  <c r="G74" i="632"/>
  <c r="F74" i="632"/>
  <c r="H73" i="632"/>
  <c r="G73" i="632"/>
  <c r="F73" i="632"/>
  <c r="H72" i="632"/>
  <c r="G72" i="632"/>
  <c r="F72" i="632"/>
  <c r="H71" i="632"/>
  <c r="G71" i="632"/>
  <c r="F71" i="632"/>
  <c r="H70" i="632"/>
  <c r="G70" i="632"/>
  <c r="F70" i="632"/>
  <c r="H69" i="632"/>
  <c r="G69" i="632"/>
  <c r="F69" i="632"/>
  <c r="H68" i="632"/>
  <c r="G68" i="632"/>
  <c r="F68" i="632"/>
  <c r="H67" i="632"/>
  <c r="G67" i="632"/>
  <c r="F67" i="632"/>
  <c r="H66" i="632"/>
  <c r="G66" i="632"/>
  <c r="F66" i="632"/>
  <c r="H65" i="632"/>
  <c r="G65" i="632"/>
  <c r="F65" i="632"/>
  <c r="H64" i="632"/>
  <c r="G64" i="632"/>
  <c r="F64" i="632"/>
  <c r="H63" i="632"/>
  <c r="G63" i="632"/>
  <c r="F63" i="632"/>
  <c r="H62" i="632"/>
  <c r="G62" i="632"/>
  <c r="F62" i="632"/>
  <c r="H61" i="632"/>
  <c r="G61" i="632"/>
  <c r="F61" i="632"/>
  <c r="H60" i="632"/>
  <c r="G60" i="632"/>
  <c r="F60" i="632"/>
  <c r="H59" i="632"/>
  <c r="G59" i="632"/>
  <c r="F59" i="632"/>
  <c r="H58" i="632"/>
  <c r="G58" i="632"/>
  <c r="F58" i="632"/>
  <c r="H57" i="632"/>
  <c r="G57" i="632"/>
  <c r="F57" i="632"/>
  <c r="H56" i="632"/>
  <c r="G56" i="632"/>
  <c r="F56" i="632"/>
  <c r="H55" i="632"/>
  <c r="G55" i="632"/>
  <c r="F55" i="632"/>
  <c r="H54" i="632"/>
  <c r="G54" i="632"/>
  <c r="F54" i="632"/>
  <c r="H53" i="632"/>
  <c r="G53" i="632"/>
  <c r="F53" i="632"/>
  <c r="H52" i="632"/>
  <c r="G52" i="632"/>
  <c r="F52" i="632"/>
  <c r="H51" i="632"/>
  <c r="G51" i="632"/>
  <c r="F51" i="632"/>
  <c r="H50" i="632"/>
  <c r="G50" i="632"/>
  <c r="F50" i="632"/>
  <c r="H49" i="632"/>
  <c r="G49" i="632"/>
  <c r="F49" i="632"/>
  <c r="H48" i="632"/>
  <c r="G48" i="632"/>
  <c r="F48" i="632"/>
  <c r="H47" i="632"/>
  <c r="G47" i="632"/>
  <c r="F47" i="632"/>
  <c r="H46" i="632"/>
  <c r="G46" i="632"/>
  <c r="F46" i="632"/>
  <c r="H45" i="632"/>
  <c r="G45" i="632"/>
  <c r="F45" i="632"/>
  <c r="H44" i="632"/>
  <c r="G44" i="632"/>
  <c r="F44" i="632"/>
  <c r="H43" i="632"/>
  <c r="G43" i="632"/>
  <c r="F43" i="632"/>
  <c r="H42" i="632"/>
  <c r="G42" i="632"/>
  <c r="F42" i="632"/>
  <c r="H41" i="632"/>
  <c r="G41" i="632"/>
  <c r="F41" i="632"/>
  <c r="H40" i="632"/>
  <c r="G40" i="632"/>
  <c r="F40" i="632"/>
  <c r="H39" i="632"/>
  <c r="G39" i="632"/>
  <c r="F39" i="632"/>
  <c r="H38" i="632"/>
  <c r="G38" i="632"/>
  <c r="F38" i="632"/>
  <c r="H37" i="632"/>
  <c r="G37" i="632"/>
  <c r="F37" i="632"/>
  <c r="H36" i="632"/>
  <c r="G36" i="632"/>
  <c r="F36" i="632"/>
  <c r="H35" i="632"/>
  <c r="G35" i="632"/>
  <c r="F35" i="632"/>
  <c r="H34" i="632"/>
  <c r="G34" i="632"/>
  <c r="F34" i="632"/>
  <c r="H33" i="632"/>
  <c r="G33" i="632"/>
  <c r="F33" i="632"/>
  <c r="H32" i="632"/>
  <c r="G32" i="632"/>
  <c r="F32" i="632"/>
  <c r="H31" i="632"/>
  <c r="G31" i="632"/>
  <c r="F31" i="632"/>
  <c r="H30" i="632"/>
  <c r="G30" i="632"/>
  <c r="F30" i="632"/>
  <c r="H29" i="632"/>
  <c r="G29" i="632"/>
  <c r="F29" i="632"/>
  <c r="H28" i="632"/>
  <c r="G28" i="632"/>
  <c r="F28" i="632"/>
  <c r="H27" i="632"/>
  <c r="G27" i="632"/>
  <c r="F27" i="632"/>
  <c r="H26" i="632"/>
  <c r="G26" i="632"/>
  <c r="F26" i="632"/>
  <c r="H25" i="632"/>
  <c r="G25" i="632"/>
  <c r="F25" i="632"/>
  <c r="H24" i="632"/>
  <c r="G24" i="632"/>
  <c r="F24" i="632"/>
  <c r="H23" i="632"/>
  <c r="G23" i="632"/>
  <c r="F23" i="632"/>
  <c r="H22" i="632"/>
  <c r="G22" i="632"/>
  <c r="F22" i="632"/>
  <c r="H21" i="632"/>
  <c r="G21" i="632"/>
  <c r="F21" i="632"/>
  <c r="H20" i="632"/>
  <c r="G20" i="632"/>
  <c r="F20" i="632"/>
  <c r="H19" i="632"/>
  <c r="G19" i="632"/>
  <c r="F19" i="632"/>
  <c r="H18" i="632"/>
  <c r="G18" i="632"/>
  <c r="F18" i="632"/>
  <c r="H17" i="632"/>
  <c r="G17" i="632"/>
  <c r="F17" i="632"/>
  <c r="H16" i="632"/>
  <c r="G16" i="632"/>
  <c r="F16" i="632"/>
  <c r="H15" i="632"/>
  <c r="G15" i="632"/>
  <c r="F15" i="632"/>
  <c r="H14" i="632"/>
  <c r="G14" i="632"/>
  <c r="F14" i="632"/>
  <c r="H13" i="632"/>
  <c r="G13" i="632"/>
  <c r="F13" i="632"/>
  <c r="H12" i="632"/>
  <c r="G12" i="632"/>
  <c r="F12" i="632"/>
  <c r="H11" i="632"/>
  <c r="G11" i="632"/>
  <c r="F11" i="632"/>
  <c r="H10" i="632"/>
  <c r="G10" i="632"/>
  <c r="F10" i="632"/>
  <c r="H9" i="632"/>
  <c r="G9" i="632"/>
  <c r="F9" i="632"/>
  <c r="H8" i="632"/>
  <c r="G8" i="632"/>
  <c r="F8" i="632"/>
  <c r="H7" i="632"/>
  <c r="G7" i="632"/>
  <c r="F7" i="632"/>
  <c r="H6" i="632"/>
  <c r="G6" i="632"/>
  <c r="F6" i="632"/>
  <c r="F6" i="585"/>
  <c r="G6" i="585"/>
  <c r="H6" i="585"/>
  <c r="F7" i="585"/>
  <c r="G7" i="585"/>
  <c r="H7" i="585"/>
  <c r="F8" i="585"/>
  <c r="G8" i="585"/>
  <c r="H8" i="585"/>
  <c r="D128" i="585"/>
  <c r="C128" i="585"/>
  <c r="B128" i="585"/>
  <c r="B129" i="585" s="1"/>
  <c r="F9" i="585"/>
  <c r="G9" i="585"/>
  <c r="H9" i="585"/>
  <c r="F10" i="585"/>
  <c r="G10" i="585"/>
  <c r="H10" i="585"/>
  <c r="F11" i="585"/>
  <c r="G11" i="585"/>
  <c r="H11" i="585"/>
  <c r="F12" i="585"/>
  <c r="G12" i="585"/>
  <c r="H12" i="585"/>
  <c r="F13" i="585"/>
  <c r="G13" i="585"/>
  <c r="H13" i="585"/>
  <c r="F14" i="585"/>
  <c r="G14" i="585"/>
  <c r="H14" i="585"/>
  <c r="F15" i="585"/>
  <c r="G15" i="585"/>
  <c r="H15" i="585"/>
  <c r="F16" i="585"/>
  <c r="G16" i="585"/>
  <c r="H16" i="585"/>
  <c r="F17" i="585"/>
  <c r="G17" i="585"/>
  <c r="H17" i="585"/>
  <c r="F18" i="585"/>
  <c r="G18" i="585"/>
  <c r="H18" i="585"/>
  <c r="F19" i="585"/>
  <c r="G19" i="585"/>
  <c r="H19" i="585"/>
  <c r="F20" i="585"/>
  <c r="G20" i="585"/>
  <c r="H20" i="585"/>
  <c r="F21" i="585"/>
  <c r="G21" i="585"/>
  <c r="H21" i="585"/>
  <c r="F22" i="585"/>
  <c r="G22" i="585"/>
  <c r="H22" i="585"/>
  <c r="F23" i="585"/>
  <c r="G23" i="585"/>
  <c r="H23" i="585"/>
  <c r="F24" i="585"/>
  <c r="G24" i="585"/>
  <c r="H24" i="585"/>
  <c r="F25" i="585"/>
  <c r="G25" i="585"/>
  <c r="H25" i="585"/>
  <c r="F26" i="585"/>
  <c r="G26" i="585"/>
  <c r="H26" i="585"/>
  <c r="F27" i="585"/>
  <c r="G27" i="585"/>
  <c r="H27" i="585"/>
  <c r="F28" i="585"/>
  <c r="G28" i="585"/>
  <c r="H28" i="585"/>
  <c r="F29" i="585"/>
  <c r="G29" i="585"/>
  <c r="H29" i="585"/>
  <c r="F30" i="585"/>
  <c r="G30" i="585"/>
  <c r="H30" i="585"/>
  <c r="F31" i="585"/>
  <c r="G31" i="585"/>
  <c r="H31" i="585"/>
  <c r="F32" i="585"/>
  <c r="G32" i="585"/>
  <c r="H32" i="585"/>
  <c r="F33" i="585"/>
  <c r="G33" i="585"/>
  <c r="H33" i="585"/>
  <c r="F34" i="585"/>
  <c r="G34" i="585"/>
  <c r="H34" i="585"/>
  <c r="F35" i="585"/>
  <c r="G35" i="585"/>
  <c r="H35" i="585"/>
  <c r="F36" i="585"/>
  <c r="G36" i="585"/>
  <c r="H36" i="585"/>
  <c r="F37" i="585"/>
  <c r="G37" i="585"/>
  <c r="H37" i="585"/>
  <c r="F38" i="585"/>
  <c r="G38" i="585"/>
  <c r="H38" i="585"/>
  <c r="F39" i="585"/>
  <c r="G39" i="585"/>
  <c r="H39" i="585"/>
  <c r="F40" i="585"/>
  <c r="G40" i="585"/>
  <c r="H40" i="585"/>
  <c r="F41" i="585"/>
  <c r="G41" i="585"/>
  <c r="H41" i="585"/>
  <c r="F42" i="585"/>
  <c r="G42" i="585"/>
  <c r="H42" i="585"/>
  <c r="F43" i="585"/>
  <c r="G43" i="585"/>
  <c r="H43" i="585"/>
  <c r="F44" i="585"/>
  <c r="G44" i="585"/>
  <c r="H44" i="585"/>
  <c r="F45" i="585"/>
  <c r="G45" i="585"/>
  <c r="H45" i="585"/>
  <c r="F46" i="585"/>
  <c r="G46" i="585"/>
  <c r="H46" i="585"/>
  <c r="F47" i="585"/>
  <c r="G47" i="585"/>
  <c r="H47" i="585"/>
  <c r="F48" i="585"/>
  <c r="G48" i="585"/>
  <c r="H48" i="585"/>
  <c r="F49" i="585"/>
  <c r="G49" i="585"/>
  <c r="H49" i="585"/>
  <c r="F50" i="585"/>
  <c r="G50" i="585"/>
  <c r="H50" i="585"/>
  <c r="F51" i="585"/>
  <c r="G51" i="585"/>
  <c r="H51" i="585"/>
  <c r="F52" i="585"/>
  <c r="G52" i="585"/>
  <c r="H52" i="585"/>
  <c r="F53" i="585"/>
  <c r="G53" i="585"/>
  <c r="H53" i="585"/>
  <c r="F54" i="585"/>
  <c r="G54" i="585"/>
  <c r="H54" i="585"/>
  <c r="F55" i="585"/>
  <c r="G55" i="585"/>
  <c r="H55" i="585"/>
  <c r="F56" i="585"/>
  <c r="G56" i="585"/>
  <c r="H56" i="585"/>
  <c r="F57" i="585"/>
  <c r="G57" i="585"/>
  <c r="H57" i="585"/>
  <c r="F58" i="585"/>
  <c r="G58" i="585"/>
  <c r="H58" i="585"/>
  <c r="F59" i="585"/>
  <c r="G59" i="585"/>
  <c r="H59" i="585"/>
  <c r="F60" i="585"/>
  <c r="G60" i="585"/>
  <c r="H60" i="585"/>
  <c r="F61" i="585"/>
  <c r="G61" i="585"/>
  <c r="H61" i="585"/>
  <c r="F62" i="585"/>
  <c r="G62" i="585"/>
  <c r="H62" i="585"/>
  <c r="F63" i="585"/>
  <c r="G63" i="585"/>
  <c r="H63" i="585"/>
  <c r="F64" i="585"/>
  <c r="G64" i="585"/>
  <c r="H64" i="585"/>
  <c r="F65" i="585"/>
  <c r="G65" i="585"/>
  <c r="H65" i="585"/>
  <c r="F66" i="585"/>
  <c r="G66" i="585"/>
  <c r="H66" i="585"/>
  <c r="F67" i="585"/>
  <c r="G67" i="585"/>
  <c r="H67" i="585"/>
  <c r="F68" i="585"/>
  <c r="G68" i="585"/>
  <c r="H68" i="585"/>
  <c r="F69" i="585"/>
  <c r="G69" i="585"/>
  <c r="H69" i="585"/>
  <c r="F70" i="585"/>
  <c r="G70" i="585"/>
  <c r="H70" i="585"/>
  <c r="F71" i="585"/>
  <c r="G71" i="585"/>
  <c r="H71" i="585"/>
  <c r="F72" i="585"/>
  <c r="G72" i="585"/>
  <c r="H72" i="585"/>
  <c r="F73" i="585"/>
  <c r="G73" i="585"/>
  <c r="H73" i="585"/>
  <c r="F74" i="585"/>
  <c r="G74" i="585"/>
  <c r="H74" i="585"/>
  <c r="F75" i="585"/>
  <c r="G75" i="585"/>
  <c r="H75" i="585"/>
  <c r="F76" i="585"/>
  <c r="G76" i="585"/>
  <c r="H76" i="585"/>
  <c r="F77" i="585"/>
  <c r="G77" i="585"/>
  <c r="H77" i="585"/>
  <c r="F78" i="585"/>
  <c r="G78" i="585"/>
  <c r="H78" i="585"/>
  <c r="F79" i="585"/>
  <c r="G79" i="585"/>
  <c r="H79" i="585"/>
  <c r="F80" i="585"/>
  <c r="G80" i="585"/>
  <c r="H80" i="585"/>
  <c r="F81" i="585"/>
  <c r="G81" i="585"/>
  <c r="H81" i="585"/>
  <c r="F82" i="585"/>
  <c r="G82" i="585"/>
  <c r="H82" i="585"/>
  <c r="F83" i="585"/>
  <c r="G83" i="585"/>
  <c r="H83" i="585"/>
  <c r="F84" i="585"/>
  <c r="G84" i="585"/>
  <c r="H84" i="585"/>
  <c r="F85" i="585"/>
  <c r="G85" i="585"/>
  <c r="H85" i="585"/>
  <c r="F86" i="585"/>
  <c r="G86" i="585"/>
  <c r="H86" i="585"/>
  <c r="F87" i="585"/>
  <c r="G87" i="585"/>
  <c r="H87" i="585"/>
  <c r="F88" i="585"/>
  <c r="G88" i="585"/>
  <c r="H88" i="585"/>
  <c r="F89" i="585"/>
  <c r="G89" i="585"/>
  <c r="H89" i="585"/>
  <c r="F90" i="585"/>
  <c r="G90" i="585"/>
  <c r="H90" i="585"/>
  <c r="F91" i="585"/>
  <c r="G91" i="585"/>
  <c r="H91" i="585"/>
  <c r="F92" i="585"/>
  <c r="G92" i="585"/>
  <c r="H92" i="585"/>
  <c r="F93" i="585"/>
  <c r="G93" i="585"/>
  <c r="H93" i="585"/>
  <c r="F94" i="585"/>
  <c r="G94" i="585"/>
  <c r="H94" i="585"/>
  <c r="F95" i="585"/>
  <c r="G95" i="585"/>
  <c r="H95" i="585"/>
  <c r="F96" i="585"/>
  <c r="G96" i="585"/>
  <c r="H96" i="585"/>
  <c r="F97" i="585"/>
  <c r="G97" i="585"/>
  <c r="H97" i="585"/>
  <c r="F98" i="585"/>
  <c r="G98" i="585"/>
  <c r="H98" i="585"/>
  <c r="F99" i="585"/>
  <c r="G99" i="585"/>
  <c r="H99" i="585"/>
  <c r="F100" i="585"/>
  <c r="G100" i="585"/>
  <c r="H100" i="585"/>
  <c r="F101" i="585"/>
  <c r="G101" i="585"/>
  <c r="H101" i="585"/>
  <c r="F102" i="585"/>
  <c r="G102" i="585"/>
  <c r="H102" i="585"/>
  <c r="F103" i="585"/>
  <c r="G103" i="585"/>
  <c r="H103" i="585"/>
  <c r="F104" i="585"/>
  <c r="G104" i="585"/>
  <c r="H104" i="585"/>
  <c r="F105" i="585"/>
  <c r="G105" i="585"/>
  <c r="H105" i="585"/>
  <c r="F106" i="585"/>
  <c r="G106" i="585"/>
  <c r="H106" i="585"/>
  <c r="F107" i="585"/>
  <c r="G107" i="585"/>
  <c r="H107" i="585"/>
  <c r="F108" i="585"/>
  <c r="G108" i="585"/>
  <c r="H108" i="585"/>
  <c r="F109" i="585"/>
  <c r="G109" i="585"/>
  <c r="H109" i="585"/>
  <c r="F110" i="585"/>
  <c r="G110" i="585"/>
  <c r="H110" i="585"/>
  <c r="F111" i="585"/>
  <c r="G111" i="585"/>
  <c r="H111" i="585"/>
  <c r="F112" i="585"/>
  <c r="G112" i="585"/>
  <c r="H112" i="585"/>
  <c r="F113" i="585"/>
  <c r="G113" i="585"/>
  <c r="H113" i="585"/>
  <c r="F114" i="585"/>
  <c r="G114" i="585"/>
  <c r="H114" i="585"/>
  <c r="F115" i="585"/>
  <c r="G115" i="585"/>
  <c r="H115" i="585"/>
  <c r="F116" i="585"/>
  <c r="G116" i="585"/>
  <c r="H116" i="585"/>
  <c r="F117" i="585"/>
  <c r="G117" i="585"/>
  <c r="H117" i="585"/>
  <c r="F118" i="585"/>
  <c r="G118" i="585"/>
  <c r="H118" i="585"/>
  <c r="F119" i="585"/>
  <c r="G119" i="585"/>
  <c r="H119" i="585"/>
  <c r="F120" i="585"/>
  <c r="G120" i="585"/>
  <c r="H120" i="585"/>
  <c r="F121" i="585"/>
  <c r="G121" i="585"/>
  <c r="H121" i="585"/>
  <c r="F122" i="585"/>
  <c r="G122" i="585"/>
  <c r="H122" i="585"/>
  <c r="F123" i="585"/>
  <c r="G123" i="585"/>
  <c r="H123" i="585"/>
  <c r="F124" i="585"/>
  <c r="G124" i="585"/>
  <c r="H124" i="585"/>
  <c r="F125" i="585"/>
  <c r="G125" i="585"/>
  <c r="H125" i="585"/>
  <c r="F126" i="585"/>
  <c r="G126" i="585"/>
  <c r="H126" i="585"/>
  <c r="H24" i="570"/>
  <c r="H26" i="570"/>
  <c r="L26" i="570"/>
  <c r="J23" i="570" s="1"/>
  <c r="B38" i="570"/>
  <c r="B39" i="570"/>
  <c r="H13" i="570"/>
  <c r="L13" i="570" s="1"/>
  <c r="E28" i="570"/>
  <c r="J38" i="570"/>
  <c r="H39" i="570"/>
  <c r="E29" i="570"/>
  <c r="G34" i="570"/>
  <c r="G33" i="570"/>
  <c r="I5" i="570"/>
  <c r="H34" i="570"/>
  <c r="I4" i="570"/>
  <c r="H33" i="570"/>
  <c r="G5" i="570"/>
  <c r="F34" i="570"/>
  <c r="G4" i="570"/>
  <c r="F33" i="570" s="1"/>
  <c r="H17" i="570"/>
  <c r="I17" i="570"/>
  <c r="J17" i="570"/>
  <c r="K17" i="570"/>
  <c r="L17" i="570"/>
  <c r="H18" i="570"/>
  <c r="I18" i="570"/>
  <c r="J18" i="570"/>
  <c r="K18" i="570"/>
  <c r="L18" i="570"/>
  <c r="D38" i="570"/>
  <c r="J39" i="570"/>
  <c r="D39" i="570"/>
  <c r="L12" i="570"/>
  <c r="J10" i="570" s="1"/>
  <c r="G128" i="635" l="1"/>
  <c r="G129" i="635" s="1"/>
  <c r="H128" i="635"/>
  <c r="H129" i="635" s="1"/>
  <c r="H128" i="634"/>
  <c r="H129" i="634" s="1"/>
  <c r="F128" i="638"/>
  <c r="F129" i="638" s="1"/>
  <c r="G128" i="638"/>
  <c r="G129" i="638" s="1"/>
  <c r="G128" i="637"/>
  <c r="G129" i="637" s="1"/>
  <c r="H128" i="637"/>
  <c r="H129" i="637" s="1"/>
  <c r="F128" i="637"/>
  <c r="F129" i="637" s="1"/>
  <c r="F128" i="636"/>
  <c r="F129" i="636" s="1"/>
  <c r="G128" i="636"/>
  <c r="G129" i="636" s="1"/>
  <c r="H128" i="636"/>
  <c r="H129" i="636" s="1"/>
  <c r="F128" i="635"/>
  <c r="F129" i="635" s="1"/>
  <c r="H128" i="632"/>
  <c r="H129" i="632" s="1"/>
  <c r="F128" i="634"/>
  <c r="F129" i="634" s="1"/>
  <c r="G128" i="634"/>
  <c r="G129" i="634" s="1"/>
  <c r="G128" i="633"/>
  <c r="G129" i="633" s="1"/>
  <c r="H128" i="633"/>
  <c r="H129" i="633" s="1"/>
  <c r="F128" i="633"/>
  <c r="F129" i="633" s="1"/>
  <c r="F128" i="632"/>
  <c r="F129" i="632" s="1"/>
  <c r="G128" i="632"/>
  <c r="G129" i="632" s="1"/>
  <c r="H23" i="570"/>
  <c r="J24" i="570"/>
  <c r="C129" i="585"/>
  <c r="D129" i="585"/>
  <c r="G128" i="585"/>
  <c r="G129" i="585" s="1"/>
  <c r="F128" i="585"/>
  <c r="H128" i="585"/>
  <c r="H129" i="585" s="1"/>
  <c r="H9" i="570"/>
  <c r="H10" i="570"/>
  <c r="J9" i="570"/>
  <c r="F129" i="585" l="1"/>
</calcChain>
</file>

<file path=xl/sharedStrings.xml><?xml version="1.0" encoding="utf-8"?>
<sst xmlns="http://schemas.openxmlformats.org/spreadsheetml/2006/main" count="176" uniqueCount="41">
  <si>
    <t>x</t>
  </si>
  <si>
    <t>y</t>
  </si>
  <si>
    <t>z</t>
  </si>
  <si>
    <t>Human perception curves</t>
  </si>
  <si>
    <t>rpm</t>
  </si>
  <si>
    <t>amplitude (in)</t>
  </si>
  <si>
    <t>+/- 20% window</t>
  </si>
  <si>
    <t>Machine limits</t>
  </si>
  <si>
    <t>service factor for machine performance</t>
  </si>
  <si>
    <t>(applied only for horizontal amplitude</t>
  </si>
  <si>
    <t>of vibrations)</t>
  </si>
  <si>
    <t>rad/sec</t>
  </si>
  <si>
    <t>Blake 1964</t>
  </si>
  <si>
    <t>Baxter &amp; Bernhard 1967</t>
  </si>
  <si>
    <t>vendor requirements</t>
  </si>
  <si>
    <t>velocity limit:</t>
  </si>
  <si>
    <t>mm/sec</t>
  </si>
  <si>
    <t>in/sec</t>
  </si>
  <si>
    <r>
      <t xml:space="preserve">related amplitude y'/ </t>
    </r>
    <r>
      <rPr>
        <sz val="8"/>
        <rFont val="Symbol"/>
        <family val="1"/>
        <charset val="2"/>
      </rPr>
      <t>w</t>
    </r>
  </si>
  <si>
    <t>in</t>
  </si>
  <si>
    <t>frequency rpm</t>
  </si>
  <si>
    <t>(y) max</t>
  </si>
  <si>
    <t>(y') max</t>
  </si>
  <si>
    <t>mm</t>
  </si>
  <si>
    <t>velocity limit for operating</t>
  </si>
  <si>
    <t>velocity limit for malfunction</t>
  </si>
  <si>
    <r>
      <t xml:space="preserve"> (48 </t>
    </r>
    <r>
      <rPr>
        <sz val="8"/>
        <rFont val="Symbol"/>
        <family val="1"/>
        <charset val="2"/>
      </rPr>
      <t xml:space="preserve">m </t>
    </r>
    <r>
      <rPr>
        <sz val="8"/>
        <rFont val="Arial"/>
        <family val="2"/>
      </rPr>
      <t>m  )</t>
    </r>
  </si>
  <si>
    <r>
      <t xml:space="preserve"> (22 </t>
    </r>
    <r>
      <rPr>
        <sz val="8"/>
        <rFont val="Symbol"/>
        <family val="1"/>
        <charset val="2"/>
      </rPr>
      <t xml:space="preserve">m </t>
    </r>
    <r>
      <rPr>
        <sz val="8"/>
        <rFont val="Arial"/>
        <family val="2"/>
      </rPr>
      <t>m  )</t>
    </r>
  </si>
  <si>
    <r>
      <t>w</t>
    </r>
    <r>
      <rPr>
        <sz val="8"/>
        <rFont val="Arial"/>
        <family val="2"/>
      </rPr>
      <t xml:space="preserve"> motor</t>
    </r>
  </si>
  <si>
    <r>
      <t>w</t>
    </r>
    <r>
      <rPr>
        <sz val="8"/>
        <rFont val="Arial"/>
        <family val="2"/>
      </rPr>
      <t xml:space="preserve"> compressor</t>
    </r>
  </si>
  <si>
    <t>Industry Requirments</t>
  </si>
  <si>
    <t>Point 3: At SW Corner</t>
  </si>
  <si>
    <t>Point 4: At NW Corner</t>
  </si>
  <si>
    <t>Point 6: At SE Corner</t>
  </si>
  <si>
    <t>Point 5: At NE Corner</t>
  </si>
  <si>
    <t>Frequency (rpm)</t>
  </si>
  <si>
    <t>Amplitude (m)</t>
  </si>
  <si>
    <t>Amplitude (in)</t>
  </si>
  <si>
    <t>Lower Bound Soil</t>
  </si>
  <si>
    <t>Pump Operating = 4215 rpm</t>
  </si>
  <si>
    <t>Upper Bound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</si>
</sst>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00"/>
    <numFmt numFmtId="166" formatCode="0.000000"/>
    <numFmt numFmtId="167" formatCode="0.00000000"/>
  </numFmts>
  <fonts count="7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sz val="8"/>
      <name val="Arial"/>
      <family val="2"/>
    </font>
    <font>
      <sz val="8"/>
      <name val="Symbol"/>
      <family val="1"/>
      <charset val="2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49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applyFont="1" applyAlignment="1">
      <alignment horizontal="left"/>
    </xf>
    <xf numFmtId="164" fontId="4" fillId="2" borderId="0" xfId="0" applyNumberFormat="1" applyFont="1" applyFill="1" applyAlignment="1">
      <alignment horizontal="center"/>
    </xf>
    <xf numFmtId="0" fontId="5" fillId="0" borderId="0" xfId="0" applyFont="1"/>
    <xf numFmtId="165" fontId="1" fillId="0" borderId="0" xfId="0" applyNumberFormat="1" applyFont="1"/>
    <xf numFmtId="2" fontId="4" fillId="2" borderId="0" xfId="0" applyNumberFormat="1" applyFont="1" applyFill="1"/>
    <xf numFmtId="1" fontId="1" fillId="2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left"/>
    </xf>
    <xf numFmtId="167" fontId="4" fillId="0" borderId="0" xfId="0" applyNumberFormat="1" applyFont="1"/>
    <xf numFmtId="0" fontId="1" fillId="0" borderId="0" xfId="0" applyFont="1" applyAlignment="1">
      <alignment horizontal="left"/>
    </xf>
    <xf numFmtId="1" fontId="4" fillId="0" borderId="0" xfId="0" applyNumberFormat="1" applyFont="1"/>
    <xf numFmtId="166" fontId="4" fillId="0" borderId="0" xfId="0" applyNumberFormat="1" applyFont="1"/>
    <xf numFmtId="0" fontId="4" fillId="0" borderId="2" xfId="0" applyFont="1" applyBorder="1"/>
    <xf numFmtId="0" fontId="4" fillId="0" borderId="3" xfId="0" applyFont="1" applyBorder="1"/>
    <xf numFmtId="166" fontId="4" fillId="0" borderId="4" xfId="0" applyNumberFormat="1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166" fontId="4" fillId="0" borderId="2" xfId="0" applyNumberFormat="1" applyFont="1" applyBorder="1"/>
    <xf numFmtId="0" fontId="6" fillId="3" borderId="0" xfId="0" applyFont="1" applyFill="1"/>
    <xf numFmtId="1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11" fontId="1" fillId="0" borderId="1" xfId="0" applyNumberFormat="1" applyFont="1" applyBorder="1" applyAlignment="1">
      <alignment horizontal="center"/>
    </xf>
    <xf numFmtId="11" fontId="1" fillId="0" borderId="1" xfId="0" quotePrefix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09322688642802"/>
          <c:y val="5.9952178769903067E-2"/>
          <c:w val="0.73417872778779292"/>
          <c:h val="0.82973815417545849"/>
        </c:manualLayout>
      </c:layout>
      <c:scatterChart>
        <c:scatterStyle val="lineMarker"/>
        <c:varyColors val="0"/>
        <c:ser>
          <c:idx val="15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1.4784808479739018E-4</c:v>
                </c:pt>
                <c:pt idx="1">
                  <c:v>1.4784808479739018E-4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65-4AF7-A396-6A305C425533}"/>
            </c:ext>
          </c:extLst>
        </c:ser>
        <c:ser>
          <c:idx val="17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1424</c:v>
                </c:pt>
                <c:pt idx="1">
                  <c:v>1424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265-4AF7-A396-6A305C425533}"/>
            </c:ext>
          </c:extLst>
        </c:ser>
        <c:ser>
          <c:idx val="18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1780</c:v>
                </c:pt>
                <c:pt idx="1">
                  <c:v>1780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265-4AF7-A396-6A305C425533}"/>
            </c:ext>
          </c:extLst>
        </c:ser>
        <c:ser>
          <c:idx val="19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2136</c:v>
                </c:pt>
                <c:pt idx="1">
                  <c:v>2136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265-4AF7-A396-6A305C425533}"/>
            </c:ext>
          </c:extLst>
        </c:ser>
        <c:ser>
          <c:idx val="3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limits!$A$17:$A$22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limits!$B$17:$B$22</c:f>
              <c:numCache>
                <c:formatCode>General</c:formatCode>
                <c:ptCount val="6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  <c:pt idx="5">
                  <c:v>9.3300000000000005E-6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265-4AF7-A396-6A305C425533}"/>
            </c:ext>
          </c:extLst>
        </c:ser>
        <c:ser>
          <c:idx val="4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limits!$E$17:$E$21</c:f>
              <c:numCache>
                <c:formatCode>General</c:formatCode>
                <c:ptCount val="5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  <c:pt idx="4">
                  <c:v>8.1799999999999996E-6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265-4AF7-A396-6A305C425533}"/>
            </c:ext>
          </c:extLst>
        </c:ser>
        <c:ser>
          <c:idx val="14"/>
          <c:order val="6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limits!$L$17:$L$19</c:f>
              <c:numCache>
                <c:formatCode>General</c:formatCode>
                <c:ptCount val="3"/>
                <c:pt idx="0">
                  <c:v>7.4999999999999997E-3</c:v>
                </c:pt>
                <c:pt idx="1">
                  <c:v>6.5000000000000008E-5</c:v>
                </c:pt>
                <c:pt idx="2" formatCode="0.00000000">
                  <c:v>6.1999999999999999E-6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265-4AF7-A396-6A305C425533}"/>
            </c:ext>
          </c:extLst>
        </c:ser>
        <c:ser>
          <c:idx val="13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limits!$K$17:$K$19</c:f>
              <c:numCache>
                <c:formatCode>General</c:formatCode>
                <c:ptCount val="3"/>
                <c:pt idx="0">
                  <c:v>3.7499999999999999E-3</c:v>
                </c:pt>
                <c:pt idx="1">
                  <c:v>3.5000000000000004E-5</c:v>
                </c:pt>
                <c:pt idx="2" formatCode="0.00000000">
                  <c:v>3.4400000000000001E-6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265-4AF7-A396-6A305C425533}"/>
            </c:ext>
          </c:extLst>
        </c:ser>
        <c:ser>
          <c:idx val="12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limits!$J$17:$J$19</c:f>
              <c:numCache>
                <c:formatCode>General</c:formatCode>
                <c:ptCount val="3"/>
                <c:pt idx="0">
                  <c:v>1.75E-3</c:v>
                </c:pt>
                <c:pt idx="1">
                  <c:v>1.6500000000000001E-5</c:v>
                </c:pt>
                <c:pt idx="2" formatCode="0.00000000">
                  <c:v>1.64E-6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265-4AF7-A396-6A305C425533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limits!$I$17:$I$19</c:f>
              <c:numCache>
                <c:formatCode>General</c:formatCode>
                <c:ptCount val="3"/>
                <c:pt idx="0">
                  <c:v>9.5E-4</c:v>
                </c:pt>
                <c:pt idx="1">
                  <c:v>9.5000000000000005E-6</c:v>
                </c:pt>
                <c:pt idx="2" formatCode="0.00000000">
                  <c:v>9.33E-7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265-4AF7-A396-6A305C425533}"/>
            </c:ext>
          </c:extLst>
        </c:ser>
        <c:ser>
          <c:idx val="10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limits!$H$17:$H$19</c:f>
              <c:numCache>
                <c:formatCode>General</c:formatCode>
                <c:ptCount val="3"/>
                <c:pt idx="0">
                  <c:v>4.4999999999999999E-4</c:v>
                </c:pt>
                <c:pt idx="1">
                  <c:v>3.9999999999999998E-6</c:v>
                </c:pt>
                <c:pt idx="2" formatCode="0.00000000">
                  <c:v>3.5499999999999999E-7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265-4AF7-A396-6A305C425533}"/>
            </c:ext>
          </c:extLst>
        </c:ser>
        <c:ser>
          <c:idx val="25"/>
          <c:order val="11"/>
          <c:spPr>
            <a:ln w="19050">
              <a:solidFill>
                <a:srgbClr val="0070C0"/>
              </a:solidFill>
              <a:prstDash val="solid"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P3_LB!$A$7:$A$126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P3_LB!$F$7:$F$126</c:f>
              <c:numCache>
                <c:formatCode>0.00E+00</c:formatCode>
                <c:ptCount val="120"/>
                <c:pt idx="0">
                  <c:v>6.8937007874015754E-8</c:v>
                </c:pt>
                <c:pt idx="1">
                  <c:v>2.6850393700787401E-7</c:v>
                </c:pt>
                <c:pt idx="2">
                  <c:v>6.0551181102362198E-7</c:v>
                </c:pt>
                <c:pt idx="3">
                  <c:v>1.1110236220472443E-6</c:v>
                </c:pt>
                <c:pt idx="4">
                  <c:v>1.7692913385826776E-6</c:v>
                </c:pt>
                <c:pt idx="5">
                  <c:v>2.6377952755905512E-6</c:v>
                </c:pt>
                <c:pt idx="6">
                  <c:v>3.7401574803149604E-6</c:v>
                </c:pt>
                <c:pt idx="7">
                  <c:v>5.1496062992125992E-6</c:v>
                </c:pt>
                <c:pt idx="8">
                  <c:v>6.9370078740157483E-6</c:v>
                </c:pt>
                <c:pt idx="9">
                  <c:v>9.1338582677165342E-6</c:v>
                </c:pt>
                <c:pt idx="10">
                  <c:v>1.1484251968503937E-5</c:v>
                </c:pt>
                <c:pt idx="11">
                  <c:v>1.3779527559055119E-5</c:v>
                </c:pt>
                <c:pt idx="12">
                  <c:v>1.6062992125984252E-5</c:v>
                </c:pt>
                <c:pt idx="13">
                  <c:v>1.8464566929133858E-5</c:v>
                </c:pt>
                <c:pt idx="14">
                  <c:v>2.1062992125984258E-5</c:v>
                </c:pt>
                <c:pt idx="15">
                  <c:v>2.3937007874015752E-5</c:v>
                </c:pt>
                <c:pt idx="16">
                  <c:v>2.7173228346456692E-5</c:v>
                </c:pt>
                <c:pt idx="17">
                  <c:v>3.0834645669291338E-5</c:v>
                </c:pt>
                <c:pt idx="18">
                  <c:v>3.5003937007874018E-5</c:v>
                </c:pt>
                <c:pt idx="19">
                  <c:v>3.9610236220472445E-5</c:v>
                </c:pt>
                <c:pt idx="20">
                  <c:v>4.4614173228346459E-5</c:v>
                </c:pt>
                <c:pt idx="21">
                  <c:v>4.989370078740157E-5</c:v>
                </c:pt>
                <c:pt idx="22">
                  <c:v>5.5566929133858268E-5</c:v>
                </c:pt>
                <c:pt idx="23">
                  <c:v>6.0070866141732283E-5</c:v>
                </c:pt>
                <c:pt idx="24">
                  <c:v>6.4594488188976385E-5</c:v>
                </c:pt>
                <c:pt idx="25">
                  <c:v>6.7956692913385833E-5</c:v>
                </c:pt>
                <c:pt idx="26">
                  <c:v>7.055905511811023E-5</c:v>
                </c:pt>
                <c:pt idx="27">
                  <c:v>7.2000000000000002E-5</c:v>
                </c:pt>
                <c:pt idx="28">
                  <c:v>7.3074803149606295E-5</c:v>
                </c:pt>
                <c:pt idx="29">
                  <c:v>7.4165354330708673E-5</c:v>
                </c:pt>
                <c:pt idx="30">
                  <c:v>7.5267716535433075E-5</c:v>
                </c:pt>
                <c:pt idx="31">
                  <c:v>7.6377952755905519E-5</c:v>
                </c:pt>
                <c:pt idx="32">
                  <c:v>7.8271653543307088E-5</c:v>
                </c:pt>
                <c:pt idx="33">
                  <c:v>8.0165354330708657E-5</c:v>
                </c:pt>
                <c:pt idx="34">
                  <c:v>8.2444881889763769E-5</c:v>
                </c:pt>
                <c:pt idx="35">
                  <c:v>8.4720472440944888E-5</c:v>
                </c:pt>
                <c:pt idx="36">
                  <c:v>8.7000000000000001E-5</c:v>
                </c:pt>
                <c:pt idx="37">
                  <c:v>8.9291338582677177E-5</c:v>
                </c:pt>
                <c:pt idx="38">
                  <c:v>9.1204724409448812E-5</c:v>
                </c:pt>
                <c:pt idx="39">
                  <c:v>9.274409448818898E-5</c:v>
                </c:pt>
                <c:pt idx="40">
                  <c:v>9.4307086614173221E-5</c:v>
                </c:pt>
                <c:pt idx="41">
                  <c:v>9.589370078740159E-5</c:v>
                </c:pt>
                <c:pt idx="42">
                  <c:v>9.671653543307086E-5</c:v>
                </c:pt>
                <c:pt idx="43">
                  <c:v>9.7952755905511823E-5</c:v>
                </c:pt>
                <c:pt idx="44">
                  <c:v>9.8814960629921251E-5</c:v>
                </c:pt>
                <c:pt idx="45">
                  <c:v>9.9299212598425205E-5</c:v>
                </c:pt>
                <c:pt idx="46">
                  <c:v>9.9795275590551196E-5</c:v>
                </c:pt>
                <c:pt idx="47">
                  <c:v>1.002992125984252E-4</c:v>
                </c:pt>
                <c:pt idx="48">
                  <c:v>1.0080708661417323E-4</c:v>
                </c:pt>
                <c:pt idx="49">
                  <c:v>1.0131102362204725E-4</c:v>
                </c:pt>
                <c:pt idx="50">
                  <c:v>1.0140944881889765E-4</c:v>
                </c:pt>
                <c:pt idx="51">
                  <c:v>1.0148818897637795E-4</c:v>
                </c:pt>
                <c:pt idx="52">
                  <c:v>1.0116141732283464E-4</c:v>
                </c:pt>
                <c:pt idx="53">
                  <c:v>1.0120472440944882E-4</c:v>
                </c:pt>
                <c:pt idx="54">
                  <c:v>1.0085433070866143E-4</c:v>
                </c:pt>
                <c:pt idx="55">
                  <c:v>1.0050000000000002E-4</c:v>
                </c:pt>
                <c:pt idx="56">
                  <c:v>1.0013779527559056E-4</c:v>
                </c:pt>
                <c:pt idx="57">
                  <c:v>9.975590551181101E-5</c:v>
                </c:pt>
                <c:pt idx="58">
                  <c:v>9.9354330708661422E-5</c:v>
                </c:pt>
                <c:pt idx="59">
                  <c:v>9.8940944881889783E-5</c:v>
                </c:pt>
                <c:pt idx="60">
                  <c:v>9.8527559055118104E-5</c:v>
                </c:pt>
                <c:pt idx="61">
                  <c:v>9.7728346456692908E-5</c:v>
                </c:pt>
                <c:pt idx="62">
                  <c:v>9.7326771653543319E-5</c:v>
                </c:pt>
                <c:pt idx="63">
                  <c:v>9.6929133858267725E-5</c:v>
                </c:pt>
                <c:pt idx="64">
                  <c:v>9.6535433070866152E-5</c:v>
                </c:pt>
                <c:pt idx="65">
                  <c:v>9.6145669291338587E-5</c:v>
                </c:pt>
                <c:pt idx="66">
                  <c:v>9.5751968503937014E-5</c:v>
                </c:pt>
                <c:pt idx="67">
                  <c:v>9.5358267716535441E-5</c:v>
                </c:pt>
                <c:pt idx="68">
                  <c:v>9.4956692913385839E-5</c:v>
                </c:pt>
                <c:pt idx="69">
                  <c:v>9.455511811023621E-5</c:v>
                </c:pt>
                <c:pt idx="70">
                  <c:v>9.4149606299212614E-5</c:v>
                </c:pt>
                <c:pt idx="71">
                  <c:v>9.4133858267716542E-5</c:v>
                </c:pt>
                <c:pt idx="72">
                  <c:v>9.3720472440944876E-5</c:v>
                </c:pt>
                <c:pt idx="73">
                  <c:v>9.3307086614173237E-5</c:v>
                </c:pt>
                <c:pt idx="74">
                  <c:v>9.328346456692915E-5</c:v>
                </c:pt>
                <c:pt idx="75">
                  <c:v>9.2866141732283463E-5</c:v>
                </c:pt>
                <c:pt idx="76">
                  <c:v>9.2842519685039363E-5</c:v>
                </c:pt>
                <c:pt idx="77">
                  <c:v>9.2421259842519681E-5</c:v>
                </c:pt>
                <c:pt idx="78">
                  <c:v>9.2003937007874008E-5</c:v>
                </c:pt>
                <c:pt idx="79">
                  <c:v>9.1582677165354354E-5</c:v>
                </c:pt>
                <c:pt idx="80">
                  <c:v>9.1559055118110253E-5</c:v>
                </c:pt>
                <c:pt idx="81">
                  <c:v>9.1137795275590558E-5</c:v>
                </c:pt>
                <c:pt idx="82">
                  <c:v>9.0720472440944871E-5</c:v>
                </c:pt>
                <c:pt idx="83">
                  <c:v>9.0303149606299225E-5</c:v>
                </c:pt>
                <c:pt idx="84">
                  <c:v>8.9889763779527559E-5</c:v>
                </c:pt>
                <c:pt idx="85">
                  <c:v>8.9472440944881899E-5</c:v>
                </c:pt>
                <c:pt idx="86">
                  <c:v>8.866535433070866E-5</c:v>
                </c:pt>
                <c:pt idx="87">
                  <c:v>8.8255905511811029E-5</c:v>
                </c:pt>
                <c:pt idx="88">
                  <c:v>8.7842519685039377E-5</c:v>
                </c:pt>
                <c:pt idx="89">
                  <c:v>8.7433070866141746E-5</c:v>
                </c:pt>
                <c:pt idx="90">
                  <c:v>8.7023622047244101E-5</c:v>
                </c:pt>
                <c:pt idx="91">
                  <c:v>8.661417322834647E-5</c:v>
                </c:pt>
                <c:pt idx="92">
                  <c:v>8.6204724409448839E-5</c:v>
                </c:pt>
                <c:pt idx="93">
                  <c:v>8.5795275590551195E-5</c:v>
                </c:pt>
                <c:pt idx="94">
                  <c:v>8.5385826771653536E-5</c:v>
                </c:pt>
                <c:pt idx="95">
                  <c:v>8.4976377952755905E-5</c:v>
                </c:pt>
                <c:pt idx="96">
                  <c:v>8.4566929133858275E-5</c:v>
                </c:pt>
                <c:pt idx="97">
                  <c:v>8.415748031496063E-5</c:v>
                </c:pt>
                <c:pt idx="98">
                  <c:v>8.3748031496062985E-5</c:v>
                </c:pt>
                <c:pt idx="99">
                  <c:v>8.3736220472440935E-5</c:v>
                </c:pt>
                <c:pt idx="100">
                  <c:v>8.3330708661417312E-5</c:v>
                </c:pt>
                <c:pt idx="101">
                  <c:v>8.3318897637795275E-5</c:v>
                </c:pt>
                <c:pt idx="102">
                  <c:v>8.2913385826771652E-5</c:v>
                </c:pt>
                <c:pt idx="103">
                  <c:v>8.2901574803149602E-5</c:v>
                </c:pt>
                <c:pt idx="104">
                  <c:v>8.2496062992125978E-5</c:v>
                </c:pt>
                <c:pt idx="105">
                  <c:v>8.2488188976377963E-5</c:v>
                </c:pt>
                <c:pt idx="106">
                  <c:v>8.2086614173228374E-5</c:v>
                </c:pt>
                <c:pt idx="107">
                  <c:v>8.2078740157480332E-5</c:v>
                </c:pt>
                <c:pt idx="108">
                  <c:v>8.2070866141732303E-5</c:v>
                </c:pt>
                <c:pt idx="109">
                  <c:v>8.1669291338582687E-5</c:v>
                </c:pt>
                <c:pt idx="110">
                  <c:v>8.1661417322834645E-5</c:v>
                </c:pt>
                <c:pt idx="111">
                  <c:v>8.1259842519685043E-5</c:v>
                </c:pt>
                <c:pt idx="112">
                  <c:v>8.0862204724409448E-5</c:v>
                </c:pt>
                <c:pt idx="113">
                  <c:v>8.0854330708661419E-5</c:v>
                </c:pt>
                <c:pt idx="114">
                  <c:v>8.0452755905511817E-5</c:v>
                </c:pt>
                <c:pt idx="115">
                  <c:v>8.0055118110236223E-5</c:v>
                </c:pt>
                <c:pt idx="116">
                  <c:v>7.9653543307086621E-5</c:v>
                </c:pt>
                <c:pt idx="117">
                  <c:v>7.9255905511811027E-5</c:v>
                </c:pt>
                <c:pt idx="118">
                  <c:v>7.8854330708661411E-5</c:v>
                </c:pt>
                <c:pt idx="119">
                  <c:v>7.8062992125984244E-5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265-4AF7-A396-6A305C425533}"/>
            </c:ext>
          </c:extLst>
        </c:ser>
        <c:ser>
          <c:idx val="26"/>
          <c:order val="12"/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triangle"/>
            <c:size val="3"/>
            <c:spPr>
              <a:noFill/>
              <a:ln w="9525">
                <a:noFill/>
              </a:ln>
            </c:spPr>
          </c:marker>
          <c:xVal>
            <c:numRef>
              <c:f>P3_LB!$A$7:$A$126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P3_LB!$G$7:$G$126</c:f>
              <c:numCache>
                <c:formatCode>0.00E+00</c:formatCode>
                <c:ptCount val="120"/>
                <c:pt idx="0">
                  <c:v>9.8937007874015741E-9</c:v>
                </c:pt>
                <c:pt idx="1">
                  <c:v>3.854330708661418E-8</c:v>
                </c:pt>
                <c:pt idx="2">
                  <c:v>8.740157480314962E-8</c:v>
                </c:pt>
                <c:pt idx="3">
                  <c:v>1.614173228346457E-7</c:v>
                </c:pt>
                <c:pt idx="4">
                  <c:v>2.5826771653543311E-7</c:v>
                </c:pt>
                <c:pt idx="5">
                  <c:v>3.858267716535433E-7</c:v>
                </c:pt>
                <c:pt idx="6">
                  <c:v>5.4409448818897636E-7</c:v>
                </c:pt>
                <c:pt idx="7">
                  <c:v>7.38976377952756E-7</c:v>
                </c:pt>
                <c:pt idx="8">
                  <c:v>9.6850393700787414E-7</c:v>
                </c:pt>
                <c:pt idx="9">
                  <c:v>1.2283464566929135E-6</c:v>
                </c:pt>
                <c:pt idx="10">
                  <c:v>1.5078740157480316E-6</c:v>
                </c:pt>
                <c:pt idx="11">
                  <c:v>1.8031496062992128E-6</c:v>
                </c:pt>
                <c:pt idx="12">
                  <c:v>2.1299212598425198E-6</c:v>
                </c:pt>
                <c:pt idx="13">
                  <c:v>2.5000000000000006E-6</c:v>
                </c:pt>
                <c:pt idx="14">
                  <c:v>2.8976377952755906E-6</c:v>
                </c:pt>
                <c:pt idx="15">
                  <c:v>3.2913385826771657E-6</c:v>
                </c:pt>
                <c:pt idx="16">
                  <c:v>3.6732283464566926E-6</c:v>
                </c:pt>
                <c:pt idx="17">
                  <c:v>4.0433070866141738E-6</c:v>
                </c:pt>
                <c:pt idx="18">
                  <c:v>4.3976377952755907E-6</c:v>
                </c:pt>
                <c:pt idx="19">
                  <c:v>4.7440944881889768E-6</c:v>
                </c:pt>
                <c:pt idx="20">
                  <c:v>5.0866141732283467E-6</c:v>
                </c:pt>
                <c:pt idx="21">
                  <c:v>5.4133858267716544E-6</c:v>
                </c:pt>
                <c:pt idx="22">
                  <c:v>5.7598425196850388E-6</c:v>
                </c:pt>
                <c:pt idx="23">
                  <c:v>6.1338582677165358E-6</c:v>
                </c:pt>
                <c:pt idx="24">
                  <c:v>6.6220472440944892E-6</c:v>
                </c:pt>
                <c:pt idx="25">
                  <c:v>7.1850393700787403E-6</c:v>
                </c:pt>
                <c:pt idx="26">
                  <c:v>7.8661417322834656E-6</c:v>
                </c:pt>
                <c:pt idx="27">
                  <c:v>8.6692913385826798E-6</c:v>
                </c:pt>
                <c:pt idx="28">
                  <c:v>9.5511811023622061E-6</c:v>
                </c:pt>
                <c:pt idx="29">
                  <c:v>1.0555118110236221E-5</c:v>
                </c:pt>
                <c:pt idx="30">
                  <c:v>1.1598425196850395E-5</c:v>
                </c:pt>
                <c:pt idx="31">
                  <c:v>1.2681102362204726E-5</c:v>
                </c:pt>
                <c:pt idx="32">
                  <c:v>1.3720472440944882E-5</c:v>
                </c:pt>
                <c:pt idx="33">
                  <c:v>1.4795275590551183E-5</c:v>
                </c:pt>
                <c:pt idx="34">
                  <c:v>1.5783464566929133E-5</c:v>
                </c:pt>
                <c:pt idx="35">
                  <c:v>1.6692913385826777E-5</c:v>
                </c:pt>
                <c:pt idx="36">
                  <c:v>1.7519685039370078E-5</c:v>
                </c:pt>
                <c:pt idx="37">
                  <c:v>1.8228346456692913E-5</c:v>
                </c:pt>
                <c:pt idx="38">
                  <c:v>1.889763779527559E-5</c:v>
                </c:pt>
                <c:pt idx="39">
                  <c:v>1.945669291338583E-5</c:v>
                </c:pt>
                <c:pt idx="40">
                  <c:v>1.9937007874015753E-5</c:v>
                </c:pt>
                <c:pt idx="41">
                  <c:v>2.0342519685039369E-5</c:v>
                </c:pt>
                <c:pt idx="42">
                  <c:v>2.0673228346456689E-5</c:v>
                </c:pt>
                <c:pt idx="43">
                  <c:v>2.0964566929133858E-5</c:v>
                </c:pt>
                <c:pt idx="44">
                  <c:v>2.1220472440944883E-5</c:v>
                </c:pt>
                <c:pt idx="45">
                  <c:v>2.1401574803149611E-5</c:v>
                </c:pt>
                <c:pt idx="46">
                  <c:v>2.159448818897638E-5</c:v>
                </c:pt>
                <c:pt idx="47">
                  <c:v>2.1755905511811025E-5</c:v>
                </c:pt>
                <c:pt idx="48">
                  <c:v>2.1893700787401574E-5</c:v>
                </c:pt>
                <c:pt idx="49">
                  <c:v>2.2047244094488194E-5</c:v>
                </c:pt>
                <c:pt idx="50">
                  <c:v>2.2137795275590551E-5</c:v>
                </c:pt>
                <c:pt idx="51">
                  <c:v>2.2244094488188977E-5</c:v>
                </c:pt>
                <c:pt idx="52">
                  <c:v>2.2326771653543312E-5</c:v>
                </c:pt>
                <c:pt idx="53">
                  <c:v>2.2370078740157479E-5</c:v>
                </c:pt>
                <c:pt idx="54">
                  <c:v>2.2354330708661421E-5</c:v>
                </c:pt>
                <c:pt idx="55">
                  <c:v>2.2248031496062995E-5</c:v>
                </c:pt>
                <c:pt idx="56">
                  <c:v>2.2031496062992129E-5</c:v>
                </c:pt>
                <c:pt idx="57">
                  <c:v>2.1771653543307083E-5</c:v>
                </c:pt>
                <c:pt idx="58">
                  <c:v>2.1586614173228344E-5</c:v>
                </c:pt>
                <c:pt idx="59">
                  <c:v>2.1476377952755907E-5</c:v>
                </c:pt>
                <c:pt idx="60">
                  <c:v>2.1397637795275593E-5</c:v>
                </c:pt>
                <c:pt idx="61">
                  <c:v>2.1326771653543308E-5</c:v>
                </c:pt>
                <c:pt idx="62">
                  <c:v>2.1248031496062991E-5</c:v>
                </c:pt>
                <c:pt idx="63">
                  <c:v>2.1165354330708659E-5</c:v>
                </c:pt>
                <c:pt idx="64">
                  <c:v>2.1074803149606298E-5</c:v>
                </c:pt>
                <c:pt idx="65">
                  <c:v>2.1019685039370085E-5</c:v>
                </c:pt>
                <c:pt idx="66">
                  <c:v>2.0925196850393699E-5</c:v>
                </c:pt>
                <c:pt idx="67">
                  <c:v>2.086220472440945E-5</c:v>
                </c:pt>
                <c:pt idx="68">
                  <c:v>2.0763779527559054E-5</c:v>
                </c:pt>
                <c:pt idx="69">
                  <c:v>2.069685039370079E-5</c:v>
                </c:pt>
                <c:pt idx="70">
                  <c:v>2.062992125984252E-5</c:v>
                </c:pt>
                <c:pt idx="71">
                  <c:v>2.0559055118110238E-5</c:v>
                </c:pt>
                <c:pt idx="72">
                  <c:v>2.0488188976377957E-5</c:v>
                </c:pt>
                <c:pt idx="73">
                  <c:v>2.0448818897637798E-5</c:v>
                </c:pt>
                <c:pt idx="74">
                  <c:v>2.0374015748031499E-5</c:v>
                </c:pt>
                <c:pt idx="75">
                  <c:v>2.029133858267717E-5</c:v>
                </c:pt>
                <c:pt idx="76">
                  <c:v>2.0212598425196853E-5</c:v>
                </c:pt>
                <c:pt idx="77">
                  <c:v>2.0086614173228348E-5</c:v>
                </c:pt>
                <c:pt idx="78">
                  <c:v>2.000393700787402E-5</c:v>
                </c:pt>
                <c:pt idx="79">
                  <c:v>1.9877952755905515E-5</c:v>
                </c:pt>
                <c:pt idx="80">
                  <c:v>1.9755905511811027E-5</c:v>
                </c:pt>
                <c:pt idx="81">
                  <c:v>1.9629921259842519E-5</c:v>
                </c:pt>
                <c:pt idx="82">
                  <c:v>1.9503937007874014E-5</c:v>
                </c:pt>
                <c:pt idx="83">
                  <c:v>1.9377952755905516E-5</c:v>
                </c:pt>
                <c:pt idx="84">
                  <c:v>1.9212598425196852E-5</c:v>
                </c:pt>
                <c:pt idx="85">
                  <c:v>1.9051181102362207E-5</c:v>
                </c:pt>
                <c:pt idx="86">
                  <c:v>1.8925196850393702E-5</c:v>
                </c:pt>
                <c:pt idx="87">
                  <c:v>1.8763779527559059E-5</c:v>
                </c:pt>
                <c:pt idx="88">
                  <c:v>1.8637795275590554E-5</c:v>
                </c:pt>
                <c:pt idx="89">
                  <c:v>1.8515748031496064E-5</c:v>
                </c:pt>
                <c:pt idx="90">
                  <c:v>1.8393700787401577E-5</c:v>
                </c:pt>
                <c:pt idx="91">
                  <c:v>1.827165354330709E-5</c:v>
                </c:pt>
                <c:pt idx="92">
                  <c:v>1.8188976377952758E-5</c:v>
                </c:pt>
                <c:pt idx="93">
                  <c:v>1.8106299212598426E-5</c:v>
                </c:pt>
                <c:pt idx="94">
                  <c:v>1.8062992125984253E-5</c:v>
                </c:pt>
                <c:pt idx="95">
                  <c:v>1.8023622047244094E-5</c:v>
                </c:pt>
                <c:pt idx="96">
                  <c:v>1.7980314960629921E-5</c:v>
                </c:pt>
                <c:pt idx="97">
                  <c:v>1.7937007874015748E-5</c:v>
                </c:pt>
                <c:pt idx="98">
                  <c:v>1.7933070866141733E-5</c:v>
                </c:pt>
                <c:pt idx="99">
                  <c:v>1.7893700787401575E-5</c:v>
                </c:pt>
                <c:pt idx="100">
                  <c:v>1.788976377952756E-5</c:v>
                </c:pt>
                <c:pt idx="101">
                  <c:v>1.7929133858267719E-5</c:v>
                </c:pt>
                <c:pt idx="102">
                  <c:v>1.7925196850393701E-5</c:v>
                </c:pt>
                <c:pt idx="103">
                  <c:v>1.796456692913386E-5</c:v>
                </c:pt>
                <c:pt idx="104">
                  <c:v>1.8003937007874018E-5</c:v>
                </c:pt>
                <c:pt idx="105">
                  <c:v>1.8078740157480314E-5</c:v>
                </c:pt>
                <c:pt idx="106">
                  <c:v>1.8118110236220473E-5</c:v>
                </c:pt>
                <c:pt idx="107">
                  <c:v>1.819685039370079E-5</c:v>
                </c:pt>
                <c:pt idx="108">
                  <c:v>1.8271653543307086E-5</c:v>
                </c:pt>
                <c:pt idx="109">
                  <c:v>1.83503937007874E-5</c:v>
                </c:pt>
                <c:pt idx="110">
                  <c:v>1.8429133858267718E-5</c:v>
                </c:pt>
                <c:pt idx="111">
                  <c:v>1.8503937007874017E-5</c:v>
                </c:pt>
                <c:pt idx="112">
                  <c:v>1.8582677165354331E-5</c:v>
                </c:pt>
                <c:pt idx="113">
                  <c:v>1.8661417322834645E-5</c:v>
                </c:pt>
                <c:pt idx="114">
                  <c:v>1.8696850393700789E-5</c:v>
                </c:pt>
                <c:pt idx="115">
                  <c:v>1.8736220472440944E-5</c:v>
                </c:pt>
                <c:pt idx="116">
                  <c:v>1.8775590551181106E-5</c:v>
                </c:pt>
                <c:pt idx="117">
                  <c:v>1.8811023622047247E-5</c:v>
                </c:pt>
                <c:pt idx="118">
                  <c:v>1.8771653543307088E-5</c:v>
                </c:pt>
                <c:pt idx="119">
                  <c:v>1.873228346456693E-5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265-4AF7-A396-6A305C425533}"/>
            </c:ext>
          </c:extLst>
        </c:ser>
        <c:ser>
          <c:idx val="27"/>
          <c:order val="13"/>
          <c:spPr>
            <a:ln w="19050">
              <a:solidFill>
                <a:srgbClr val="00B05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xVal>
            <c:numRef>
              <c:f>P3_LB!$A$7:$A$126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P3_LB!$H$7:$H$126</c:f>
              <c:numCache>
                <c:formatCode>0.00E+00</c:formatCode>
                <c:ptCount val="120"/>
                <c:pt idx="0">
                  <c:v>1.6377952755905514E-8</c:v>
                </c:pt>
                <c:pt idx="1">
                  <c:v>6.614173228346457E-8</c:v>
                </c:pt>
                <c:pt idx="2">
                  <c:v>1.4999999999999999E-7</c:v>
                </c:pt>
                <c:pt idx="3">
                  <c:v>2.6968503937007878E-7</c:v>
                </c:pt>
                <c:pt idx="4">
                  <c:v>4.3110236220472446E-7</c:v>
                </c:pt>
                <c:pt idx="5">
                  <c:v>6.4094488188976379E-7</c:v>
                </c:pt>
                <c:pt idx="6">
                  <c:v>9.1535433070866142E-7</c:v>
                </c:pt>
                <c:pt idx="7">
                  <c:v>1.2716535433070869E-6</c:v>
                </c:pt>
                <c:pt idx="8">
                  <c:v>1.736220472440945E-6</c:v>
                </c:pt>
                <c:pt idx="9">
                  <c:v>2.3031496062992129E-6</c:v>
                </c:pt>
                <c:pt idx="10">
                  <c:v>2.8818897637795275E-6</c:v>
                </c:pt>
                <c:pt idx="11">
                  <c:v>3.4055118110236225E-6</c:v>
                </c:pt>
                <c:pt idx="12">
                  <c:v>3.8661417322834641E-6</c:v>
                </c:pt>
                <c:pt idx="13">
                  <c:v>4.3149606299212606E-6</c:v>
                </c:pt>
                <c:pt idx="14">
                  <c:v>4.8110236220472438E-6</c:v>
                </c:pt>
                <c:pt idx="15">
                  <c:v>5.3858267716535443E-6</c:v>
                </c:pt>
                <c:pt idx="16">
                  <c:v>6.0590551181102373E-6</c:v>
                </c:pt>
                <c:pt idx="17">
                  <c:v>6.8425196850393695E-6</c:v>
                </c:pt>
                <c:pt idx="18">
                  <c:v>7.7559055118110238E-6</c:v>
                </c:pt>
                <c:pt idx="19">
                  <c:v>8.8070866141732283E-6</c:v>
                </c:pt>
                <c:pt idx="20">
                  <c:v>9.9488188976377936E-6</c:v>
                </c:pt>
                <c:pt idx="21">
                  <c:v>1.1220472440944883E-5</c:v>
                </c:pt>
                <c:pt idx="22">
                  <c:v>1.2539370078740158E-5</c:v>
                </c:pt>
                <c:pt idx="23">
                  <c:v>1.3744094488188979E-5</c:v>
                </c:pt>
                <c:pt idx="24">
                  <c:v>1.4826771653543308E-5</c:v>
                </c:pt>
                <c:pt idx="25">
                  <c:v>1.5751968503937007E-5</c:v>
                </c:pt>
                <c:pt idx="26">
                  <c:v>1.6393700787401576E-5</c:v>
                </c:pt>
                <c:pt idx="27">
                  <c:v>1.6751968503937008E-5</c:v>
                </c:pt>
                <c:pt idx="28">
                  <c:v>1.6901574803149607E-5</c:v>
                </c:pt>
                <c:pt idx="29">
                  <c:v>1.6850393700787401E-5</c:v>
                </c:pt>
                <c:pt idx="30">
                  <c:v>1.6716535433070867E-5</c:v>
                </c:pt>
                <c:pt idx="31">
                  <c:v>1.6500000000000001E-5</c:v>
                </c:pt>
                <c:pt idx="32">
                  <c:v>1.6283464566929135E-5</c:v>
                </c:pt>
                <c:pt idx="33">
                  <c:v>1.6078740157480313E-5</c:v>
                </c:pt>
                <c:pt idx="34">
                  <c:v>1.5889763779527559E-5</c:v>
                </c:pt>
                <c:pt idx="35">
                  <c:v>1.5763779527559058E-5</c:v>
                </c:pt>
                <c:pt idx="36">
                  <c:v>1.5665354330708661E-5</c:v>
                </c:pt>
                <c:pt idx="37">
                  <c:v>1.5649606299212599E-5</c:v>
                </c:pt>
                <c:pt idx="38">
                  <c:v>1.5641732283464567E-5</c:v>
                </c:pt>
                <c:pt idx="39">
                  <c:v>1.5748031496062993E-5</c:v>
                </c:pt>
                <c:pt idx="40">
                  <c:v>1.5866141732283465E-5</c:v>
                </c:pt>
                <c:pt idx="41">
                  <c:v>1.6062992125984252E-5</c:v>
                </c:pt>
                <c:pt idx="42">
                  <c:v>1.6338582677165356E-5</c:v>
                </c:pt>
                <c:pt idx="43">
                  <c:v>1.6732283464566928E-5</c:v>
                </c:pt>
                <c:pt idx="44">
                  <c:v>1.7244094488188977E-5</c:v>
                </c:pt>
                <c:pt idx="45">
                  <c:v>1.7952755905511813E-5</c:v>
                </c:pt>
                <c:pt idx="46">
                  <c:v>1.8818897637795276E-5</c:v>
                </c:pt>
                <c:pt idx="47">
                  <c:v>1.9921259842519688E-5</c:v>
                </c:pt>
                <c:pt idx="48">
                  <c:v>2.1220472440944886E-5</c:v>
                </c:pt>
                <c:pt idx="49">
                  <c:v>2.2795275590551185E-5</c:v>
                </c:pt>
                <c:pt idx="50">
                  <c:v>2.4606299212598421E-5</c:v>
                </c:pt>
                <c:pt idx="51">
                  <c:v>2.6811023622047248E-5</c:v>
                </c:pt>
                <c:pt idx="52">
                  <c:v>2.9488188976377955E-5</c:v>
                </c:pt>
                <c:pt idx="53">
                  <c:v>3.2677165354330711E-5</c:v>
                </c:pt>
                <c:pt idx="54">
                  <c:v>3.5944881889763777E-5</c:v>
                </c:pt>
                <c:pt idx="55">
                  <c:v>3.8740157480314967E-5</c:v>
                </c:pt>
                <c:pt idx="56">
                  <c:v>4.000000000000001E-5</c:v>
                </c:pt>
                <c:pt idx="57">
                  <c:v>3.8779527559055126E-5</c:v>
                </c:pt>
                <c:pt idx="58">
                  <c:v>3.5433070866141735E-5</c:v>
                </c:pt>
                <c:pt idx="59">
                  <c:v>3.1456692913385827E-5</c:v>
                </c:pt>
                <c:pt idx="60">
                  <c:v>2.7834645669291339E-5</c:v>
                </c:pt>
                <c:pt idx="61">
                  <c:v>2.4960629921259846E-5</c:v>
                </c:pt>
                <c:pt idx="62">
                  <c:v>2.2755905511811026E-5</c:v>
                </c:pt>
                <c:pt idx="63">
                  <c:v>2.110236220472441E-5</c:v>
                </c:pt>
                <c:pt idx="64">
                  <c:v>1.9881889763779529E-5</c:v>
                </c:pt>
                <c:pt idx="65">
                  <c:v>1.9015748031496062E-5</c:v>
                </c:pt>
                <c:pt idx="66">
                  <c:v>1.8425196850393703E-5</c:v>
                </c:pt>
                <c:pt idx="67">
                  <c:v>1.8070866141732285E-5</c:v>
                </c:pt>
                <c:pt idx="68">
                  <c:v>1.7874015748031499E-5</c:v>
                </c:pt>
                <c:pt idx="69">
                  <c:v>1.7755905511811026E-5</c:v>
                </c:pt>
                <c:pt idx="70">
                  <c:v>1.7716535433070868E-5</c:v>
                </c:pt>
                <c:pt idx="71">
                  <c:v>1.7755905511811026E-5</c:v>
                </c:pt>
                <c:pt idx="72">
                  <c:v>1.7834645669291344E-5</c:v>
                </c:pt>
                <c:pt idx="73">
                  <c:v>1.7913385826771654E-5</c:v>
                </c:pt>
                <c:pt idx="74">
                  <c:v>1.8031496062992127E-5</c:v>
                </c:pt>
                <c:pt idx="75">
                  <c:v>1.8110236220472444E-5</c:v>
                </c:pt>
                <c:pt idx="76">
                  <c:v>1.822834645669291E-5</c:v>
                </c:pt>
                <c:pt idx="77">
                  <c:v>1.8346456692913386E-5</c:v>
                </c:pt>
                <c:pt idx="78">
                  <c:v>1.8464566929133858E-5</c:v>
                </c:pt>
                <c:pt idx="79">
                  <c:v>1.8582677165354331E-5</c:v>
                </c:pt>
                <c:pt idx="80">
                  <c:v>1.8740157480314962E-5</c:v>
                </c:pt>
                <c:pt idx="81">
                  <c:v>1.889763779527559E-5</c:v>
                </c:pt>
                <c:pt idx="82">
                  <c:v>1.9133858267716535E-5</c:v>
                </c:pt>
                <c:pt idx="83">
                  <c:v>1.9370078740157484E-5</c:v>
                </c:pt>
                <c:pt idx="84">
                  <c:v>1.9685039370078743E-5</c:v>
                </c:pt>
                <c:pt idx="85">
                  <c:v>2.003937007874016E-5</c:v>
                </c:pt>
                <c:pt idx="86">
                  <c:v>2.0511811023622047E-5</c:v>
                </c:pt>
                <c:pt idx="87">
                  <c:v>2.1062992125984251E-5</c:v>
                </c:pt>
                <c:pt idx="88">
                  <c:v>2.1614173228346455E-5</c:v>
                </c:pt>
                <c:pt idx="89">
                  <c:v>2.2283464566929136E-5</c:v>
                </c:pt>
                <c:pt idx="90">
                  <c:v>2.3031496062992126E-5</c:v>
                </c:pt>
                <c:pt idx="91">
                  <c:v>2.3858267716535434E-5</c:v>
                </c:pt>
                <c:pt idx="92">
                  <c:v>2.484251968503937E-5</c:v>
                </c:pt>
                <c:pt idx="93">
                  <c:v>2.5905511811023623E-5</c:v>
                </c:pt>
                <c:pt idx="94">
                  <c:v>2.7086614173228349E-5</c:v>
                </c:pt>
                <c:pt idx="95">
                  <c:v>2.8110236220472447E-5</c:v>
                </c:pt>
                <c:pt idx="96">
                  <c:v>2.9212598425196848E-5</c:v>
                </c:pt>
                <c:pt idx="97">
                  <c:v>3.039370078740158E-5</c:v>
                </c:pt>
                <c:pt idx="98">
                  <c:v>3.1692913385826779E-5</c:v>
                </c:pt>
                <c:pt idx="99">
                  <c:v>3.3149606299212601E-5</c:v>
                </c:pt>
                <c:pt idx="100">
                  <c:v>3.4645669291338583E-5</c:v>
                </c:pt>
                <c:pt idx="101">
                  <c:v>3.6338582677165357E-5</c:v>
                </c:pt>
                <c:pt idx="102">
                  <c:v>3.8149606299212594E-5</c:v>
                </c:pt>
                <c:pt idx="103">
                  <c:v>4.0078740157480321E-5</c:v>
                </c:pt>
                <c:pt idx="104">
                  <c:v>4.2165354330708661E-5</c:v>
                </c:pt>
                <c:pt idx="105">
                  <c:v>4.4330708661417319E-5</c:v>
                </c:pt>
                <c:pt idx="106">
                  <c:v>4.6732283464566936E-5</c:v>
                </c:pt>
                <c:pt idx="107">
                  <c:v>4.9055118110236222E-5</c:v>
                </c:pt>
                <c:pt idx="108">
                  <c:v>5.1771653543307094E-5</c:v>
                </c:pt>
                <c:pt idx="109">
                  <c:v>5.4527559055118112E-5</c:v>
                </c:pt>
                <c:pt idx="110">
                  <c:v>5.7244094488188977E-5</c:v>
                </c:pt>
                <c:pt idx="111">
                  <c:v>5.9960629921259836E-5</c:v>
                </c:pt>
                <c:pt idx="112">
                  <c:v>6.2716535433070874E-5</c:v>
                </c:pt>
                <c:pt idx="113">
                  <c:v>6.5826771653543312E-5</c:v>
                </c:pt>
                <c:pt idx="114">
                  <c:v>6.8582677165354337E-5</c:v>
                </c:pt>
                <c:pt idx="115">
                  <c:v>7.1692913385826775E-5</c:v>
                </c:pt>
                <c:pt idx="116">
                  <c:v>7.4448818897637799E-5</c:v>
                </c:pt>
                <c:pt idx="117">
                  <c:v>7.7165354330708665E-5</c:v>
                </c:pt>
                <c:pt idx="118">
                  <c:v>7.9921259842519689E-5</c:v>
                </c:pt>
                <c:pt idx="119">
                  <c:v>8.2677165354330727E-5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265-4AF7-A396-6A305C425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232"/>
        <c:axId val="1"/>
      </c:scatterChart>
      <c:valAx>
        <c:axId val="1346360232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5991640750788504"/>
              <c:y val="0.9136711327940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3.3755265885881909E-2"/>
              <c:y val="0.2829743093047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360232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1.5" header="0.75" footer="0.7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Human</a:t>
            </a:r>
            <a:r>
              <a:rPr lang="en-US" sz="1400" b="1" baseline="0"/>
              <a:t> Perception Curve</a:t>
            </a:r>
          </a:p>
          <a:p>
            <a:pPr>
              <a:defRPr/>
            </a:pPr>
            <a:endParaRPr lang="en-US" sz="600" b="1" baseline="0"/>
          </a:p>
          <a:p>
            <a:pPr>
              <a:defRPr/>
            </a:pPr>
            <a:r>
              <a:rPr lang="en-US" sz="1200" b="1" baseline="0">
                <a:solidFill>
                  <a:srgbClr val="FF0000"/>
                </a:solidFill>
              </a:rPr>
              <a:t>Point 3 - SW Corner</a:t>
            </a:r>
            <a:endParaRPr lang="en-US" sz="12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69036276798548"/>
          <c:y val="0.13311664149862262"/>
          <c:w val="0.79580356821014242"/>
          <c:h val="0.75242850741218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401-4E6A-BFB9-258CE5EF378E}"/>
              </c:ext>
            </c:extLst>
          </c:dPt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1.4784808479739018E-4</c:v>
                </c:pt>
                <c:pt idx="1">
                  <c:v>1.4784808479739018E-4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01-4E6A-BFB9-258CE5EF378E}"/>
            </c:ext>
          </c:extLst>
        </c:ser>
        <c:ser>
          <c:idx val="10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1424</c:v>
                </c:pt>
                <c:pt idx="1">
                  <c:v>1424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401-4E6A-BFB9-258CE5EF378E}"/>
            </c:ext>
          </c:extLst>
        </c:ser>
        <c:ser>
          <c:idx val="1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1780</c:v>
                </c:pt>
                <c:pt idx="1">
                  <c:v>1780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401-4E6A-BFB9-258CE5EF378E}"/>
            </c:ext>
          </c:extLst>
        </c:ser>
        <c:ser>
          <c:idx val="1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2136</c:v>
                </c:pt>
                <c:pt idx="1">
                  <c:v>2136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401-4E6A-BFB9-258CE5EF378E}"/>
            </c:ext>
          </c:extLst>
        </c:ser>
        <c:ser>
          <c:idx val="7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limits!$A$9:$A$12</c:f>
              <c:numCache>
                <c:formatCode>General</c:formatCode>
                <c:ptCount val="4"/>
                <c:pt idx="0">
                  <c:v>100</c:v>
                </c:pt>
                <c:pt idx="1">
                  <c:v>2300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limits!$B$9:$B$12</c:f>
              <c:numCache>
                <c:formatCode>General</c:formatCode>
                <c:ptCount val="4"/>
                <c:pt idx="0">
                  <c:v>0.1</c:v>
                </c:pt>
                <c:pt idx="1">
                  <c:v>5.5000000000000003E-4</c:v>
                </c:pt>
                <c:pt idx="2">
                  <c:v>1.2999999999999999E-4</c:v>
                </c:pt>
                <c:pt idx="3">
                  <c:v>1.45E-5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401-4E6A-BFB9-258CE5EF378E}"/>
            </c:ext>
          </c:extLst>
        </c:ser>
        <c:ser>
          <c:idx val="3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limits!$B$4:$B$6</c:f>
              <c:numCache>
                <c:formatCode>General</c:formatCode>
                <c:ptCount val="3"/>
                <c:pt idx="0">
                  <c:v>9.2999999999999992E-3</c:v>
                </c:pt>
                <c:pt idx="1">
                  <c:v>1E-4</c:v>
                </c:pt>
                <c:pt idx="2">
                  <c:v>1.1E-5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401-4E6A-BFB9-258CE5EF378E}"/>
            </c:ext>
          </c:extLst>
        </c:ser>
        <c:ser>
          <c:idx val="5"/>
          <c:order val="6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limits!$C$4:$C$6</c:f>
              <c:numCache>
                <c:formatCode>General</c:formatCode>
                <c:ptCount val="3"/>
                <c:pt idx="0">
                  <c:v>3.3E-3</c:v>
                </c:pt>
                <c:pt idx="1">
                  <c:v>3.3000000000000003E-5</c:v>
                </c:pt>
                <c:pt idx="2">
                  <c:v>3.3299999999999999E-6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401-4E6A-BFB9-258CE5EF378E}"/>
            </c:ext>
          </c:extLst>
        </c:ser>
        <c:ser>
          <c:idx val="6"/>
          <c:order val="7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limits!$D$4:$D$6</c:f>
              <c:numCache>
                <c:formatCode>General</c:formatCode>
                <c:ptCount val="3"/>
                <c:pt idx="0">
                  <c:v>1.1999999999999999E-3</c:v>
                </c:pt>
                <c:pt idx="1">
                  <c:v>1.0000000000000001E-5</c:v>
                </c:pt>
                <c:pt idx="2">
                  <c:v>8.9999999999999996E-7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401-4E6A-BFB9-258CE5EF378E}"/>
            </c:ext>
          </c:extLst>
        </c:ser>
        <c:ser>
          <c:idx val="18"/>
          <c:order val="8"/>
          <c:tx>
            <c:v>X-Translation</c:v>
          </c:tx>
          <c:spPr>
            <a:ln w="1905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P3_LB!$A$7:$A$126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P3_LB!$F$7:$F$126</c:f>
              <c:numCache>
                <c:formatCode>0.00E+00</c:formatCode>
                <c:ptCount val="120"/>
                <c:pt idx="0">
                  <c:v>6.8937007874015754E-8</c:v>
                </c:pt>
                <c:pt idx="1">
                  <c:v>2.6850393700787401E-7</c:v>
                </c:pt>
                <c:pt idx="2">
                  <c:v>6.0551181102362198E-7</c:v>
                </c:pt>
                <c:pt idx="3">
                  <c:v>1.1110236220472443E-6</c:v>
                </c:pt>
                <c:pt idx="4">
                  <c:v>1.7692913385826776E-6</c:v>
                </c:pt>
                <c:pt idx="5">
                  <c:v>2.6377952755905512E-6</c:v>
                </c:pt>
                <c:pt idx="6">
                  <c:v>3.7401574803149604E-6</c:v>
                </c:pt>
                <c:pt idx="7">
                  <c:v>5.1496062992125992E-6</c:v>
                </c:pt>
                <c:pt idx="8">
                  <c:v>6.9370078740157483E-6</c:v>
                </c:pt>
                <c:pt idx="9">
                  <c:v>9.1338582677165342E-6</c:v>
                </c:pt>
                <c:pt idx="10">
                  <c:v>1.1484251968503937E-5</c:v>
                </c:pt>
                <c:pt idx="11">
                  <c:v>1.3779527559055119E-5</c:v>
                </c:pt>
                <c:pt idx="12">
                  <c:v>1.6062992125984252E-5</c:v>
                </c:pt>
                <c:pt idx="13">
                  <c:v>1.8464566929133858E-5</c:v>
                </c:pt>
                <c:pt idx="14">
                  <c:v>2.1062992125984258E-5</c:v>
                </c:pt>
                <c:pt idx="15">
                  <c:v>2.3937007874015752E-5</c:v>
                </c:pt>
                <c:pt idx="16">
                  <c:v>2.7173228346456692E-5</c:v>
                </c:pt>
                <c:pt idx="17">
                  <c:v>3.0834645669291338E-5</c:v>
                </c:pt>
                <c:pt idx="18">
                  <c:v>3.5003937007874018E-5</c:v>
                </c:pt>
                <c:pt idx="19">
                  <c:v>3.9610236220472445E-5</c:v>
                </c:pt>
                <c:pt idx="20">
                  <c:v>4.4614173228346459E-5</c:v>
                </c:pt>
                <c:pt idx="21">
                  <c:v>4.989370078740157E-5</c:v>
                </c:pt>
                <c:pt idx="22">
                  <c:v>5.5566929133858268E-5</c:v>
                </c:pt>
                <c:pt idx="23">
                  <c:v>6.0070866141732283E-5</c:v>
                </c:pt>
                <c:pt idx="24">
                  <c:v>6.4594488188976385E-5</c:v>
                </c:pt>
                <c:pt idx="25">
                  <c:v>6.7956692913385833E-5</c:v>
                </c:pt>
                <c:pt idx="26">
                  <c:v>7.055905511811023E-5</c:v>
                </c:pt>
                <c:pt idx="27">
                  <c:v>7.2000000000000002E-5</c:v>
                </c:pt>
                <c:pt idx="28">
                  <c:v>7.3074803149606295E-5</c:v>
                </c:pt>
                <c:pt idx="29">
                  <c:v>7.4165354330708673E-5</c:v>
                </c:pt>
                <c:pt idx="30">
                  <c:v>7.5267716535433075E-5</c:v>
                </c:pt>
                <c:pt idx="31">
                  <c:v>7.6377952755905519E-5</c:v>
                </c:pt>
                <c:pt idx="32">
                  <c:v>7.8271653543307088E-5</c:v>
                </c:pt>
                <c:pt idx="33">
                  <c:v>8.0165354330708657E-5</c:v>
                </c:pt>
                <c:pt idx="34">
                  <c:v>8.2444881889763769E-5</c:v>
                </c:pt>
                <c:pt idx="35">
                  <c:v>8.4720472440944888E-5</c:v>
                </c:pt>
                <c:pt idx="36">
                  <c:v>8.7000000000000001E-5</c:v>
                </c:pt>
                <c:pt idx="37">
                  <c:v>8.9291338582677177E-5</c:v>
                </c:pt>
                <c:pt idx="38">
                  <c:v>9.1204724409448812E-5</c:v>
                </c:pt>
                <c:pt idx="39">
                  <c:v>9.274409448818898E-5</c:v>
                </c:pt>
                <c:pt idx="40">
                  <c:v>9.4307086614173221E-5</c:v>
                </c:pt>
                <c:pt idx="41">
                  <c:v>9.589370078740159E-5</c:v>
                </c:pt>
                <c:pt idx="42">
                  <c:v>9.671653543307086E-5</c:v>
                </c:pt>
                <c:pt idx="43">
                  <c:v>9.7952755905511823E-5</c:v>
                </c:pt>
                <c:pt idx="44">
                  <c:v>9.8814960629921251E-5</c:v>
                </c:pt>
                <c:pt idx="45">
                  <c:v>9.9299212598425205E-5</c:v>
                </c:pt>
                <c:pt idx="46">
                  <c:v>9.9795275590551196E-5</c:v>
                </c:pt>
                <c:pt idx="47">
                  <c:v>1.002992125984252E-4</c:v>
                </c:pt>
                <c:pt idx="48">
                  <c:v>1.0080708661417323E-4</c:v>
                </c:pt>
                <c:pt idx="49">
                  <c:v>1.0131102362204725E-4</c:v>
                </c:pt>
                <c:pt idx="50">
                  <c:v>1.0140944881889765E-4</c:v>
                </c:pt>
                <c:pt idx="51">
                  <c:v>1.0148818897637795E-4</c:v>
                </c:pt>
                <c:pt idx="52">
                  <c:v>1.0116141732283464E-4</c:v>
                </c:pt>
                <c:pt idx="53">
                  <c:v>1.0120472440944882E-4</c:v>
                </c:pt>
                <c:pt idx="54">
                  <c:v>1.0085433070866143E-4</c:v>
                </c:pt>
                <c:pt idx="55">
                  <c:v>1.0050000000000002E-4</c:v>
                </c:pt>
                <c:pt idx="56">
                  <c:v>1.0013779527559056E-4</c:v>
                </c:pt>
                <c:pt idx="57">
                  <c:v>9.975590551181101E-5</c:v>
                </c:pt>
                <c:pt idx="58">
                  <c:v>9.9354330708661422E-5</c:v>
                </c:pt>
                <c:pt idx="59">
                  <c:v>9.8940944881889783E-5</c:v>
                </c:pt>
                <c:pt idx="60">
                  <c:v>9.8527559055118104E-5</c:v>
                </c:pt>
                <c:pt idx="61">
                  <c:v>9.7728346456692908E-5</c:v>
                </c:pt>
                <c:pt idx="62">
                  <c:v>9.7326771653543319E-5</c:v>
                </c:pt>
                <c:pt idx="63">
                  <c:v>9.6929133858267725E-5</c:v>
                </c:pt>
                <c:pt idx="64">
                  <c:v>9.6535433070866152E-5</c:v>
                </c:pt>
                <c:pt idx="65">
                  <c:v>9.6145669291338587E-5</c:v>
                </c:pt>
                <c:pt idx="66">
                  <c:v>9.5751968503937014E-5</c:v>
                </c:pt>
                <c:pt idx="67">
                  <c:v>9.5358267716535441E-5</c:v>
                </c:pt>
                <c:pt idx="68">
                  <c:v>9.4956692913385839E-5</c:v>
                </c:pt>
                <c:pt idx="69">
                  <c:v>9.455511811023621E-5</c:v>
                </c:pt>
                <c:pt idx="70">
                  <c:v>9.4149606299212614E-5</c:v>
                </c:pt>
                <c:pt idx="71">
                  <c:v>9.4133858267716542E-5</c:v>
                </c:pt>
                <c:pt idx="72">
                  <c:v>9.3720472440944876E-5</c:v>
                </c:pt>
                <c:pt idx="73">
                  <c:v>9.3307086614173237E-5</c:v>
                </c:pt>
                <c:pt idx="74">
                  <c:v>9.328346456692915E-5</c:v>
                </c:pt>
                <c:pt idx="75">
                  <c:v>9.2866141732283463E-5</c:v>
                </c:pt>
                <c:pt idx="76">
                  <c:v>9.2842519685039363E-5</c:v>
                </c:pt>
                <c:pt idx="77">
                  <c:v>9.2421259842519681E-5</c:v>
                </c:pt>
                <c:pt idx="78">
                  <c:v>9.2003937007874008E-5</c:v>
                </c:pt>
                <c:pt idx="79">
                  <c:v>9.1582677165354354E-5</c:v>
                </c:pt>
                <c:pt idx="80">
                  <c:v>9.1559055118110253E-5</c:v>
                </c:pt>
                <c:pt idx="81">
                  <c:v>9.1137795275590558E-5</c:v>
                </c:pt>
                <c:pt idx="82">
                  <c:v>9.0720472440944871E-5</c:v>
                </c:pt>
                <c:pt idx="83">
                  <c:v>9.0303149606299225E-5</c:v>
                </c:pt>
                <c:pt idx="84">
                  <c:v>8.9889763779527559E-5</c:v>
                </c:pt>
                <c:pt idx="85">
                  <c:v>8.9472440944881899E-5</c:v>
                </c:pt>
                <c:pt idx="86">
                  <c:v>8.866535433070866E-5</c:v>
                </c:pt>
                <c:pt idx="87">
                  <c:v>8.8255905511811029E-5</c:v>
                </c:pt>
                <c:pt idx="88">
                  <c:v>8.7842519685039377E-5</c:v>
                </c:pt>
                <c:pt idx="89">
                  <c:v>8.7433070866141746E-5</c:v>
                </c:pt>
                <c:pt idx="90">
                  <c:v>8.7023622047244101E-5</c:v>
                </c:pt>
                <c:pt idx="91">
                  <c:v>8.661417322834647E-5</c:v>
                </c:pt>
                <c:pt idx="92">
                  <c:v>8.6204724409448839E-5</c:v>
                </c:pt>
                <c:pt idx="93">
                  <c:v>8.5795275590551195E-5</c:v>
                </c:pt>
                <c:pt idx="94">
                  <c:v>8.5385826771653536E-5</c:v>
                </c:pt>
                <c:pt idx="95">
                  <c:v>8.4976377952755905E-5</c:v>
                </c:pt>
                <c:pt idx="96">
                  <c:v>8.4566929133858275E-5</c:v>
                </c:pt>
                <c:pt idx="97">
                  <c:v>8.415748031496063E-5</c:v>
                </c:pt>
                <c:pt idx="98">
                  <c:v>8.3748031496062985E-5</c:v>
                </c:pt>
                <c:pt idx="99">
                  <c:v>8.3736220472440935E-5</c:v>
                </c:pt>
                <c:pt idx="100">
                  <c:v>8.3330708661417312E-5</c:v>
                </c:pt>
                <c:pt idx="101">
                  <c:v>8.3318897637795275E-5</c:v>
                </c:pt>
                <c:pt idx="102">
                  <c:v>8.2913385826771652E-5</c:v>
                </c:pt>
                <c:pt idx="103">
                  <c:v>8.2901574803149602E-5</c:v>
                </c:pt>
                <c:pt idx="104">
                  <c:v>8.2496062992125978E-5</c:v>
                </c:pt>
                <c:pt idx="105">
                  <c:v>8.2488188976377963E-5</c:v>
                </c:pt>
                <c:pt idx="106">
                  <c:v>8.2086614173228374E-5</c:v>
                </c:pt>
                <c:pt idx="107">
                  <c:v>8.2078740157480332E-5</c:v>
                </c:pt>
                <c:pt idx="108">
                  <c:v>8.2070866141732303E-5</c:v>
                </c:pt>
                <c:pt idx="109">
                  <c:v>8.1669291338582687E-5</c:v>
                </c:pt>
                <c:pt idx="110">
                  <c:v>8.1661417322834645E-5</c:v>
                </c:pt>
                <c:pt idx="111">
                  <c:v>8.1259842519685043E-5</c:v>
                </c:pt>
                <c:pt idx="112">
                  <c:v>8.0862204724409448E-5</c:v>
                </c:pt>
                <c:pt idx="113">
                  <c:v>8.0854330708661419E-5</c:v>
                </c:pt>
                <c:pt idx="114">
                  <c:v>8.0452755905511817E-5</c:v>
                </c:pt>
                <c:pt idx="115">
                  <c:v>8.0055118110236223E-5</c:v>
                </c:pt>
                <c:pt idx="116">
                  <c:v>7.9653543307086621E-5</c:v>
                </c:pt>
                <c:pt idx="117">
                  <c:v>7.9255905511811027E-5</c:v>
                </c:pt>
                <c:pt idx="118">
                  <c:v>7.8854330708661411E-5</c:v>
                </c:pt>
                <c:pt idx="119">
                  <c:v>7.8062992125984244E-5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401-4E6A-BFB9-258CE5EF378E}"/>
            </c:ext>
          </c:extLst>
        </c:ser>
        <c:ser>
          <c:idx val="21"/>
          <c:order val="9"/>
          <c:tx>
            <c:v>Y-Translation</c:v>
          </c:tx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P3_LB!$A$7:$A$126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P3_LB!$G$7:$G$126</c:f>
              <c:numCache>
                <c:formatCode>0.00E+00</c:formatCode>
                <c:ptCount val="120"/>
                <c:pt idx="0">
                  <c:v>9.8937007874015741E-9</c:v>
                </c:pt>
                <c:pt idx="1">
                  <c:v>3.854330708661418E-8</c:v>
                </c:pt>
                <c:pt idx="2">
                  <c:v>8.740157480314962E-8</c:v>
                </c:pt>
                <c:pt idx="3">
                  <c:v>1.614173228346457E-7</c:v>
                </c:pt>
                <c:pt idx="4">
                  <c:v>2.5826771653543311E-7</c:v>
                </c:pt>
                <c:pt idx="5">
                  <c:v>3.858267716535433E-7</c:v>
                </c:pt>
                <c:pt idx="6">
                  <c:v>5.4409448818897636E-7</c:v>
                </c:pt>
                <c:pt idx="7">
                  <c:v>7.38976377952756E-7</c:v>
                </c:pt>
                <c:pt idx="8">
                  <c:v>9.6850393700787414E-7</c:v>
                </c:pt>
                <c:pt idx="9">
                  <c:v>1.2283464566929135E-6</c:v>
                </c:pt>
                <c:pt idx="10">
                  <c:v>1.5078740157480316E-6</c:v>
                </c:pt>
                <c:pt idx="11">
                  <c:v>1.8031496062992128E-6</c:v>
                </c:pt>
                <c:pt idx="12">
                  <c:v>2.1299212598425198E-6</c:v>
                </c:pt>
                <c:pt idx="13">
                  <c:v>2.5000000000000006E-6</c:v>
                </c:pt>
                <c:pt idx="14">
                  <c:v>2.8976377952755906E-6</c:v>
                </c:pt>
                <c:pt idx="15">
                  <c:v>3.2913385826771657E-6</c:v>
                </c:pt>
                <c:pt idx="16">
                  <c:v>3.6732283464566926E-6</c:v>
                </c:pt>
                <c:pt idx="17">
                  <c:v>4.0433070866141738E-6</c:v>
                </c:pt>
                <c:pt idx="18">
                  <c:v>4.3976377952755907E-6</c:v>
                </c:pt>
                <c:pt idx="19">
                  <c:v>4.7440944881889768E-6</c:v>
                </c:pt>
                <c:pt idx="20">
                  <c:v>5.0866141732283467E-6</c:v>
                </c:pt>
                <c:pt idx="21">
                  <c:v>5.4133858267716544E-6</c:v>
                </c:pt>
                <c:pt idx="22">
                  <c:v>5.7598425196850388E-6</c:v>
                </c:pt>
                <c:pt idx="23">
                  <c:v>6.1338582677165358E-6</c:v>
                </c:pt>
                <c:pt idx="24">
                  <c:v>6.6220472440944892E-6</c:v>
                </c:pt>
                <c:pt idx="25">
                  <c:v>7.1850393700787403E-6</c:v>
                </c:pt>
                <c:pt idx="26">
                  <c:v>7.8661417322834656E-6</c:v>
                </c:pt>
                <c:pt idx="27">
                  <c:v>8.6692913385826798E-6</c:v>
                </c:pt>
                <c:pt idx="28">
                  <c:v>9.5511811023622061E-6</c:v>
                </c:pt>
                <c:pt idx="29">
                  <c:v>1.0555118110236221E-5</c:v>
                </c:pt>
                <c:pt idx="30">
                  <c:v>1.1598425196850395E-5</c:v>
                </c:pt>
                <c:pt idx="31">
                  <c:v>1.2681102362204726E-5</c:v>
                </c:pt>
                <c:pt idx="32">
                  <c:v>1.3720472440944882E-5</c:v>
                </c:pt>
                <c:pt idx="33">
                  <c:v>1.4795275590551183E-5</c:v>
                </c:pt>
                <c:pt idx="34">
                  <c:v>1.5783464566929133E-5</c:v>
                </c:pt>
                <c:pt idx="35">
                  <c:v>1.6692913385826777E-5</c:v>
                </c:pt>
                <c:pt idx="36">
                  <c:v>1.7519685039370078E-5</c:v>
                </c:pt>
                <c:pt idx="37">
                  <c:v>1.8228346456692913E-5</c:v>
                </c:pt>
                <c:pt idx="38">
                  <c:v>1.889763779527559E-5</c:v>
                </c:pt>
                <c:pt idx="39">
                  <c:v>1.945669291338583E-5</c:v>
                </c:pt>
                <c:pt idx="40">
                  <c:v>1.9937007874015753E-5</c:v>
                </c:pt>
                <c:pt idx="41">
                  <c:v>2.0342519685039369E-5</c:v>
                </c:pt>
                <c:pt idx="42">
                  <c:v>2.0673228346456689E-5</c:v>
                </c:pt>
                <c:pt idx="43">
                  <c:v>2.0964566929133858E-5</c:v>
                </c:pt>
                <c:pt idx="44">
                  <c:v>2.1220472440944883E-5</c:v>
                </c:pt>
                <c:pt idx="45">
                  <c:v>2.1401574803149611E-5</c:v>
                </c:pt>
                <c:pt idx="46">
                  <c:v>2.159448818897638E-5</c:v>
                </c:pt>
                <c:pt idx="47">
                  <c:v>2.1755905511811025E-5</c:v>
                </c:pt>
                <c:pt idx="48">
                  <c:v>2.1893700787401574E-5</c:v>
                </c:pt>
                <c:pt idx="49">
                  <c:v>2.2047244094488194E-5</c:v>
                </c:pt>
                <c:pt idx="50">
                  <c:v>2.2137795275590551E-5</c:v>
                </c:pt>
                <c:pt idx="51">
                  <c:v>2.2244094488188977E-5</c:v>
                </c:pt>
                <c:pt idx="52">
                  <c:v>2.2326771653543312E-5</c:v>
                </c:pt>
                <c:pt idx="53">
                  <c:v>2.2370078740157479E-5</c:v>
                </c:pt>
                <c:pt idx="54">
                  <c:v>2.2354330708661421E-5</c:v>
                </c:pt>
                <c:pt idx="55">
                  <c:v>2.2248031496062995E-5</c:v>
                </c:pt>
                <c:pt idx="56">
                  <c:v>2.2031496062992129E-5</c:v>
                </c:pt>
                <c:pt idx="57">
                  <c:v>2.1771653543307083E-5</c:v>
                </c:pt>
                <c:pt idx="58">
                  <c:v>2.1586614173228344E-5</c:v>
                </c:pt>
                <c:pt idx="59">
                  <c:v>2.1476377952755907E-5</c:v>
                </c:pt>
                <c:pt idx="60">
                  <c:v>2.1397637795275593E-5</c:v>
                </c:pt>
                <c:pt idx="61">
                  <c:v>2.1326771653543308E-5</c:v>
                </c:pt>
                <c:pt idx="62">
                  <c:v>2.1248031496062991E-5</c:v>
                </c:pt>
                <c:pt idx="63">
                  <c:v>2.1165354330708659E-5</c:v>
                </c:pt>
                <c:pt idx="64">
                  <c:v>2.1074803149606298E-5</c:v>
                </c:pt>
                <c:pt idx="65">
                  <c:v>2.1019685039370085E-5</c:v>
                </c:pt>
                <c:pt idx="66">
                  <c:v>2.0925196850393699E-5</c:v>
                </c:pt>
                <c:pt idx="67">
                  <c:v>2.086220472440945E-5</c:v>
                </c:pt>
                <c:pt idx="68">
                  <c:v>2.0763779527559054E-5</c:v>
                </c:pt>
                <c:pt idx="69">
                  <c:v>2.069685039370079E-5</c:v>
                </c:pt>
                <c:pt idx="70">
                  <c:v>2.062992125984252E-5</c:v>
                </c:pt>
                <c:pt idx="71">
                  <c:v>2.0559055118110238E-5</c:v>
                </c:pt>
                <c:pt idx="72">
                  <c:v>2.0488188976377957E-5</c:v>
                </c:pt>
                <c:pt idx="73">
                  <c:v>2.0448818897637798E-5</c:v>
                </c:pt>
                <c:pt idx="74">
                  <c:v>2.0374015748031499E-5</c:v>
                </c:pt>
                <c:pt idx="75">
                  <c:v>2.029133858267717E-5</c:v>
                </c:pt>
                <c:pt idx="76">
                  <c:v>2.0212598425196853E-5</c:v>
                </c:pt>
                <c:pt idx="77">
                  <c:v>2.0086614173228348E-5</c:v>
                </c:pt>
                <c:pt idx="78">
                  <c:v>2.000393700787402E-5</c:v>
                </c:pt>
                <c:pt idx="79">
                  <c:v>1.9877952755905515E-5</c:v>
                </c:pt>
                <c:pt idx="80">
                  <c:v>1.9755905511811027E-5</c:v>
                </c:pt>
                <c:pt idx="81">
                  <c:v>1.9629921259842519E-5</c:v>
                </c:pt>
                <c:pt idx="82">
                  <c:v>1.9503937007874014E-5</c:v>
                </c:pt>
                <c:pt idx="83">
                  <c:v>1.9377952755905516E-5</c:v>
                </c:pt>
                <c:pt idx="84">
                  <c:v>1.9212598425196852E-5</c:v>
                </c:pt>
                <c:pt idx="85">
                  <c:v>1.9051181102362207E-5</c:v>
                </c:pt>
                <c:pt idx="86">
                  <c:v>1.8925196850393702E-5</c:v>
                </c:pt>
                <c:pt idx="87">
                  <c:v>1.8763779527559059E-5</c:v>
                </c:pt>
                <c:pt idx="88">
                  <c:v>1.8637795275590554E-5</c:v>
                </c:pt>
                <c:pt idx="89">
                  <c:v>1.8515748031496064E-5</c:v>
                </c:pt>
                <c:pt idx="90">
                  <c:v>1.8393700787401577E-5</c:v>
                </c:pt>
                <c:pt idx="91">
                  <c:v>1.827165354330709E-5</c:v>
                </c:pt>
                <c:pt idx="92">
                  <c:v>1.8188976377952758E-5</c:v>
                </c:pt>
                <c:pt idx="93">
                  <c:v>1.8106299212598426E-5</c:v>
                </c:pt>
                <c:pt idx="94">
                  <c:v>1.8062992125984253E-5</c:v>
                </c:pt>
                <c:pt idx="95">
                  <c:v>1.8023622047244094E-5</c:v>
                </c:pt>
                <c:pt idx="96">
                  <c:v>1.7980314960629921E-5</c:v>
                </c:pt>
                <c:pt idx="97">
                  <c:v>1.7937007874015748E-5</c:v>
                </c:pt>
                <c:pt idx="98">
                  <c:v>1.7933070866141733E-5</c:v>
                </c:pt>
                <c:pt idx="99">
                  <c:v>1.7893700787401575E-5</c:v>
                </c:pt>
                <c:pt idx="100">
                  <c:v>1.788976377952756E-5</c:v>
                </c:pt>
                <c:pt idx="101">
                  <c:v>1.7929133858267719E-5</c:v>
                </c:pt>
                <c:pt idx="102">
                  <c:v>1.7925196850393701E-5</c:v>
                </c:pt>
                <c:pt idx="103">
                  <c:v>1.796456692913386E-5</c:v>
                </c:pt>
                <c:pt idx="104">
                  <c:v>1.8003937007874018E-5</c:v>
                </c:pt>
                <c:pt idx="105">
                  <c:v>1.8078740157480314E-5</c:v>
                </c:pt>
                <c:pt idx="106">
                  <c:v>1.8118110236220473E-5</c:v>
                </c:pt>
                <c:pt idx="107">
                  <c:v>1.819685039370079E-5</c:v>
                </c:pt>
                <c:pt idx="108">
                  <c:v>1.8271653543307086E-5</c:v>
                </c:pt>
                <c:pt idx="109">
                  <c:v>1.83503937007874E-5</c:v>
                </c:pt>
                <c:pt idx="110">
                  <c:v>1.8429133858267718E-5</c:v>
                </c:pt>
                <c:pt idx="111">
                  <c:v>1.8503937007874017E-5</c:v>
                </c:pt>
                <c:pt idx="112">
                  <c:v>1.8582677165354331E-5</c:v>
                </c:pt>
                <c:pt idx="113">
                  <c:v>1.8661417322834645E-5</c:v>
                </c:pt>
                <c:pt idx="114">
                  <c:v>1.8696850393700789E-5</c:v>
                </c:pt>
                <c:pt idx="115">
                  <c:v>1.8736220472440944E-5</c:v>
                </c:pt>
                <c:pt idx="116">
                  <c:v>1.8775590551181106E-5</c:v>
                </c:pt>
                <c:pt idx="117">
                  <c:v>1.8811023622047247E-5</c:v>
                </c:pt>
                <c:pt idx="118">
                  <c:v>1.8771653543307088E-5</c:v>
                </c:pt>
                <c:pt idx="119">
                  <c:v>1.873228346456693E-5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401-4E6A-BFB9-258CE5EF378E}"/>
            </c:ext>
          </c:extLst>
        </c:ser>
        <c:ser>
          <c:idx val="22"/>
          <c:order val="10"/>
          <c:tx>
            <c:v>Z-Translation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P3_LB!$A$7:$A$126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P3_LB!$H$7:$H$126</c:f>
              <c:numCache>
                <c:formatCode>0.00E+00</c:formatCode>
                <c:ptCount val="120"/>
                <c:pt idx="0">
                  <c:v>1.6377952755905514E-8</c:v>
                </c:pt>
                <c:pt idx="1">
                  <c:v>6.614173228346457E-8</c:v>
                </c:pt>
                <c:pt idx="2">
                  <c:v>1.4999999999999999E-7</c:v>
                </c:pt>
                <c:pt idx="3">
                  <c:v>2.6968503937007878E-7</c:v>
                </c:pt>
                <c:pt idx="4">
                  <c:v>4.3110236220472446E-7</c:v>
                </c:pt>
                <c:pt idx="5">
                  <c:v>6.4094488188976379E-7</c:v>
                </c:pt>
                <c:pt idx="6">
                  <c:v>9.1535433070866142E-7</c:v>
                </c:pt>
                <c:pt idx="7">
                  <c:v>1.2716535433070869E-6</c:v>
                </c:pt>
                <c:pt idx="8">
                  <c:v>1.736220472440945E-6</c:v>
                </c:pt>
                <c:pt idx="9">
                  <c:v>2.3031496062992129E-6</c:v>
                </c:pt>
                <c:pt idx="10">
                  <c:v>2.8818897637795275E-6</c:v>
                </c:pt>
                <c:pt idx="11">
                  <c:v>3.4055118110236225E-6</c:v>
                </c:pt>
                <c:pt idx="12">
                  <c:v>3.8661417322834641E-6</c:v>
                </c:pt>
                <c:pt idx="13">
                  <c:v>4.3149606299212606E-6</c:v>
                </c:pt>
                <c:pt idx="14">
                  <c:v>4.8110236220472438E-6</c:v>
                </c:pt>
                <c:pt idx="15">
                  <c:v>5.3858267716535443E-6</c:v>
                </c:pt>
                <c:pt idx="16">
                  <c:v>6.0590551181102373E-6</c:v>
                </c:pt>
                <c:pt idx="17">
                  <c:v>6.8425196850393695E-6</c:v>
                </c:pt>
                <c:pt idx="18">
                  <c:v>7.7559055118110238E-6</c:v>
                </c:pt>
                <c:pt idx="19">
                  <c:v>8.8070866141732283E-6</c:v>
                </c:pt>
                <c:pt idx="20">
                  <c:v>9.9488188976377936E-6</c:v>
                </c:pt>
                <c:pt idx="21">
                  <c:v>1.1220472440944883E-5</c:v>
                </c:pt>
                <c:pt idx="22">
                  <c:v>1.2539370078740158E-5</c:v>
                </c:pt>
                <c:pt idx="23">
                  <c:v>1.3744094488188979E-5</c:v>
                </c:pt>
                <c:pt idx="24">
                  <c:v>1.4826771653543308E-5</c:v>
                </c:pt>
                <c:pt idx="25">
                  <c:v>1.5751968503937007E-5</c:v>
                </c:pt>
                <c:pt idx="26">
                  <c:v>1.6393700787401576E-5</c:v>
                </c:pt>
                <c:pt idx="27">
                  <c:v>1.6751968503937008E-5</c:v>
                </c:pt>
                <c:pt idx="28">
                  <c:v>1.6901574803149607E-5</c:v>
                </c:pt>
                <c:pt idx="29">
                  <c:v>1.6850393700787401E-5</c:v>
                </c:pt>
                <c:pt idx="30">
                  <c:v>1.6716535433070867E-5</c:v>
                </c:pt>
                <c:pt idx="31">
                  <c:v>1.6500000000000001E-5</c:v>
                </c:pt>
                <c:pt idx="32">
                  <c:v>1.6283464566929135E-5</c:v>
                </c:pt>
                <c:pt idx="33">
                  <c:v>1.6078740157480313E-5</c:v>
                </c:pt>
                <c:pt idx="34">
                  <c:v>1.5889763779527559E-5</c:v>
                </c:pt>
                <c:pt idx="35">
                  <c:v>1.5763779527559058E-5</c:v>
                </c:pt>
                <c:pt idx="36">
                  <c:v>1.5665354330708661E-5</c:v>
                </c:pt>
                <c:pt idx="37">
                  <c:v>1.5649606299212599E-5</c:v>
                </c:pt>
                <c:pt idx="38">
                  <c:v>1.5641732283464567E-5</c:v>
                </c:pt>
                <c:pt idx="39">
                  <c:v>1.5748031496062993E-5</c:v>
                </c:pt>
                <c:pt idx="40">
                  <c:v>1.5866141732283465E-5</c:v>
                </c:pt>
                <c:pt idx="41">
                  <c:v>1.6062992125984252E-5</c:v>
                </c:pt>
                <c:pt idx="42">
                  <c:v>1.6338582677165356E-5</c:v>
                </c:pt>
                <c:pt idx="43">
                  <c:v>1.6732283464566928E-5</c:v>
                </c:pt>
                <c:pt idx="44">
                  <c:v>1.7244094488188977E-5</c:v>
                </c:pt>
                <c:pt idx="45">
                  <c:v>1.7952755905511813E-5</c:v>
                </c:pt>
                <c:pt idx="46">
                  <c:v>1.8818897637795276E-5</c:v>
                </c:pt>
                <c:pt idx="47">
                  <c:v>1.9921259842519688E-5</c:v>
                </c:pt>
                <c:pt idx="48">
                  <c:v>2.1220472440944886E-5</c:v>
                </c:pt>
                <c:pt idx="49">
                  <c:v>2.2795275590551185E-5</c:v>
                </c:pt>
                <c:pt idx="50">
                  <c:v>2.4606299212598421E-5</c:v>
                </c:pt>
                <c:pt idx="51">
                  <c:v>2.6811023622047248E-5</c:v>
                </c:pt>
                <c:pt idx="52">
                  <c:v>2.9488188976377955E-5</c:v>
                </c:pt>
                <c:pt idx="53">
                  <c:v>3.2677165354330711E-5</c:v>
                </c:pt>
                <c:pt idx="54">
                  <c:v>3.5944881889763777E-5</c:v>
                </c:pt>
                <c:pt idx="55">
                  <c:v>3.8740157480314967E-5</c:v>
                </c:pt>
                <c:pt idx="56">
                  <c:v>4.000000000000001E-5</c:v>
                </c:pt>
                <c:pt idx="57">
                  <c:v>3.8779527559055126E-5</c:v>
                </c:pt>
                <c:pt idx="58">
                  <c:v>3.5433070866141735E-5</c:v>
                </c:pt>
                <c:pt idx="59">
                  <c:v>3.1456692913385827E-5</c:v>
                </c:pt>
                <c:pt idx="60">
                  <c:v>2.7834645669291339E-5</c:v>
                </c:pt>
                <c:pt idx="61">
                  <c:v>2.4960629921259846E-5</c:v>
                </c:pt>
                <c:pt idx="62">
                  <c:v>2.2755905511811026E-5</c:v>
                </c:pt>
                <c:pt idx="63">
                  <c:v>2.110236220472441E-5</c:v>
                </c:pt>
                <c:pt idx="64">
                  <c:v>1.9881889763779529E-5</c:v>
                </c:pt>
                <c:pt idx="65">
                  <c:v>1.9015748031496062E-5</c:v>
                </c:pt>
                <c:pt idx="66">
                  <c:v>1.8425196850393703E-5</c:v>
                </c:pt>
                <c:pt idx="67">
                  <c:v>1.8070866141732285E-5</c:v>
                </c:pt>
                <c:pt idx="68">
                  <c:v>1.7874015748031499E-5</c:v>
                </c:pt>
                <c:pt idx="69">
                  <c:v>1.7755905511811026E-5</c:v>
                </c:pt>
                <c:pt idx="70">
                  <c:v>1.7716535433070868E-5</c:v>
                </c:pt>
                <c:pt idx="71">
                  <c:v>1.7755905511811026E-5</c:v>
                </c:pt>
                <c:pt idx="72">
                  <c:v>1.7834645669291344E-5</c:v>
                </c:pt>
                <c:pt idx="73">
                  <c:v>1.7913385826771654E-5</c:v>
                </c:pt>
                <c:pt idx="74">
                  <c:v>1.8031496062992127E-5</c:v>
                </c:pt>
                <c:pt idx="75">
                  <c:v>1.8110236220472444E-5</c:v>
                </c:pt>
                <c:pt idx="76">
                  <c:v>1.822834645669291E-5</c:v>
                </c:pt>
                <c:pt idx="77">
                  <c:v>1.8346456692913386E-5</c:v>
                </c:pt>
                <c:pt idx="78">
                  <c:v>1.8464566929133858E-5</c:v>
                </c:pt>
                <c:pt idx="79">
                  <c:v>1.8582677165354331E-5</c:v>
                </c:pt>
                <c:pt idx="80">
                  <c:v>1.8740157480314962E-5</c:v>
                </c:pt>
                <c:pt idx="81">
                  <c:v>1.889763779527559E-5</c:v>
                </c:pt>
                <c:pt idx="82">
                  <c:v>1.9133858267716535E-5</c:v>
                </c:pt>
                <c:pt idx="83">
                  <c:v>1.9370078740157484E-5</c:v>
                </c:pt>
                <c:pt idx="84">
                  <c:v>1.9685039370078743E-5</c:v>
                </c:pt>
                <c:pt idx="85">
                  <c:v>2.003937007874016E-5</c:v>
                </c:pt>
                <c:pt idx="86">
                  <c:v>2.0511811023622047E-5</c:v>
                </c:pt>
                <c:pt idx="87">
                  <c:v>2.1062992125984251E-5</c:v>
                </c:pt>
                <c:pt idx="88">
                  <c:v>2.1614173228346455E-5</c:v>
                </c:pt>
                <c:pt idx="89">
                  <c:v>2.2283464566929136E-5</c:v>
                </c:pt>
                <c:pt idx="90">
                  <c:v>2.3031496062992126E-5</c:v>
                </c:pt>
                <c:pt idx="91">
                  <c:v>2.3858267716535434E-5</c:v>
                </c:pt>
                <c:pt idx="92">
                  <c:v>2.484251968503937E-5</c:v>
                </c:pt>
                <c:pt idx="93">
                  <c:v>2.5905511811023623E-5</c:v>
                </c:pt>
                <c:pt idx="94">
                  <c:v>2.7086614173228349E-5</c:v>
                </c:pt>
                <c:pt idx="95">
                  <c:v>2.8110236220472447E-5</c:v>
                </c:pt>
                <c:pt idx="96">
                  <c:v>2.9212598425196848E-5</c:v>
                </c:pt>
                <c:pt idx="97">
                  <c:v>3.039370078740158E-5</c:v>
                </c:pt>
                <c:pt idx="98">
                  <c:v>3.1692913385826779E-5</c:v>
                </c:pt>
                <c:pt idx="99">
                  <c:v>3.3149606299212601E-5</c:v>
                </c:pt>
                <c:pt idx="100">
                  <c:v>3.4645669291338583E-5</c:v>
                </c:pt>
                <c:pt idx="101">
                  <c:v>3.6338582677165357E-5</c:v>
                </c:pt>
                <c:pt idx="102">
                  <c:v>3.8149606299212594E-5</c:v>
                </c:pt>
                <c:pt idx="103">
                  <c:v>4.0078740157480321E-5</c:v>
                </c:pt>
                <c:pt idx="104">
                  <c:v>4.2165354330708661E-5</c:v>
                </c:pt>
                <c:pt idx="105">
                  <c:v>4.4330708661417319E-5</c:v>
                </c:pt>
                <c:pt idx="106">
                  <c:v>4.6732283464566936E-5</c:v>
                </c:pt>
                <c:pt idx="107">
                  <c:v>4.9055118110236222E-5</c:v>
                </c:pt>
                <c:pt idx="108">
                  <c:v>5.1771653543307094E-5</c:v>
                </c:pt>
                <c:pt idx="109">
                  <c:v>5.4527559055118112E-5</c:v>
                </c:pt>
                <c:pt idx="110">
                  <c:v>5.7244094488188977E-5</c:v>
                </c:pt>
                <c:pt idx="111">
                  <c:v>5.9960629921259836E-5</c:v>
                </c:pt>
                <c:pt idx="112">
                  <c:v>6.2716535433070874E-5</c:v>
                </c:pt>
                <c:pt idx="113">
                  <c:v>6.5826771653543312E-5</c:v>
                </c:pt>
                <c:pt idx="114">
                  <c:v>6.8582677165354337E-5</c:v>
                </c:pt>
                <c:pt idx="115">
                  <c:v>7.1692913385826775E-5</c:v>
                </c:pt>
                <c:pt idx="116">
                  <c:v>7.4448818897637799E-5</c:v>
                </c:pt>
                <c:pt idx="117">
                  <c:v>7.7165354330708665E-5</c:v>
                </c:pt>
                <c:pt idx="118">
                  <c:v>7.9921259842519689E-5</c:v>
                </c:pt>
                <c:pt idx="119">
                  <c:v>8.2677165354330727E-5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401-4E6A-BFB9-258CE5EF378E}"/>
            </c:ext>
          </c:extLst>
        </c:ser>
        <c:ser>
          <c:idx val="23"/>
          <c:order val="11"/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2401-4E6A-BFB9-258CE5EF378E}"/>
              </c:ext>
            </c:extLst>
          </c:dPt>
          <c:xVal>
            <c:numRef>
              <c:f>limits!$G$23:$G$24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limits!$H$23:$H$24</c:f>
              <c:numCache>
                <c:formatCode>0.000000</c:formatCode>
                <c:ptCount val="2"/>
                <c:pt idx="0">
                  <c:v>5.9999999999999995E-4</c:v>
                </c:pt>
                <c:pt idx="1">
                  <c:v>5.9999999999999995E-4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401-4E6A-BFB9-258CE5EF3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10160"/>
        <c:axId val="1"/>
      </c:scatterChart>
      <c:valAx>
        <c:axId val="832210160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2482138870207053"/>
              <c:y val="0.9361926710380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.9999999999999995E-7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1.8357006017334653E-2"/>
              <c:y val="0.3193191221667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10160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1496496960137534"/>
          <c:y val="0.69083688649590724"/>
          <c:w val="0.22038214221632471"/>
          <c:h val="0.151102258462751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5A-4AF3-BEA4-1B597245E8A6}"/>
            </c:ext>
          </c:extLst>
        </c:ser>
        <c:ser>
          <c:idx val="3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</c:numCache>
            </c:numRef>
          </c:xVal>
          <c:yVal>
            <c:numRef>
              <c:f>limits!$B$17:$B$21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5A-4AF3-BEA4-1B597245E8A6}"/>
            </c:ext>
          </c:extLst>
        </c:ser>
        <c:ser>
          <c:idx val="4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limits!$D$17:$D$20</c:f>
              <c:numCache>
                <c:formatCode>General</c:formatCode>
                <c:ptCount val="4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</c:numCache>
            </c:numRef>
          </c:xVal>
          <c:yVal>
            <c:numRef>
              <c:f>limits!$E$17:$E$20</c:f>
              <c:numCache>
                <c:formatCode>General</c:formatCode>
                <c:ptCount val="4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5A-4AF3-BEA4-1B597245E8A6}"/>
            </c:ext>
          </c:extLst>
        </c:ser>
        <c:ser>
          <c:idx val="5"/>
          <c:order val="3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limits!$G$4:$G$5</c:f>
              <c:numCache>
                <c:formatCode>0</c:formatCode>
                <c:ptCount val="2"/>
                <c:pt idx="0">
                  <c:v>1424</c:v>
                </c:pt>
                <c:pt idx="1">
                  <c:v>1424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5A-4AF3-BEA4-1B597245E8A6}"/>
            </c:ext>
          </c:extLst>
        </c:ser>
        <c:ser>
          <c:idx val="6"/>
          <c:order val="4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limits!$H$4:$H$5</c:f>
              <c:numCache>
                <c:formatCode>General</c:formatCode>
                <c:ptCount val="2"/>
                <c:pt idx="0">
                  <c:v>1780</c:v>
                </c:pt>
                <c:pt idx="1">
                  <c:v>1780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5A-4AF3-BEA4-1B597245E8A6}"/>
            </c:ext>
          </c:extLst>
        </c:ser>
        <c:ser>
          <c:idx val="7"/>
          <c:order val="5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limits!$I$4:$I$5</c:f>
              <c:numCache>
                <c:formatCode>0</c:formatCode>
                <c:ptCount val="2"/>
                <c:pt idx="0">
                  <c:v>2136</c:v>
                </c:pt>
                <c:pt idx="1">
                  <c:v>2136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B5A-4AF3-BEA4-1B597245E8A6}"/>
            </c:ext>
          </c:extLst>
        </c:ser>
        <c:ser>
          <c:idx val="8"/>
          <c:order val="6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limits!$J$4:$J$5</c:f>
              <c:numCache>
                <c:formatCode>General</c:formatCode>
                <c:ptCount val="2"/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B5A-4AF3-BEA4-1B597245E8A6}"/>
            </c:ext>
          </c:extLst>
        </c:ser>
        <c:ser>
          <c:idx val="10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limits!$H$17:$H$18</c:f>
              <c:numCache>
                <c:formatCode>General</c:formatCode>
                <c:ptCount val="2"/>
                <c:pt idx="0">
                  <c:v>4.4999999999999999E-4</c:v>
                </c:pt>
                <c:pt idx="1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B5A-4AF3-BEA4-1B597245E8A6}"/>
            </c:ext>
          </c:extLst>
        </c:ser>
        <c:ser>
          <c:idx val="11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limits!$I$17:$I$18</c:f>
              <c:numCache>
                <c:formatCode>General</c:formatCode>
                <c:ptCount val="2"/>
                <c:pt idx="0">
                  <c:v>9.5E-4</c:v>
                </c:pt>
                <c:pt idx="1">
                  <c:v>9.5000000000000005E-6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B5A-4AF3-BEA4-1B597245E8A6}"/>
            </c:ext>
          </c:extLst>
        </c:ser>
        <c:ser>
          <c:idx val="12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limits!$J$17:$J$18</c:f>
              <c:numCache>
                <c:formatCode>General</c:formatCode>
                <c:ptCount val="2"/>
                <c:pt idx="0">
                  <c:v>1.75E-3</c:v>
                </c:pt>
                <c:pt idx="1">
                  <c:v>1.6500000000000001E-5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B5A-4AF3-BEA4-1B597245E8A6}"/>
            </c:ext>
          </c:extLst>
        </c:ser>
        <c:ser>
          <c:idx val="13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limits!$K$17:$K$18</c:f>
              <c:numCache>
                <c:formatCode>General</c:formatCode>
                <c:ptCount val="2"/>
                <c:pt idx="0">
                  <c:v>3.7499999999999999E-3</c:v>
                </c:pt>
                <c:pt idx="1">
                  <c:v>3.5000000000000004E-5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B5A-4AF3-BEA4-1B597245E8A6}"/>
            </c:ext>
          </c:extLst>
        </c:ser>
        <c:ser>
          <c:idx val="14"/>
          <c:order val="1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limits!$L$17:$L$18</c:f>
              <c:numCache>
                <c:formatCode>General</c:formatCode>
                <c:ptCount val="2"/>
                <c:pt idx="0">
                  <c:v>7.4999999999999997E-3</c:v>
                </c:pt>
                <c:pt idx="1">
                  <c:v>6.5000000000000008E-5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B5A-4AF3-BEA4-1B597245E8A6}"/>
            </c:ext>
          </c:extLst>
        </c:ser>
        <c:ser>
          <c:idx val="20"/>
          <c:order val="12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B5A-4AF3-BEA4-1B597245E8A6}"/>
            </c:ext>
          </c:extLst>
        </c:ser>
        <c:ser>
          <c:idx val="21"/>
          <c:order val="1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B5A-4AF3-BEA4-1B597245E8A6}"/>
            </c:ext>
          </c:extLst>
        </c:ser>
        <c:ser>
          <c:idx val="0"/>
          <c:order val="1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1.4784808479739018E-4</c:v>
                </c:pt>
                <c:pt idx="1">
                  <c:v>1.4784808479739018E-4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B5A-4AF3-BEA4-1B597245E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76704"/>
        <c:axId val="1"/>
      </c:scatterChart>
      <c:valAx>
        <c:axId val="1347176704"/>
        <c:scaling>
          <c:logBase val="10"/>
          <c:orientation val="minMax"/>
          <c:max val="1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176704"/>
        <c:crosses val="autoZero"/>
        <c:crossBetween val="midCat"/>
        <c:majorUnit val="10"/>
        <c:minorUnit val="10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&amp;L&amp;F&amp;R&amp;D&amp;T</c:oddFooter>
    </c:headerFooter>
    <c:pageMargins b="1" l="0.75" r="0.75" t="1" header="0.5" footer="0.5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09322688642802"/>
          <c:y val="5.9952178769903067E-2"/>
          <c:w val="0.73417872778779292"/>
          <c:h val="0.82973815417545849"/>
        </c:manualLayout>
      </c:layout>
      <c:scatterChart>
        <c:scatterStyle val="lineMarker"/>
        <c:varyColors val="0"/>
        <c:ser>
          <c:idx val="15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1.4784808479739018E-4</c:v>
                </c:pt>
                <c:pt idx="1">
                  <c:v>1.4784808479739018E-4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35-4B10-8798-188ED00FA98F}"/>
            </c:ext>
          </c:extLst>
        </c:ser>
        <c:ser>
          <c:idx val="17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1424</c:v>
                </c:pt>
                <c:pt idx="1">
                  <c:v>1424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35-4B10-8798-188ED00FA98F}"/>
            </c:ext>
          </c:extLst>
        </c:ser>
        <c:ser>
          <c:idx val="18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1780</c:v>
                </c:pt>
                <c:pt idx="1">
                  <c:v>1780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35-4B10-8798-188ED00FA98F}"/>
            </c:ext>
          </c:extLst>
        </c:ser>
        <c:ser>
          <c:idx val="19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2136</c:v>
                </c:pt>
                <c:pt idx="1">
                  <c:v>2136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35-4B10-8798-188ED00FA98F}"/>
            </c:ext>
          </c:extLst>
        </c:ser>
        <c:ser>
          <c:idx val="3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limits!$A$17:$A$22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limits!$B$17:$B$22</c:f>
              <c:numCache>
                <c:formatCode>General</c:formatCode>
                <c:ptCount val="6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  <c:pt idx="5">
                  <c:v>9.3300000000000005E-6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35-4B10-8798-188ED00FA98F}"/>
            </c:ext>
          </c:extLst>
        </c:ser>
        <c:ser>
          <c:idx val="4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limits!$E$17:$E$21</c:f>
              <c:numCache>
                <c:formatCode>General</c:formatCode>
                <c:ptCount val="5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  <c:pt idx="4">
                  <c:v>8.1799999999999996E-6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35-4B10-8798-188ED00FA98F}"/>
            </c:ext>
          </c:extLst>
        </c:ser>
        <c:ser>
          <c:idx val="14"/>
          <c:order val="6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limits!$L$17:$L$19</c:f>
              <c:numCache>
                <c:formatCode>General</c:formatCode>
                <c:ptCount val="3"/>
                <c:pt idx="0">
                  <c:v>7.4999999999999997E-3</c:v>
                </c:pt>
                <c:pt idx="1">
                  <c:v>6.5000000000000008E-5</c:v>
                </c:pt>
                <c:pt idx="2" formatCode="0.00000000">
                  <c:v>6.1999999999999999E-6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35-4B10-8798-188ED00FA98F}"/>
            </c:ext>
          </c:extLst>
        </c:ser>
        <c:ser>
          <c:idx val="13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limits!$K$17:$K$19</c:f>
              <c:numCache>
                <c:formatCode>General</c:formatCode>
                <c:ptCount val="3"/>
                <c:pt idx="0">
                  <c:v>3.7499999999999999E-3</c:v>
                </c:pt>
                <c:pt idx="1">
                  <c:v>3.5000000000000004E-5</c:v>
                </c:pt>
                <c:pt idx="2" formatCode="0.00000000">
                  <c:v>3.4400000000000001E-6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35-4B10-8798-188ED00FA98F}"/>
            </c:ext>
          </c:extLst>
        </c:ser>
        <c:ser>
          <c:idx val="12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limits!$J$17:$J$19</c:f>
              <c:numCache>
                <c:formatCode>General</c:formatCode>
                <c:ptCount val="3"/>
                <c:pt idx="0">
                  <c:v>1.75E-3</c:v>
                </c:pt>
                <c:pt idx="1">
                  <c:v>1.6500000000000001E-5</c:v>
                </c:pt>
                <c:pt idx="2" formatCode="0.00000000">
                  <c:v>1.64E-6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35-4B10-8798-188ED00FA98F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limits!$I$17:$I$19</c:f>
              <c:numCache>
                <c:formatCode>General</c:formatCode>
                <c:ptCount val="3"/>
                <c:pt idx="0">
                  <c:v>9.5E-4</c:v>
                </c:pt>
                <c:pt idx="1">
                  <c:v>9.5000000000000005E-6</c:v>
                </c:pt>
                <c:pt idx="2" formatCode="0.00000000">
                  <c:v>9.33E-7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35-4B10-8798-188ED00FA98F}"/>
            </c:ext>
          </c:extLst>
        </c:ser>
        <c:ser>
          <c:idx val="10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limits!$H$17:$H$19</c:f>
              <c:numCache>
                <c:formatCode>General</c:formatCode>
                <c:ptCount val="3"/>
                <c:pt idx="0">
                  <c:v>4.4999999999999999E-4</c:v>
                </c:pt>
                <c:pt idx="1">
                  <c:v>3.9999999999999998E-6</c:v>
                </c:pt>
                <c:pt idx="2" formatCode="0.00000000">
                  <c:v>3.5499999999999999E-7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35-4B10-8798-188ED00FA98F}"/>
            </c:ext>
          </c:extLst>
        </c:ser>
        <c:ser>
          <c:idx val="25"/>
          <c:order val="11"/>
          <c:spPr>
            <a:ln w="19050">
              <a:solidFill>
                <a:srgbClr val="0070C0"/>
              </a:solidFill>
              <a:prstDash val="solid"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P4_LB!$A$7:$A$126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P4_LB!$F$7:$F$126</c:f>
              <c:numCache>
                <c:formatCode>0.00E+00</c:formatCode>
                <c:ptCount val="120"/>
                <c:pt idx="0">
                  <c:v>5.2401574803149611E-8</c:v>
                </c:pt>
                <c:pt idx="1">
                  <c:v>2.1496062992125984E-7</c:v>
                </c:pt>
                <c:pt idx="2">
                  <c:v>4.9370078740157486E-7</c:v>
                </c:pt>
                <c:pt idx="3">
                  <c:v>9.0551181102362207E-7</c:v>
                </c:pt>
                <c:pt idx="4">
                  <c:v>1.4763779527559056E-6</c:v>
                </c:pt>
                <c:pt idx="5">
                  <c:v>2.2362204724409446E-6</c:v>
                </c:pt>
                <c:pt idx="6">
                  <c:v>3.2440944881889763E-6</c:v>
                </c:pt>
                <c:pt idx="7">
                  <c:v>4.5590551181102372E-6</c:v>
                </c:pt>
                <c:pt idx="8">
                  <c:v>6.2125984251968506E-6</c:v>
                </c:pt>
                <c:pt idx="9">
                  <c:v>8.074803149606299E-6</c:v>
                </c:pt>
                <c:pt idx="10">
                  <c:v>9.7519685039370088E-6</c:v>
                </c:pt>
                <c:pt idx="11">
                  <c:v>1.1023622047244094E-5</c:v>
                </c:pt>
                <c:pt idx="12">
                  <c:v>1.2125984251968505E-5</c:v>
                </c:pt>
                <c:pt idx="13">
                  <c:v>1.3385826771653545E-5</c:v>
                </c:pt>
                <c:pt idx="14">
                  <c:v>1.5039370078740159E-5</c:v>
                </c:pt>
                <c:pt idx="15">
                  <c:v>1.7007874015748029E-5</c:v>
                </c:pt>
                <c:pt idx="16">
                  <c:v>1.9330708661417325E-5</c:v>
                </c:pt>
                <c:pt idx="17">
                  <c:v>2.2007874015748028E-5</c:v>
                </c:pt>
                <c:pt idx="18">
                  <c:v>2.5118110236220474E-5</c:v>
                </c:pt>
                <c:pt idx="19">
                  <c:v>2.8661417322834647E-5</c:v>
                </c:pt>
                <c:pt idx="20">
                  <c:v>3.279527559055118E-5</c:v>
                </c:pt>
                <c:pt idx="21">
                  <c:v>3.7440944881889766E-5</c:v>
                </c:pt>
                <c:pt idx="22">
                  <c:v>4.2519685039370082E-5</c:v>
                </c:pt>
                <c:pt idx="23">
                  <c:v>4.7244094488188978E-5</c:v>
                </c:pt>
                <c:pt idx="24">
                  <c:v>5.2283464566929136E-5</c:v>
                </c:pt>
                <c:pt idx="25">
                  <c:v>5.6535433070866142E-5</c:v>
                </c:pt>
                <c:pt idx="26">
                  <c:v>6.0000000000000002E-5</c:v>
                </c:pt>
                <c:pt idx="27">
                  <c:v>6.2677165354330702E-5</c:v>
                </c:pt>
                <c:pt idx="28">
                  <c:v>6.4566929133858276E-5</c:v>
                </c:pt>
                <c:pt idx="29">
                  <c:v>6.570866141732285E-5</c:v>
                </c:pt>
                <c:pt idx="30">
                  <c:v>6.6023622047244092E-5</c:v>
                </c:pt>
                <c:pt idx="31">
                  <c:v>6.637795275590552E-5</c:v>
                </c:pt>
                <c:pt idx="32">
                  <c:v>6.5905511811023616E-5</c:v>
                </c:pt>
                <c:pt idx="33">
                  <c:v>6.5078740157480312E-5</c:v>
                </c:pt>
                <c:pt idx="34">
                  <c:v>6.4212598425196848E-5</c:v>
                </c:pt>
                <c:pt idx="35">
                  <c:v>6.2913385826771654E-5</c:v>
                </c:pt>
                <c:pt idx="36">
                  <c:v>6.1614173228346459E-5</c:v>
                </c:pt>
                <c:pt idx="37">
                  <c:v>5.996062992125985E-5</c:v>
                </c:pt>
                <c:pt idx="38">
                  <c:v>5.8661417322834655E-5</c:v>
                </c:pt>
                <c:pt idx="39">
                  <c:v>5.696850393700788E-5</c:v>
                </c:pt>
                <c:pt idx="40">
                  <c:v>5.5275590551181106E-5</c:v>
                </c:pt>
                <c:pt idx="41">
                  <c:v>5.3622047244094497E-5</c:v>
                </c:pt>
                <c:pt idx="42">
                  <c:v>5.1929133858267722E-5</c:v>
                </c:pt>
                <c:pt idx="43">
                  <c:v>5.0275590551181099E-5</c:v>
                </c:pt>
                <c:pt idx="44">
                  <c:v>4.862204724409449E-5</c:v>
                </c:pt>
                <c:pt idx="45">
                  <c:v>4.6968503937007881E-5</c:v>
                </c:pt>
                <c:pt idx="46">
                  <c:v>4.5314960629921265E-5</c:v>
                </c:pt>
                <c:pt idx="47">
                  <c:v>4.3858267716535436E-5</c:v>
                </c:pt>
                <c:pt idx="48">
                  <c:v>4.2440944881889765E-5</c:v>
                </c:pt>
                <c:pt idx="49">
                  <c:v>4.1102362204724412E-5</c:v>
                </c:pt>
                <c:pt idx="50">
                  <c:v>3.9763779527559058E-5</c:v>
                </c:pt>
                <c:pt idx="51">
                  <c:v>3.846456692913387E-5</c:v>
                </c:pt>
                <c:pt idx="52">
                  <c:v>3.7204724409448827E-5</c:v>
                </c:pt>
                <c:pt idx="53">
                  <c:v>3.5984251968503936E-5</c:v>
                </c:pt>
                <c:pt idx="54">
                  <c:v>3.4763779527559059E-5</c:v>
                </c:pt>
                <c:pt idx="55">
                  <c:v>3.3582677165354326E-5</c:v>
                </c:pt>
                <c:pt idx="56">
                  <c:v>3.2519685039370083E-5</c:v>
                </c:pt>
                <c:pt idx="57">
                  <c:v>3.1417322834645668E-5</c:v>
                </c:pt>
                <c:pt idx="58">
                  <c:v>3.0314960629921263E-5</c:v>
                </c:pt>
                <c:pt idx="59">
                  <c:v>2.9251968503937014E-5</c:v>
                </c:pt>
                <c:pt idx="60">
                  <c:v>2.8267716535433071E-5</c:v>
                </c:pt>
                <c:pt idx="61">
                  <c:v>2.7362204724409449E-5</c:v>
                </c:pt>
                <c:pt idx="62">
                  <c:v>2.6456692913385831E-5</c:v>
                </c:pt>
                <c:pt idx="63">
                  <c:v>2.5629921259842519E-5</c:v>
                </c:pt>
                <c:pt idx="64">
                  <c:v>2.4881889763779532E-5</c:v>
                </c:pt>
                <c:pt idx="65">
                  <c:v>2.4212598425196855E-5</c:v>
                </c:pt>
                <c:pt idx="66">
                  <c:v>2.3582677165354334E-5</c:v>
                </c:pt>
                <c:pt idx="67">
                  <c:v>2.2992125984251971E-5</c:v>
                </c:pt>
                <c:pt idx="68">
                  <c:v>2.2440944881889767E-5</c:v>
                </c:pt>
                <c:pt idx="69">
                  <c:v>2.1968503937007877E-5</c:v>
                </c:pt>
                <c:pt idx="70">
                  <c:v>2.1535433070866142E-5</c:v>
                </c:pt>
                <c:pt idx="71">
                  <c:v>2.110236220472441E-5</c:v>
                </c:pt>
                <c:pt idx="72">
                  <c:v>2.0708661417322837E-5</c:v>
                </c:pt>
                <c:pt idx="73">
                  <c:v>2.0314960629921261E-5</c:v>
                </c:pt>
                <c:pt idx="74">
                  <c:v>1.9960629921259843E-5</c:v>
                </c:pt>
                <c:pt idx="75">
                  <c:v>1.9566929133858267E-5</c:v>
                </c:pt>
                <c:pt idx="76">
                  <c:v>1.9212598425196852E-5</c:v>
                </c:pt>
                <c:pt idx="77">
                  <c:v>1.8818897637795276E-5</c:v>
                </c:pt>
                <c:pt idx="78">
                  <c:v>1.8464566929133858E-5</c:v>
                </c:pt>
                <c:pt idx="79">
                  <c:v>1.8031496062992127E-5</c:v>
                </c:pt>
                <c:pt idx="80">
                  <c:v>1.7677165354330709E-5</c:v>
                </c:pt>
                <c:pt idx="81">
                  <c:v>1.7244094488188977E-5</c:v>
                </c:pt>
                <c:pt idx="82">
                  <c:v>1.6850393700787401E-5</c:v>
                </c:pt>
                <c:pt idx="83">
                  <c:v>1.6417322834645669E-5</c:v>
                </c:pt>
                <c:pt idx="84">
                  <c:v>1.5984251968503938E-5</c:v>
                </c:pt>
                <c:pt idx="85">
                  <c:v>1.5590551181102362E-5</c:v>
                </c:pt>
                <c:pt idx="86">
                  <c:v>1.5157480314960632E-5</c:v>
                </c:pt>
                <c:pt idx="87">
                  <c:v>1.4763779527559057E-5</c:v>
                </c:pt>
                <c:pt idx="88">
                  <c:v>1.4370078740157481E-5</c:v>
                </c:pt>
                <c:pt idx="89">
                  <c:v>1.4015748031496065E-5</c:v>
                </c:pt>
                <c:pt idx="90">
                  <c:v>1.3661417322834647E-5</c:v>
                </c:pt>
                <c:pt idx="91">
                  <c:v>1.3346456692913386E-5</c:v>
                </c:pt>
                <c:pt idx="92">
                  <c:v>1.3031496062992125E-5</c:v>
                </c:pt>
                <c:pt idx="93">
                  <c:v>1.2795275590551182E-5</c:v>
                </c:pt>
                <c:pt idx="94">
                  <c:v>1.2519685039370078E-5</c:v>
                </c:pt>
                <c:pt idx="95">
                  <c:v>1.2283464566929135E-5</c:v>
                </c:pt>
                <c:pt idx="96">
                  <c:v>1.2086614173228347E-5</c:v>
                </c:pt>
                <c:pt idx="97">
                  <c:v>1.18503937007874E-5</c:v>
                </c:pt>
                <c:pt idx="98">
                  <c:v>1.169291338582677E-5</c:v>
                </c:pt>
                <c:pt idx="99">
                  <c:v>1.1574803149606298E-5</c:v>
                </c:pt>
                <c:pt idx="100">
                  <c:v>1.1456692913385827E-5</c:v>
                </c:pt>
                <c:pt idx="101">
                  <c:v>1.1377952755905513E-5</c:v>
                </c:pt>
                <c:pt idx="102">
                  <c:v>1.1299212598425197E-5</c:v>
                </c:pt>
                <c:pt idx="103">
                  <c:v>1.125984251968504E-5</c:v>
                </c:pt>
                <c:pt idx="104">
                  <c:v>1.125984251968504E-5</c:v>
                </c:pt>
                <c:pt idx="105">
                  <c:v>1.125984251968504E-5</c:v>
                </c:pt>
                <c:pt idx="106">
                  <c:v>1.1299212598425197E-5</c:v>
                </c:pt>
                <c:pt idx="107">
                  <c:v>1.1377952755905513E-5</c:v>
                </c:pt>
                <c:pt idx="108">
                  <c:v>1.1456692913385827E-5</c:v>
                </c:pt>
                <c:pt idx="109">
                  <c:v>1.1574803149606299E-5</c:v>
                </c:pt>
                <c:pt idx="110">
                  <c:v>1.1653543307086615E-5</c:v>
                </c:pt>
                <c:pt idx="111">
                  <c:v>1.1811023622047245E-5</c:v>
                </c:pt>
                <c:pt idx="112">
                  <c:v>1.1968503937007872E-5</c:v>
                </c:pt>
                <c:pt idx="113">
                  <c:v>1.2125984251968505E-5</c:v>
                </c:pt>
                <c:pt idx="114">
                  <c:v>1.2283464566929136E-5</c:v>
                </c:pt>
                <c:pt idx="115">
                  <c:v>1.2480314960629923E-5</c:v>
                </c:pt>
                <c:pt idx="116">
                  <c:v>1.2637795275590552E-5</c:v>
                </c:pt>
                <c:pt idx="117">
                  <c:v>1.2795275590551182E-5</c:v>
                </c:pt>
                <c:pt idx="118">
                  <c:v>1.2952755905511812E-5</c:v>
                </c:pt>
                <c:pt idx="119">
                  <c:v>1.3070866141732284E-5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35-4B10-8798-188ED00FA98F}"/>
            </c:ext>
          </c:extLst>
        </c:ser>
        <c:ser>
          <c:idx val="26"/>
          <c:order val="12"/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triangle"/>
            <c:size val="3"/>
            <c:spPr>
              <a:noFill/>
              <a:ln w="9525">
                <a:noFill/>
              </a:ln>
            </c:spPr>
          </c:marker>
          <c:xVal>
            <c:numRef>
              <c:f>P4_LB!$A$7:$A$126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P4_LB!$G$7:$G$126</c:f>
              <c:numCache>
                <c:formatCode>0.00E+00</c:formatCode>
                <c:ptCount val="120"/>
                <c:pt idx="0">
                  <c:v>9.8937007874015741E-9</c:v>
                </c:pt>
                <c:pt idx="1">
                  <c:v>3.854330708661418E-8</c:v>
                </c:pt>
                <c:pt idx="2">
                  <c:v>8.740157480314962E-8</c:v>
                </c:pt>
                <c:pt idx="3">
                  <c:v>1.614173228346457E-7</c:v>
                </c:pt>
                <c:pt idx="4">
                  <c:v>2.5826771653543311E-7</c:v>
                </c:pt>
                <c:pt idx="5">
                  <c:v>3.858267716535433E-7</c:v>
                </c:pt>
                <c:pt idx="6">
                  <c:v>5.4409448818897636E-7</c:v>
                </c:pt>
                <c:pt idx="7">
                  <c:v>7.38976377952756E-7</c:v>
                </c:pt>
                <c:pt idx="8">
                  <c:v>9.6850393700787414E-7</c:v>
                </c:pt>
                <c:pt idx="9">
                  <c:v>1.2283464566929135E-6</c:v>
                </c:pt>
                <c:pt idx="10">
                  <c:v>1.5078740157480316E-6</c:v>
                </c:pt>
                <c:pt idx="11">
                  <c:v>1.8031496062992128E-6</c:v>
                </c:pt>
                <c:pt idx="12">
                  <c:v>2.1299212598425198E-6</c:v>
                </c:pt>
                <c:pt idx="13">
                  <c:v>2.5000000000000006E-6</c:v>
                </c:pt>
                <c:pt idx="14">
                  <c:v>2.8976377952755906E-6</c:v>
                </c:pt>
                <c:pt idx="15">
                  <c:v>3.2913385826771657E-6</c:v>
                </c:pt>
                <c:pt idx="16">
                  <c:v>3.6732283464566926E-6</c:v>
                </c:pt>
                <c:pt idx="17">
                  <c:v>4.0433070866141738E-6</c:v>
                </c:pt>
                <c:pt idx="18">
                  <c:v>4.3976377952755907E-6</c:v>
                </c:pt>
                <c:pt idx="19">
                  <c:v>4.7440944881889768E-6</c:v>
                </c:pt>
                <c:pt idx="20">
                  <c:v>5.0866141732283467E-6</c:v>
                </c:pt>
                <c:pt idx="21">
                  <c:v>5.4133858267716544E-6</c:v>
                </c:pt>
                <c:pt idx="22">
                  <c:v>5.7598425196850388E-6</c:v>
                </c:pt>
                <c:pt idx="23">
                  <c:v>6.1338582677165358E-6</c:v>
                </c:pt>
                <c:pt idx="24">
                  <c:v>6.6220472440944892E-6</c:v>
                </c:pt>
                <c:pt idx="25">
                  <c:v>7.1850393700787403E-6</c:v>
                </c:pt>
                <c:pt idx="26">
                  <c:v>7.8661417322834656E-6</c:v>
                </c:pt>
                <c:pt idx="27">
                  <c:v>8.6692913385826798E-6</c:v>
                </c:pt>
                <c:pt idx="28">
                  <c:v>9.5511811023622061E-6</c:v>
                </c:pt>
                <c:pt idx="29">
                  <c:v>1.0555118110236221E-5</c:v>
                </c:pt>
                <c:pt idx="30">
                  <c:v>1.1598425196850395E-5</c:v>
                </c:pt>
                <c:pt idx="31">
                  <c:v>1.2681102362204726E-5</c:v>
                </c:pt>
                <c:pt idx="32">
                  <c:v>1.3720472440944882E-5</c:v>
                </c:pt>
                <c:pt idx="33">
                  <c:v>1.4795275590551183E-5</c:v>
                </c:pt>
                <c:pt idx="34">
                  <c:v>1.5783464566929133E-5</c:v>
                </c:pt>
                <c:pt idx="35">
                  <c:v>1.6692913385826777E-5</c:v>
                </c:pt>
                <c:pt idx="36">
                  <c:v>1.7519685039370078E-5</c:v>
                </c:pt>
                <c:pt idx="37">
                  <c:v>1.8228346456692913E-5</c:v>
                </c:pt>
                <c:pt idx="38">
                  <c:v>1.889763779527559E-5</c:v>
                </c:pt>
                <c:pt idx="39">
                  <c:v>1.945669291338583E-5</c:v>
                </c:pt>
                <c:pt idx="40">
                  <c:v>1.9937007874015753E-5</c:v>
                </c:pt>
                <c:pt idx="41">
                  <c:v>2.0342519685039369E-5</c:v>
                </c:pt>
                <c:pt idx="42">
                  <c:v>2.0673228346456689E-5</c:v>
                </c:pt>
                <c:pt idx="43">
                  <c:v>2.0964566929133858E-5</c:v>
                </c:pt>
                <c:pt idx="44">
                  <c:v>2.1220472440944883E-5</c:v>
                </c:pt>
                <c:pt idx="45">
                  <c:v>2.1401574803149611E-5</c:v>
                </c:pt>
                <c:pt idx="46">
                  <c:v>2.159448818897638E-5</c:v>
                </c:pt>
                <c:pt idx="47">
                  <c:v>2.1755905511811025E-5</c:v>
                </c:pt>
                <c:pt idx="48">
                  <c:v>2.1893700787401574E-5</c:v>
                </c:pt>
                <c:pt idx="49">
                  <c:v>2.2047244094488194E-5</c:v>
                </c:pt>
                <c:pt idx="50">
                  <c:v>2.2137795275590551E-5</c:v>
                </c:pt>
                <c:pt idx="51">
                  <c:v>2.2244094488188977E-5</c:v>
                </c:pt>
                <c:pt idx="52">
                  <c:v>2.2326771653543312E-5</c:v>
                </c:pt>
                <c:pt idx="53">
                  <c:v>2.2370078740157479E-5</c:v>
                </c:pt>
                <c:pt idx="54">
                  <c:v>2.2354330708661421E-5</c:v>
                </c:pt>
                <c:pt idx="55">
                  <c:v>2.2248031496062995E-5</c:v>
                </c:pt>
                <c:pt idx="56">
                  <c:v>2.2031496062992129E-5</c:v>
                </c:pt>
                <c:pt idx="57">
                  <c:v>2.1771653543307083E-5</c:v>
                </c:pt>
                <c:pt idx="58">
                  <c:v>2.1586614173228344E-5</c:v>
                </c:pt>
                <c:pt idx="59">
                  <c:v>2.1476377952755907E-5</c:v>
                </c:pt>
                <c:pt idx="60">
                  <c:v>2.1397637795275593E-5</c:v>
                </c:pt>
                <c:pt idx="61">
                  <c:v>2.1326771653543308E-5</c:v>
                </c:pt>
                <c:pt idx="62">
                  <c:v>2.1248031496062991E-5</c:v>
                </c:pt>
                <c:pt idx="63">
                  <c:v>2.1165354330708659E-5</c:v>
                </c:pt>
                <c:pt idx="64">
                  <c:v>2.1074803149606298E-5</c:v>
                </c:pt>
                <c:pt idx="65">
                  <c:v>2.1019685039370085E-5</c:v>
                </c:pt>
                <c:pt idx="66">
                  <c:v>2.0925196850393699E-5</c:v>
                </c:pt>
                <c:pt idx="67">
                  <c:v>2.086220472440945E-5</c:v>
                </c:pt>
                <c:pt idx="68">
                  <c:v>2.0763779527559054E-5</c:v>
                </c:pt>
                <c:pt idx="69">
                  <c:v>2.069685039370079E-5</c:v>
                </c:pt>
                <c:pt idx="70">
                  <c:v>2.062992125984252E-5</c:v>
                </c:pt>
                <c:pt idx="71">
                  <c:v>2.0559055118110238E-5</c:v>
                </c:pt>
                <c:pt idx="72">
                  <c:v>2.0488188976377957E-5</c:v>
                </c:pt>
                <c:pt idx="73">
                  <c:v>2.0448818897637798E-5</c:v>
                </c:pt>
                <c:pt idx="74">
                  <c:v>2.0374015748031499E-5</c:v>
                </c:pt>
                <c:pt idx="75">
                  <c:v>2.029133858267717E-5</c:v>
                </c:pt>
                <c:pt idx="76">
                  <c:v>2.0212598425196853E-5</c:v>
                </c:pt>
                <c:pt idx="77">
                  <c:v>2.0086614173228348E-5</c:v>
                </c:pt>
                <c:pt idx="78">
                  <c:v>2.000393700787402E-5</c:v>
                </c:pt>
                <c:pt idx="79">
                  <c:v>1.9877952755905515E-5</c:v>
                </c:pt>
                <c:pt idx="80">
                  <c:v>1.9755905511811027E-5</c:v>
                </c:pt>
                <c:pt idx="81">
                  <c:v>1.9629921259842519E-5</c:v>
                </c:pt>
                <c:pt idx="82">
                  <c:v>1.9503937007874014E-5</c:v>
                </c:pt>
                <c:pt idx="83">
                  <c:v>1.9377952755905516E-5</c:v>
                </c:pt>
                <c:pt idx="84">
                  <c:v>1.9212598425196852E-5</c:v>
                </c:pt>
                <c:pt idx="85">
                  <c:v>1.9051181102362207E-5</c:v>
                </c:pt>
                <c:pt idx="86">
                  <c:v>1.8925196850393702E-5</c:v>
                </c:pt>
                <c:pt idx="87">
                  <c:v>1.8763779527559059E-5</c:v>
                </c:pt>
                <c:pt idx="88">
                  <c:v>1.8637795275590554E-5</c:v>
                </c:pt>
                <c:pt idx="89">
                  <c:v>1.8515748031496064E-5</c:v>
                </c:pt>
                <c:pt idx="90">
                  <c:v>1.8393700787401577E-5</c:v>
                </c:pt>
                <c:pt idx="91">
                  <c:v>1.827165354330709E-5</c:v>
                </c:pt>
                <c:pt idx="92">
                  <c:v>1.8188976377952758E-5</c:v>
                </c:pt>
                <c:pt idx="93">
                  <c:v>1.8106299212598426E-5</c:v>
                </c:pt>
                <c:pt idx="94">
                  <c:v>1.8062992125984253E-5</c:v>
                </c:pt>
                <c:pt idx="95">
                  <c:v>1.8023622047244094E-5</c:v>
                </c:pt>
                <c:pt idx="96">
                  <c:v>1.7980314960629921E-5</c:v>
                </c:pt>
                <c:pt idx="97">
                  <c:v>1.7937007874015748E-5</c:v>
                </c:pt>
                <c:pt idx="98">
                  <c:v>1.7933070866141733E-5</c:v>
                </c:pt>
                <c:pt idx="99">
                  <c:v>1.7893700787401575E-5</c:v>
                </c:pt>
                <c:pt idx="100">
                  <c:v>1.788976377952756E-5</c:v>
                </c:pt>
                <c:pt idx="101">
                  <c:v>1.7929133858267719E-5</c:v>
                </c:pt>
                <c:pt idx="102">
                  <c:v>1.7925196850393701E-5</c:v>
                </c:pt>
                <c:pt idx="103">
                  <c:v>1.796456692913386E-5</c:v>
                </c:pt>
                <c:pt idx="104">
                  <c:v>1.8003937007874018E-5</c:v>
                </c:pt>
                <c:pt idx="105">
                  <c:v>1.8078740157480314E-5</c:v>
                </c:pt>
                <c:pt idx="106">
                  <c:v>1.8118110236220473E-5</c:v>
                </c:pt>
                <c:pt idx="107">
                  <c:v>1.819685039370079E-5</c:v>
                </c:pt>
                <c:pt idx="108">
                  <c:v>1.8271653543307086E-5</c:v>
                </c:pt>
                <c:pt idx="109">
                  <c:v>1.83503937007874E-5</c:v>
                </c:pt>
                <c:pt idx="110">
                  <c:v>1.8429133858267718E-5</c:v>
                </c:pt>
                <c:pt idx="111">
                  <c:v>1.8503937007874017E-5</c:v>
                </c:pt>
                <c:pt idx="112">
                  <c:v>1.8582677165354331E-5</c:v>
                </c:pt>
                <c:pt idx="113">
                  <c:v>1.8661417322834645E-5</c:v>
                </c:pt>
                <c:pt idx="114">
                  <c:v>1.8696850393700789E-5</c:v>
                </c:pt>
                <c:pt idx="115">
                  <c:v>1.8736220472440944E-5</c:v>
                </c:pt>
                <c:pt idx="116">
                  <c:v>1.8775590551181106E-5</c:v>
                </c:pt>
                <c:pt idx="117">
                  <c:v>1.8811023622047247E-5</c:v>
                </c:pt>
                <c:pt idx="118">
                  <c:v>1.8771653543307088E-5</c:v>
                </c:pt>
                <c:pt idx="119">
                  <c:v>1.873228346456693E-5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35-4B10-8798-188ED00FA98F}"/>
            </c:ext>
          </c:extLst>
        </c:ser>
        <c:ser>
          <c:idx val="27"/>
          <c:order val="13"/>
          <c:spPr>
            <a:ln w="19050">
              <a:solidFill>
                <a:srgbClr val="00B05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xVal>
            <c:numRef>
              <c:f>P4_LB!$A$7:$A$126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P4_LB!$H$7:$H$126</c:f>
              <c:numCache>
                <c:formatCode>0.00E+00</c:formatCode>
                <c:ptCount val="120"/>
                <c:pt idx="0">
                  <c:v>1.8307086614173228E-8</c:v>
                </c:pt>
                <c:pt idx="1">
                  <c:v>7.3582677165354342E-8</c:v>
                </c:pt>
                <c:pt idx="2">
                  <c:v>1.6692913385826773E-7</c:v>
                </c:pt>
                <c:pt idx="3">
                  <c:v>2.9999999999999999E-7</c:v>
                </c:pt>
                <c:pt idx="4">
                  <c:v>4.783464566929134E-7</c:v>
                </c:pt>
                <c:pt idx="5">
                  <c:v>7.0787401574803153E-7</c:v>
                </c:pt>
                <c:pt idx="6">
                  <c:v>1.0043307086614174E-6</c:v>
                </c:pt>
                <c:pt idx="7">
                  <c:v>1.3779527559055117E-6</c:v>
                </c:pt>
                <c:pt idx="8">
                  <c:v>1.84251968503937E-6</c:v>
                </c:pt>
                <c:pt idx="9">
                  <c:v>2.3858267716535434E-6</c:v>
                </c:pt>
                <c:pt idx="10">
                  <c:v>2.9291338582677169E-6</c:v>
                </c:pt>
                <c:pt idx="11">
                  <c:v>3.4212598425196852E-6</c:v>
                </c:pt>
                <c:pt idx="12">
                  <c:v>3.8700787401574803E-6</c:v>
                </c:pt>
                <c:pt idx="13">
                  <c:v>4.3425196850393706E-6</c:v>
                </c:pt>
                <c:pt idx="14">
                  <c:v>4.885826771653544E-6</c:v>
                </c:pt>
                <c:pt idx="15">
                  <c:v>5.5196850393700783E-6</c:v>
                </c:pt>
                <c:pt idx="16">
                  <c:v>6.2755905511811014E-6</c:v>
                </c:pt>
                <c:pt idx="17">
                  <c:v>7.1968503937007881E-6</c:v>
                </c:pt>
                <c:pt idx="18">
                  <c:v>8.2440944881889772E-6</c:v>
                </c:pt>
                <c:pt idx="19">
                  <c:v>9.4881889763779536E-6</c:v>
                </c:pt>
                <c:pt idx="20">
                  <c:v>1.0897637795275592E-5</c:v>
                </c:pt>
                <c:pt idx="21">
                  <c:v>1.2511811023622049E-5</c:v>
                </c:pt>
                <c:pt idx="22">
                  <c:v>1.4255905511811026E-5</c:v>
                </c:pt>
                <c:pt idx="23">
                  <c:v>1.6007874015748032E-5</c:v>
                </c:pt>
                <c:pt idx="24">
                  <c:v>1.7736220472440944E-5</c:v>
                </c:pt>
                <c:pt idx="25">
                  <c:v>1.9350393700787404E-5</c:v>
                </c:pt>
                <c:pt idx="26">
                  <c:v>2.0700787401574798E-5</c:v>
                </c:pt>
                <c:pt idx="27">
                  <c:v>2.1744094488188978E-5</c:v>
                </c:pt>
                <c:pt idx="28">
                  <c:v>2.259448818897638E-5</c:v>
                </c:pt>
                <c:pt idx="29">
                  <c:v>2.3216535433070866E-5</c:v>
                </c:pt>
                <c:pt idx="30">
                  <c:v>2.3681102362204727E-5</c:v>
                </c:pt>
                <c:pt idx="31">
                  <c:v>2.40748031496063E-5</c:v>
                </c:pt>
                <c:pt idx="32">
                  <c:v>2.4429133858267721E-5</c:v>
                </c:pt>
                <c:pt idx="33">
                  <c:v>2.4751968503937013E-5</c:v>
                </c:pt>
                <c:pt idx="34">
                  <c:v>2.5122047244094488E-5</c:v>
                </c:pt>
                <c:pt idx="35">
                  <c:v>2.551181102362205E-5</c:v>
                </c:pt>
                <c:pt idx="36">
                  <c:v>2.592913385826772E-5</c:v>
                </c:pt>
                <c:pt idx="37">
                  <c:v>2.6413385826771654E-5</c:v>
                </c:pt>
                <c:pt idx="38">
                  <c:v>2.6972440944881891E-5</c:v>
                </c:pt>
                <c:pt idx="39">
                  <c:v>2.7578740157480318E-5</c:v>
                </c:pt>
                <c:pt idx="40">
                  <c:v>2.8224409448818894E-5</c:v>
                </c:pt>
                <c:pt idx="41">
                  <c:v>2.891338582677165E-5</c:v>
                </c:pt>
                <c:pt idx="42">
                  <c:v>2.9696850393700792E-5</c:v>
                </c:pt>
                <c:pt idx="43">
                  <c:v>3.0586614173228349E-5</c:v>
                </c:pt>
                <c:pt idx="44">
                  <c:v>3.1551181102362202E-5</c:v>
                </c:pt>
                <c:pt idx="45">
                  <c:v>3.2629921259842523E-5</c:v>
                </c:pt>
                <c:pt idx="46">
                  <c:v>3.3779527559055119E-5</c:v>
                </c:pt>
                <c:pt idx="47">
                  <c:v>3.5039370078740156E-5</c:v>
                </c:pt>
                <c:pt idx="48">
                  <c:v>3.6417322834645674E-5</c:v>
                </c:pt>
                <c:pt idx="49">
                  <c:v>3.7834645669291338E-5</c:v>
                </c:pt>
                <c:pt idx="50">
                  <c:v>3.9330708661417327E-5</c:v>
                </c:pt>
                <c:pt idx="51">
                  <c:v>4.0708661417322839E-5</c:v>
                </c:pt>
                <c:pt idx="52">
                  <c:v>4.1850393700787399E-5</c:v>
                </c:pt>
                <c:pt idx="53">
                  <c:v>4.2086614173228351E-5</c:v>
                </c:pt>
                <c:pt idx="54">
                  <c:v>4.0984251968503942E-5</c:v>
                </c:pt>
                <c:pt idx="55">
                  <c:v>3.9606299212598424E-5</c:v>
                </c:pt>
                <c:pt idx="56">
                  <c:v>4.0157480314960638E-5</c:v>
                </c:pt>
                <c:pt idx="57">
                  <c:v>4.2440944881889772E-5</c:v>
                </c:pt>
                <c:pt idx="58">
                  <c:v>4.4448818897637795E-5</c:v>
                </c:pt>
                <c:pt idx="59">
                  <c:v>4.5787401574803149E-5</c:v>
                </c:pt>
                <c:pt idx="60">
                  <c:v>4.6653543307086619E-5</c:v>
                </c:pt>
                <c:pt idx="61">
                  <c:v>4.7283464566929137E-5</c:v>
                </c:pt>
                <c:pt idx="62">
                  <c:v>4.7992125984251972E-5</c:v>
                </c:pt>
                <c:pt idx="63">
                  <c:v>4.8267716535433076E-5</c:v>
                </c:pt>
                <c:pt idx="64">
                  <c:v>4.854330708661418E-5</c:v>
                </c:pt>
                <c:pt idx="65">
                  <c:v>4.9212598425196843E-5</c:v>
                </c:pt>
                <c:pt idx="66">
                  <c:v>4.9527559055118112E-5</c:v>
                </c:pt>
                <c:pt idx="67">
                  <c:v>4.9803149606299216E-5</c:v>
                </c:pt>
                <c:pt idx="68">
                  <c:v>5.0039370078740161E-5</c:v>
                </c:pt>
                <c:pt idx="69">
                  <c:v>5.0314960629921258E-5</c:v>
                </c:pt>
                <c:pt idx="70">
                  <c:v>5.0590551181102362E-5</c:v>
                </c:pt>
                <c:pt idx="71">
                  <c:v>5.0826771653543314E-5</c:v>
                </c:pt>
                <c:pt idx="72">
                  <c:v>5.1062992125984252E-5</c:v>
                </c:pt>
                <c:pt idx="73">
                  <c:v>5.1299212598425204E-5</c:v>
                </c:pt>
                <c:pt idx="74">
                  <c:v>5.1535433070866149E-5</c:v>
                </c:pt>
                <c:pt idx="75">
                  <c:v>5.1771653543307094E-5</c:v>
                </c:pt>
                <c:pt idx="76">
                  <c:v>5.1968503937007867E-5</c:v>
                </c:pt>
                <c:pt idx="77">
                  <c:v>5.2204724409448826E-5</c:v>
                </c:pt>
                <c:pt idx="78">
                  <c:v>5.2401574803149606E-5</c:v>
                </c:pt>
                <c:pt idx="79">
                  <c:v>5.2637795275590557E-5</c:v>
                </c:pt>
                <c:pt idx="80">
                  <c:v>5.3267716535433076E-5</c:v>
                </c:pt>
                <c:pt idx="81">
                  <c:v>5.3503937007874021E-5</c:v>
                </c:pt>
                <c:pt idx="82">
                  <c:v>5.3740157480314966E-5</c:v>
                </c:pt>
                <c:pt idx="83">
                  <c:v>5.4409448818897643E-5</c:v>
                </c:pt>
                <c:pt idx="84">
                  <c:v>5.5078740157480312E-5</c:v>
                </c:pt>
                <c:pt idx="85">
                  <c:v>5.5748031496062996E-5</c:v>
                </c:pt>
                <c:pt idx="86">
                  <c:v>5.6417322834645666E-5</c:v>
                </c:pt>
                <c:pt idx="87">
                  <c:v>5.7125984251968508E-5</c:v>
                </c:pt>
                <c:pt idx="88">
                  <c:v>5.822834645669291E-5</c:v>
                </c:pt>
                <c:pt idx="89">
                  <c:v>5.9330708661417332E-5</c:v>
                </c:pt>
                <c:pt idx="90">
                  <c:v>6.0472440944881892E-5</c:v>
                </c:pt>
                <c:pt idx="91">
                  <c:v>6.1968503937007887E-5</c:v>
                </c:pt>
                <c:pt idx="92">
                  <c:v>6.350393700787402E-5</c:v>
                </c:pt>
                <c:pt idx="93">
                  <c:v>6.5393700787401581E-5</c:v>
                </c:pt>
                <c:pt idx="94">
                  <c:v>6.7322834645669287E-5</c:v>
                </c:pt>
                <c:pt idx="95">
                  <c:v>6.9251968503937007E-5</c:v>
                </c:pt>
                <c:pt idx="96">
                  <c:v>7.118110236220474E-5</c:v>
                </c:pt>
                <c:pt idx="97">
                  <c:v>7.346456692913386E-5</c:v>
                </c:pt>
                <c:pt idx="98">
                  <c:v>7.6181102362204726E-5</c:v>
                </c:pt>
                <c:pt idx="99">
                  <c:v>7.8897637795275605E-5</c:v>
                </c:pt>
                <c:pt idx="100">
                  <c:v>8.2007874015748044E-5</c:v>
                </c:pt>
                <c:pt idx="101">
                  <c:v>8.5118110236220482E-5</c:v>
                </c:pt>
                <c:pt idx="102">
                  <c:v>8.9015748031496067E-5</c:v>
                </c:pt>
                <c:pt idx="103">
                  <c:v>9.2913385826771651E-5</c:v>
                </c:pt>
                <c:pt idx="104">
                  <c:v>9.7610236220472459E-5</c:v>
                </c:pt>
                <c:pt idx="105">
                  <c:v>1.0230314960629922E-4</c:v>
                </c:pt>
                <c:pt idx="106">
                  <c:v>1.0778346456692914E-4</c:v>
                </c:pt>
                <c:pt idx="107">
                  <c:v>1.1405511811023622E-4</c:v>
                </c:pt>
                <c:pt idx="108">
                  <c:v>1.2072047244094488E-4</c:v>
                </c:pt>
                <c:pt idx="109">
                  <c:v>1.2778346456692916E-4</c:v>
                </c:pt>
                <c:pt idx="110">
                  <c:v>1.3563779527559056E-4</c:v>
                </c:pt>
                <c:pt idx="111">
                  <c:v>1.4427952755905515E-4</c:v>
                </c:pt>
                <c:pt idx="112">
                  <c:v>1.5370866141732283E-4</c:v>
                </c:pt>
                <c:pt idx="113">
                  <c:v>1.639291338582677E-4</c:v>
                </c:pt>
                <c:pt idx="114">
                  <c:v>1.7533464566929136E-4</c:v>
                </c:pt>
                <c:pt idx="115">
                  <c:v>1.8713385826771658E-4</c:v>
                </c:pt>
                <c:pt idx="116">
                  <c:v>2.0051181102362207E-4</c:v>
                </c:pt>
                <c:pt idx="117">
                  <c:v>2.1468110236220477E-4</c:v>
                </c:pt>
                <c:pt idx="118">
                  <c:v>2.3003149606299215E-4</c:v>
                </c:pt>
                <c:pt idx="119">
                  <c:v>2.4656692913385832E-4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35-4B10-8798-188ED00FA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232"/>
        <c:axId val="1"/>
      </c:scatterChart>
      <c:valAx>
        <c:axId val="1346360232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5991640750788504"/>
              <c:y val="0.9136711327940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3.3755265885881909E-2"/>
              <c:y val="0.2829743093047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360232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1.5" header="0.75" footer="0.7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Human</a:t>
            </a:r>
            <a:r>
              <a:rPr lang="en-US" sz="1400" b="1" baseline="0"/>
              <a:t> Perception Curve</a:t>
            </a:r>
          </a:p>
          <a:p>
            <a:pPr>
              <a:defRPr/>
            </a:pPr>
            <a:endParaRPr lang="en-US" sz="600" b="1" baseline="0"/>
          </a:p>
          <a:p>
            <a:pPr>
              <a:defRPr/>
            </a:pPr>
            <a:r>
              <a:rPr lang="en-US" sz="1200" b="1" baseline="0">
                <a:solidFill>
                  <a:srgbClr val="FF0000"/>
                </a:solidFill>
              </a:rPr>
              <a:t>Point 4 - NW Corner</a:t>
            </a:r>
            <a:endParaRPr lang="en-US" sz="12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69036276798548"/>
          <c:y val="0.13311664149862262"/>
          <c:w val="0.79580356821014242"/>
          <c:h val="0.75242850741218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FFC-4692-9D39-E33A12CDA94C}"/>
              </c:ext>
            </c:extLst>
          </c:dPt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1.4784808479739018E-4</c:v>
                </c:pt>
                <c:pt idx="1">
                  <c:v>1.4784808479739018E-4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FC-4692-9D39-E33A12CDA94C}"/>
            </c:ext>
          </c:extLst>
        </c:ser>
        <c:ser>
          <c:idx val="10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1424</c:v>
                </c:pt>
                <c:pt idx="1">
                  <c:v>1424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FC-4692-9D39-E33A12CDA94C}"/>
            </c:ext>
          </c:extLst>
        </c:ser>
        <c:ser>
          <c:idx val="1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1780</c:v>
                </c:pt>
                <c:pt idx="1">
                  <c:v>1780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FC-4692-9D39-E33A12CDA94C}"/>
            </c:ext>
          </c:extLst>
        </c:ser>
        <c:ser>
          <c:idx val="1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2136</c:v>
                </c:pt>
                <c:pt idx="1">
                  <c:v>2136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FC-4692-9D39-E33A12CDA94C}"/>
            </c:ext>
          </c:extLst>
        </c:ser>
        <c:ser>
          <c:idx val="7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limits!$A$9:$A$12</c:f>
              <c:numCache>
                <c:formatCode>General</c:formatCode>
                <c:ptCount val="4"/>
                <c:pt idx="0">
                  <c:v>100</c:v>
                </c:pt>
                <c:pt idx="1">
                  <c:v>2300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limits!$B$9:$B$12</c:f>
              <c:numCache>
                <c:formatCode>General</c:formatCode>
                <c:ptCount val="4"/>
                <c:pt idx="0">
                  <c:v>0.1</c:v>
                </c:pt>
                <c:pt idx="1">
                  <c:v>5.5000000000000003E-4</c:v>
                </c:pt>
                <c:pt idx="2">
                  <c:v>1.2999999999999999E-4</c:v>
                </c:pt>
                <c:pt idx="3">
                  <c:v>1.45E-5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FFC-4692-9D39-E33A12CDA94C}"/>
            </c:ext>
          </c:extLst>
        </c:ser>
        <c:ser>
          <c:idx val="3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limits!$B$4:$B$6</c:f>
              <c:numCache>
                <c:formatCode>General</c:formatCode>
                <c:ptCount val="3"/>
                <c:pt idx="0">
                  <c:v>9.2999999999999992E-3</c:v>
                </c:pt>
                <c:pt idx="1">
                  <c:v>1E-4</c:v>
                </c:pt>
                <c:pt idx="2">
                  <c:v>1.1E-5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FFC-4692-9D39-E33A12CDA94C}"/>
            </c:ext>
          </c:extLst>
        </c:ser>
        <c:ser>
          <c:idx val="5"/>
          <c:order val="6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limits!$C$4:$C$6</c:f>
              <c:numCache>
                <c:formatCode>General</c:formatCode>
                <c:ptCount val="3"/>
                <c:pt idx="0">
                  <c:v>3.3E-3</c:v>
                </c:pt>
                <c:pt idx="1">
                  <c:v>3.3000000000000003E-5</c:v>
                </c:pt>
                <c:pt idx="2">
                  <c:v>3.3299999999999999E-6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FFC-4692-9D39-E33A12CDA94C}"/>
            </c:ext>
          </c:extLst>
        </c:ser>
        <c:ser>
          <c:idx val="6"/>
          <c:order val="7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limits!$D$4:$D$6</c:f>
              <c:numCache>
                <c:formatCode>General</c:formatCode>
                <c:ptCount val="3"/>
                <c:pt idx="0">
                  <c:v>1.1999999999999999E-3</c:v>
                </c:pt>
                <c:pt idx="1">
                  <c:v>1.0000000000000001E-5</c:v>
                </c:pt>
                <c:pt idx="2">
                  <c:v>8.9999999999999996E-7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FFC-4692-9D39-E33A12CDA94C}"/>
            </c:ext>
          </c:extLst>
        </c:ser>
        <c:ser>
          <c:idx val="18"/>
          <c:order val="8"/>
          <c:tx>
            <c:v>X-Translation</c:v>
          </c:tx>
          <c:spPr>
            <a:ln w="1905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P4_LB!$A$7:$A$126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P4_LB!$F$7:$F$126</c:f>
              <c:numCache>
                <c:formatCode>0.00E+00</c:formatCode>
                <c:ptCount val="120"/>
                <c:pt idx="0">
                  <c:v>5.2401574803149611E-8</c:v>
                </c:pt>
                <c:pt idx="1">
                  <c:v>2.1496062992125984E-7</c:v>
                </c:pt>
                <c:pt idx="2">
                  <c:v>4.9370078740157486E-7</c:v>
                </c:pt>
                <c:pt idx="3">
                  <c:v>9.0551181102362207E-7</c:v>
                </c:pt>
                <c:pt idx="4">
                  <c:v>1.4763779527559056E-6</c:v>
                </c:pt>
                <c:pt idx="5">
                  <c:v>2.2362204724409446E-6</c:v>
                </c:pt>
                <c:pt idx="6">
                  <c:v>3.2440944881889763E-6</c:v>
                </c:pt>
                <c:pt idx="7">
                  <c:v>4.5590551181102372E-6</c:v>
                </c:pt>
                <c:pt idx="8">
                  <c:v>6.2125984251968506E-6</c:v>
                </c:pt>
                <c:pt idx="9">
                  <c:v>8.074803149606299E-6</c:v>
                </c:pt>
                <c:pt idx="10">
                  <c:v>9.7519685039370088E-6</c:v>
                </c:pt>
                <c:pt idx="11">
                  <c:v>1.1023622047244094E-5</c:v>
                </c:pt>
                <c:pt idx="12">
                  <c:v>1.2125984251968505E-5</c:v>
                </c:pt>
                <c:pt idx="13">
                  <c:v>1.3385826771653545E-5</c:v>
                </c:pt>
                <c:pt idx="14">
                  <c:v>1.5039370078740159E-5</c:v>
                </c:pt>
                <c:pt idx="15">
                  <c:v>1.7007874015748029E-5</c:v>
                </c:pt>
                <c:pt idx="16">
                  <c:v>1.9330708661417325E-5</c:v>
                </c:pt>
                <c:pt idx="17">
                  <c:v>2.2007874015748028E-5</c:v>
                </c:pt>
                <c:pt idx="18">
                  <c:v>2.5118110236220474E-5</c:v>
                </c:pt>
                <c:pt idx="19">
                  <c:v>2.8661417322834647E-5</c:v>
                </c:pt>
                <c:pt idx="20">
                  <c:v>3.279527559055118E-5</c:v>
                </c:pt>
                <c:pt idx="21">
                  <c:v>3.7440944881889766E-5</c:v>
                </c:pt>
                <c:pt idx="22">
                  <c:v>4.2519685039370082E-5</c:v>
                </c:pt>
                <c:pt idx="23">
                  <c:v>4.7244094488188978E-5</c:v>
                </c:pt>
                <c:pt idx="24">
                  <c:v>5.2283464566929136E-5</c:v>
                </c:pt>
                <c:pt idx="25">
                  <c:v>5.6535433070866142E-5</c:v>
                </c:pt>
                <c:pt idx="26">
                  <c:v>6.0000000000000002E-5</c:v>
                </c:pt>
                <c:pt idx="27">
                  <c:v>6.2677165354330702E-5</c:v>
                </c:pt>
                <c:pt idx="28">
                  <c:v>6.4566929133858276E-5</c:v>
                </c:pt>
                <c:pt idx="29">
                  <c:v>6.570866141732285E-5</c:v>
                </c:pt>
                <c:pt idx="30">
                  <c:v>6.6023622047244092E-5</c:v>
                </c:pt>
                <c:pt idx="31">
                  <c:v>6.637795275590552E-5</c:v>
                </c:pt>
                <c:pt idx="32">
                  <c:v>6.5905511811023616E-5</c:v>
                </c:pt>
                <c:pt idx="33">
                  <c:v>6.5078740157480312E-5</c:v>
                </c:pt>
                <c:pt idx="34">
                  <c:v>6.4212598425196848E-5</c:v>
                </c:pt>
                <c:pt idx="35">
                  <c:v>6.2913385826771654E-5</c:v>
                </c:pt>
                <c:pt idx="36">
                  <c:v>6.1614173228346459E-5</c:v>
                </c:pt>
                <c:pt idx="37">
                  <c:v>5.996062992125985E-5</c:v>
                </c:pt>
                <c:pt idx="38">
                  <c:v>5.8661417322834655E-5</c:v>
                </c:pt>
                <c:pt idx="39">
                  <c:v>5.696850393700788E-5</c:v>
                </c:pt>
                <c:pt idx="40">
                  <c:v>5.5275590551181106E-5</c:v>
                </c:pt>
                <c:pt idx="41">
                  <c:v>5.3622047244094497E-5</c:v>
                </c:pt>
                <c:pt idx="42">
                  <c:v>5.1929133858267722E-5</c:v>
                </c:pt>
                <c:pt idx="43">
                  <c:v>5.0275590551181099E-5</c:v>
                </c:pt>
                <c:pt idx="44">
                  <c:v>4.862204724409449E-5</c:v>
                </c:pt>
                <c:pt idx="45">
                  <c:v>4.6968503937007881E-5</c:v>
                </c:pt>
                <c:pt idx="46">
                  <c:v>4.5314960629921265E-5</c:v>
                </c:pt>
                <c:pt idx="47">
                  <c:v>4.3858267716535436E-5</c:v>
                </c:pt>
                <c:pt idx="48">
                  <c:v>4.2440944881889765E-5</c:v>
                </c:pt>
                <c:pt idx="49">
                  <c:v>4.1102362204724412E-5</c:v>
                </c:pt>
                <c:pt idx="50">
                  <c:v>3.9763779527559058E-5</c:v>
                </c:pt>
                <c:pt idx="51">
                  <c:v>3.846456692913387E-5</c:v>
                </c:pt>
                <c:pt idx="52">
                  <c:v>3.7204724409448827E-5</c:v>
                </c:pt>
                <c:pt idx="53">
                  <c:v>3.5984251968503936E-5</c:v>
                </c:pt>
                <c:pt idx="54">
                  <c:v>3.4763779527559059E-5</c:v>
                </c:pt>
                <c:pt idx="55">
                  <c:v>3.3582677165354326E-5</c:v>
                </c:pt>
                <c:pt idx="56">
                  <c:v>3.2519685039370083E-5</c:v>
                </c:pt>
                <c:pt idx="57">
                  <c:v>3.1417322834645668E-5</c:v>
                </c:pt>
                <c:pt idx="58">
                  <c:v>3.0314960629921263E-5</c:v>
                </c:pt>
                <c:pt idx="59">
                  <c:v>2.9251968503937014E-5</c:v>
                </c:pt>
                <c:pt idx="60">
                  <c:v>2.8267716535433071E-5</c:v>
                </c:pt>
                <c:pt idx="61">
                  <c:v>2.7362204724409449E-5</c:v>
                </c:pt>
                <c:pt idx="62">
                  <c:v>2.6456692913385831E-5</c:v>
                </c:pt>
                <c:pt idx="63">
                  <c:v>2.5629921259842519E-5</c:v>
                </c:pt>
                <c:pt idx="64">
                  <c:v>2.4881889763779532E-5</c:v>
                </c:pt>
                <c:pt idx="65">
                  <c:v>2.4212598425196855E-5</c:v>
                </c:pt>
                <c:pt idx="66">
                  <c:v>2.3582677165354334E-5</c:v>
                </c:pt>
                <c:pt idx="67">
                  <c:v>2.2992125984251971E-5</c:v>
                </c:pt>
                <c:pt idx="68">
                  <c:v>2.2440944881889767E-5</c:v>
                </c:pt>
                <c:pt idx="69">
                  <c:v>2.1968503937007877E-5</c:v>
                </c:pt>
                <c:pt idx="70">
                  <c:v>2.1535433070866142E-5</c:v>
                </c:pt>
                <c:pt idx="71">
                  <c:v>2.110236220472441E-5</c:v>
                </c:pt>
                <c:pt idx="72">
                  <c:v>2.0708661417322837E-5</c:v>
                </c:pt>
                <c:pt idx="73">
                  <c:v>2.0314960629921261E-5</c:v>
                </c:pt>
                <c:pt idx="74">
                  <c:v>1.9960629921259843E-5</c:v>
                </c:pt>
                <c:pt idx="75">
                  <c:v>1.9566929133858267E-5</c:v>
                </c:pt>
                <c:pt idx="76">
                  <c:v>1.9212598425196852E-5</c:v>
                </c:pt>
                <c:pt idx="77">
                  <c:v>1.8818897637795276E-5</c:v>
                </c:pt>
                <c:pt idx="78">
                  <c:v>1.8464566929133858E-5</c:v>
                </c:pt>
                <c:pt idx="79">
                  <c:v>1.8031496062992127E-5</c:v>
                </c:pt>
                <c:pt idx="80">
                  <c:v>1.7677165354330709E-5</c:v>
                </c:pt>
                <c:pt idx="81">
                  <c:v>1.7244094488188977E-5</c:v>
                </c:pt>
                <c:pt idx="82">
                  <c:v>1.6850393700787401E-5</c:v>
                </c:pt>
                <c:pt idx="83">
                  <c:v>1.6417322834645669E-5</c:v>
                </c:pt>
                <c:pt idx="84">
                  <c:v>1.5984251968503938E-5</c:v>
                </c:pt>
                <c:pt idx="85">
                  <c:v>1.5590551181102362E-5</c:v>
                </c:pt>
                <c:pt idx="86">
                  <c:v>1.5157480314960632E-5</c:v>
                </c:pt>
                <c:pt idx="87">
                  <c:v>1.4763779527559057E-5</c:v>
                </c:pt>
                <c:pt idx="88">
                  <c:v>1.4370078740157481E-5</c:v>
                </c:pt>
                <c:pt idx="89">
                  <c:v>1.4015748031496065E-5</c:v>
                </c:pt>
                <c:pt idx="90">
                  <c:v>1.3661417322834647E-5</c:v>
                </c:pt>
                <c:pt idx="91">
                  <c:v>1.3346456692913386E-5</c:v>
                </c:pt>
                <c:pt idx="92">
                  <c:v>1.3031496062992125E-5</c:v>
                </c:pt>
                <c:pt idx="93">
                  <c:v>1.2795275590551182E-5</c:v>
                </c:pt>
                <c:pt idx="94">
                  <c:v>1.2519685039370078E-5</c:v>
                </c:pt>
                <c:pt idx="95">
                  <c:v>1.2283464566929135E-5</c:v>
                </c:pt>
                <c:pt idx="96">
                  <c:v>1.2086614173228347E-5</c:v>
                </c:pt>
                <c:pt idx="97">
                  <c:v>1.18503937007874E-5</c:v>
                </c:pt>
                <c:pt idx="98">
                  <c:v>1.169291338582677E-5</c:v>
                </c:pt>
                <c:pt idx="99">
                  <c:v>1.1574803149606298E-5</c:v>
                </c:pt>
                <c:pt idx="100">
                  <c:v>1.1456692913385827E-5</c:v>
                </c:pt>
                <c:pt idx="101">
                  <c:v>1.1377952755905513E-5</c:v>
                </c:pt>
                <c:pt idx="102">
                  <c:v>1.1299212598425197E-5</c:v>
                </c:pt>
                <c:pt idx="103">
                  <c:v>1.125984251968504E-5</c:v>
                </c:pt>
                <c:pt idx="104">
                  <c:v>1.125984251968504E-5</c:v>
                </c:pt>
                <c:pt idx="105">
                  <c:v>1.125984251968504E-5</c:v>
                </c:pt>
                <c:pt idx="106">
                  <c:v>1.1299212598425197E-5</c:v>
                </c:pt>
                <c:pt idx="107">
                  <c:v>1.1377952755905513E-5</c:v>
                </c:pt>
                <c:pt idx="108">
                  <c:v>1.1456692913385827E-5</c:v>
                </c:pt>
                <c:pt idx="109">
                  <c:v>1.1574803149606299E-5</c:v>
                </c:pt>
                <c:pt idx="110">
                  <c:v>1.1653543307086615E-5</c:v>
                </c:pt>
                <c:pt idx="111">
                  <c:v>1.1811023622047245E-5</c:v>
                </c:pt>
                <c:pt idx="112">
                  <c:v>1.1968503937007872E-5</c:v>
                </c:pt>
                <c:pt idx="113">
                  <c:v>1.2125984251968505E-5</c:v>
                </c:pt>
                <c:pt idx="114">
                  <c:v>1.2283464566929136E-5</c:v>
                </c:pt>
                <c:pt idx="115">
                  <c:v>1.2480314960629923E-5</c:v>
                </c:pt>
                <c:pt idx="116">
                  <c:v>1.2637795275590552E-5</c:v>
                </c:pt>
                <c:pt idx="117">
                  <c:v>1.2795275590551182E-5</c:v>
                </c:pt>
                <c:pt idx="118">
                  <c:v>1.2952755905511812E-5</c:v>
                </c:pt>
                <c:pt idx="119">
                  <c:v>1.3070866141732284E-5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FFC-4692-9D39-E33A12CDA94C}"/>
            </c:ext>
          </c:extLst>
        </c:ser>
        <c:ser>
          <c:idx val="21"/>
          <c:order val="9"/>
          <c:tx>
            <c:v>Y-Translation</c:v>
          </c:tx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P4_LB!$A$7:$A$126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P4_LB!$G$7:$G$126</c:f>
              <c:numCache>
                <c:formatCode>0.00E+00</c:formatCode>
                <c:ptCount val="120"/>
                <c:pt idx="0">
                  <c:v>9.8937007874015741E-9</c:v>
                </c:pt>
                <c:pt idx="1">
                  <c:v>3.854330708661418E-8</c:v>
                </c:pt>
                <c:pt idx="2">
                  <c:v>8.740157480314962E-8</c:v>
                </c:pt>
                <c:pt idx="3">
                  <c:v>1.614173228346457E-7</c:v>
                </c:pt>
                <c:pt idx="4">
                  <c:v>2.5826771653543311E-7</c:v>
                </c:pt>
                <c:pt idx="5">
                  <c:v>3.858267716535433E-7</c:v>
                </c:pt>
                <c:pt idx="6">
                  <c:v>5.4409448818897636E-7</c:v>
                </c:pt>
                <c:pt idx="7">
                  <c:v>7.38976377952756E-7</c:v>
                </c:pt>
                <c:pt idx="8">
                  <c:v>9.6850393700787414E-7</c:v>
                </c:pt>
                <c:pt idx="9">
                  <c:v>1.2283464566929135E-6</c:v>
                </c:pt>
                <c:pt idx="10">
                  <c:v>1.5078740157480316E-6</c:v>
                </c:pt>
                <c:pt idx="11">
                  <c:v>1.8031496062992128E-6</c:v>
                </c:pt>
                <c:pt idx="12">
                  <c:v>2.1299212598425198E-6</c:v>
                </c:pt>
                <c:pt idx="13">
                  <c:v>2.5000000000000006E-6</c:v>
                </c:pt>
                <c:pt idx="14">
                  <c:v>2.8976377952755906E-6</c:v>
                </c:pt>
                <c:pt idx="15">
                  <c:v>3.2913385826771657E-6</c:v>
                </c:pt>
                <c:pt idx="16">
                  <c:v>3.6732283464566926E-6</c:v>
                </c:pt>
                <c:pt idx="17">
                  <c:v>4.0433070866141738E-6</c:v>
                </c:pt>
                <c:pt idx="18">
                  <c:v>4.3976377952755907E-6</c:v>
                </c:pt>
                <c:pt idx="19">
                  <c:v>4.7440944881889768E-6</c:v>
                </c:pt>
                <c:pt idx="20">
                  <c:v>5.0866141732283467E-6</c:v>
                </c:pt>
                <c:pt idx="21">
                  <c:v>5.4133858267716544E-6</c:v>
                </c:pt>
                <c:pt idx="22">
                  <c:v>5.7598425196850388E-6</c:v>
                </c:pt>
                <c:pt idx="23">
                  <c:v>6.1338582677165358E-6</c:v>
                </c:pt>
                <c:pt idx="24">
                  <c:v>6.6220472440944892E-6</c:v>
                </c:pt>
                <c:pt idx="25">
                  <c:v>7.1850393700787403E-6</c:v>
                </c:pt>
                <c:pt idx="26">
                  <c:v>7.8661417322834656E-6</c:v>
                </c:pt>
                <c:pt idx="27">
                  <c:v>8.6692913385826798E-6</c:v>
                </c:pt>
                <c:pt idx="28">
                  <c:v>9.5511811023622061E-6</c:v>
                </c:pt>
                <c:pt idx="29">
                  <c:v>1.0555118110236221E-5</c:v>
                </c:pt>
                <c:pt idx="30">
                  <c:v>1.1598425196850395E-5</c:v>
                </c:pt>
                <c:pt idx="31">
                  <c:v>1.2681102362204726E-5</c:v>
                </c:pt>
                <c:pt idx="32">
                  <c:v>1.3720472440944882E-5</c:v>
                </c:pt>
                <c:pt idx="33">
                  <c:v>1.4795275590551183E-5</c:v>
                </c:pt>
                <c:pt idx="34">
                  <c:v>1.5783464566929133E-5</c:v>
                </c:pt>
                <c:pt idx="35">
                  <c:v>1.6692913385826777E-5</c:v>
                </c:pt>
                <c:pt idx="36">
                  <c:v>1.7519685039370078E-5</c:v>
                </c:pt>
                <c:pt idx="37">
                  <c:v>1.8228346456692913E-5</c:v>
                </c:pt>
                <c:pt idx="38">
                  <c:v>1.889763779527559E-5</c:v>
                </c:pt>
                <c:pt idx="39">
                  <c:v>1.945669291338583E-5</c:v>
                </c:pt>
                <c:pt idx="40">
                  <c:v>1.9937007874015753E-5</c:v>
                </c:pt>
                <c:pt idx="41">
                  <c:v>2.0342519685039369E-5</c:v>
                </c:pt>
                <c:pt idx="42">
                  <c:v>2.0673228346456689E-5</c:v>
                </c:pt>
                <c:pt idx="43">
                  <c:v>2.0964566929133858E-5</c:v>
                </c:pt>
                <c:pt idx="44">
                  <c:v>2.1220472440944883E-5</c:v>
                </c:pt>
                <c:pt idx="45">
                  <c:v>2.1401574803149611E-5</c:v>
                </c:pt>
                <c:pt idx="46">
                  <c:v>2.159448818897638E-5</c:v>
                </c:pt>
                <c:pt idx="47">
                  <c:v>2.1755905511811025E-5</c:v>
                </c:pt>
                <c:pt idx="48">
                  <c:v>2.1893700787401574E-5</c:v>
                </c:pt>
                <c:pt idx="49">
                  <c:v>2.2047244094488194E-5</c:v>
                </c:pt>
                <c:pt idx="50">
                  <c:v>2.2137795275590551E-5</c:v>
                </c:pt>
                <c:pt idx="51">
                  <c:v>2.2244094488188977E-5</c:v>
                </c:pt>
                <c:pt idx="52">
                  <c:v>2.2326771653543312E-5</c:v>
                </c:pt>
                <c:pt idx="53">
                  <c:v>2.2370078740157479E-5</c:v>
                </c:pt>
                <c:pt idx="54">
                  <c:v>2.2354330708661421E-5</c:v>
                </c:pt>
                <c:pt idx="55">
                  <c:v>2.2248031496062995E-5</c:v>
                </c:pt>
                <c:pt idx="56">
                  <c:v>2.2031496062992129E-5</c:v>
                </c:pt>
                <c:pt idx="57">
                  <c:v>2.1771653543307083E-5</c:v>
                </c:pt>
                <c:pt idx="58">
                  <c:v>2.1586614173228344E-5</c:v>
                </c:pt>
                <c:pt idx="59">
                  <c:v>2.1476377952755907E-5</c:v>
                </c:pt>
                <c:pt idx="60">
                  <c:v>2.1397637795275593E-5</c:v>
                </c:pt>
                <c:pt idx="61">
                  <c:v>2.1326771653543308E-5</c:v>
                </c:pt>
                <c:pt idx="62">
                  <c:v>2.1248031496062991E-5</c:v>
                </c:pt>
                <c:pt idx="63">
                  <c:v>2.1165354330708659E-5</c:v>
                </c:pt>
                <c:pt idx="64">
                  <c:v>2.1074803149606298E-5</c:v>
                </c:pt>
                <c:pt idx="65">
                  <c:v>2.1019685039370085E-5</c:v>
                </c:pt>
                <c:pt idx="66">
                  <c:v>2.0925196850393699E-5</c:v>
                </c:pt>
                <c:pt idx="67">
                  <c:v>2.086220472440945E-5</c:v>
                </c:pt>
                <c:pt idx="68">
                  <c:v>2.0763779527559054E-5</c:v>
                </c:pt>
                <c:pt idx="69">
                  <c:v>2.069685039370079E-5</c:v>
                </c:pt>
                <c:pt idx="70">
                  <c:v>2.062992125984252E-5</c:v>
                </c:pt>
                <c:pt idx="71">
                  <c:v>2.0559055118110238E-5</c:v>
                </c:pt>
                <c:pt idx="72">
                  <c:v>2.0488188976377957E-5</c:v>
                </c:pt>
                <c:pt idx="73">
                  <c:v>2.0448818897637798E-5</c:v>
                </c:pt>
                <c:pt idx="74">
                  <c:v>2.0374015748031499E-5</c:v>
                </c:pt>
                <c:pt idx="75">
                  <c:v>2.029133858267717E-5</c:v>
                </c:pt>
                <c:pt idx="76">
                  <c:v>2.0212598425196853E-5</c:v>
                </c:pt>
                <c:pt idx="77">
                  <c:v>2.0086614173228348E-5</c:v>
                </c:pt>
                <c:pt idx="78">
                  <c:v>2.000393700787402E-5</c:v>
                </c:pt>
                <c:pt idx="79">
                  <c:v>1.9877952755905515E-5</c:v>
                </c:pt>
                <c:pt idx="80">
                  <c:v>1.9755905511811027E-5</c:v>
                </c:pt>
                <c:pt idx="81">
                  <c:v>1.9629921259842519E-5</c:v>
                </c:pt>
                <c:pt idx="82">
                  <c:v>1.9503937007874014E-5</c:v>
                </c:pt>
                <c:pt idx="83">
                  <c:v>1.9377952755905516E-5</c:v>
                </c:pt>
                <c:pt idx="84">
                  <c:v>1.9212598425196852E-5</c:v>
                </c:pt>
                <c:pt idx="85">
                  <c:v>1.9051181102362207E-5</c:v>
                </c:pt>
                <c:pt idx="86">
                  <c:v>1.8925196850393702E-5</c:v>
                </c:pt>
                <c:pt idx="87">
                  <c:v>1.8763779527559059E-5</c:v>
                </c:pt>
                <c:pt idx="88">
                  <c:v>1.8637795275590554E-5</c:v>
                </c:pt>
                <c:pt idx="89">
                  <c:v>1.8515748031496064E-5</c:v>
                </c:pt>
                <c:pt idx="90">
                  <c:v>1.8393700787401577E-5</c:v>
                </c:pt>
                <c:pt idx="91">
                  <c:v>1.827165354330709E-5</c:v>
                </c:pt>
                <c:pt idx="92">
                  <c:v>1.8188976377952758E-5</c:v>
                </c:pt>
                <c:pt idx="93">
                  <c:v>1.8106299212598426E-5</c:v>
                </c:pt>
                <c:pt idx="94">
                  <c:v>1.8062992125984253E-5</c:v>
                </c:pt>
                <c:pt idx="95">
                  <c:v>1.8023622047244094E-5</c:v>
                </c:pt>
                <c:pt idx="96">
                  <c:v>1.7980314960629921E-5</c:v>
                </c:pt>
                <c:pt idx="97">
                  <c:v>1.7937007874015748E-5</c:v>
                </c:pt>
                <c:pt idx="98">
                  <c:v>1.7933070866141733E-5</c:v>
                </c:pt>
                <c:pt idx="99">
                  <c:v>1.7893700787401575E-5</c:v>
                </c:pt>
                <c:pt idx="100">
                  <c:v>1.788976377952756E-5</c:v>
                </c:pt>
                <c:pt idx="101">
                  <c:v>1.7929133858267719E-5</c:v>
                </c:pt>
                <c:pt idx="102">
                  <c:v>1.7925196850393701E-5</c:v>
                </c:pt>
                <c:pt idx="103">
                  <c:v>1.796456692913386E-5</c:v>
                </c:pt>
                <c:pt idx="104">
                  <c:v>1.8003937007874018E-5</c:v>
                </c:pt>
                <c:pt idx="105">
                  <c:v>1.8078740157480314E-5</c:v>
                </c:pt>
                <c:pt idx="106">
                  <c:v>1.8118110236220473E-5</c:v>
                </c:pt>
                <c:pt idx="107">
                  <c:v>1.819685039370079E-5</c:v>
                </c:pt>
                <c:pt idx="108">
                  <c:v>1.8271653543307086E-5</c:v>
                </c:pt>
                <c:pt idx="109">
                  <c:v>1.83503937007874E-5</c:v>
                </c:pt>
                <c:pt idx="110">
                  <c:v>1.8429133858267718E-5</c:v>
                </c:pt>
                <c:pt idx="111">
                  <c:v>1.8503937007874017E-5</c:v>
                </c:pt>
                <c:pt idx="112">
                  <c:v>1.8582677165354331E-5</c:v>
                </c:pt>
                <c:pt idx="113">
                  <c:v>1.8661417322834645E-5</c:v>
                </c:pt>
                <c:pt idx="114">
                  <c:v>1.8696850393700789E-5</c:v>
                </c:pt>
                <c:pt idx="115">
                  <c:v>1.8736220472440944E-5</c:v>
                </c:pt>
                <c:pt idx="116">
                  <c:v>1.8775590551181106E-5</c:v>
                </c:pt>
                <c:pt idx="117">
                  <c:v>1.8811023622047247E-5</c:v>
                </c:pt>
                <c:pt idx="118">
                  <c:v>1.8771653543307088E-5</c:v>
                </c:pt>
                <c:pt idx="119">
                  <c:v>1.873228346456693E-5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FFC-4692-9D39-E33A12CDA94C}"/>
            </c:ext>
          </c:extLst>
        </c:ser>
        <c:ser>
          <c:idx val="22"/>
          <c:order val="10"/>
          <c:tx>
            <c:v>Z-Translation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P4_LB!$A$7:$A$126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P4_LB!$H$7:$H$126</c:f>
              <c:numCache>
                <c:formatCode>0.00E+00</c:formatCode>
                <c:ptCount val="120"/>
                <c:pt idx="0">
                  <c:v>1.8307086614173228E-8</c:v>
                </c:pt>
                <c:pt idx="1">
                  <c:v>7.3582677165354342E-8</c:v>
                </c:pt>
                <c:pt idx="2">
                  <c:v>1.6692913385826773E-7</c:v>
                </c:pt>
                <c:pt idx="3">
                  <c:v>2.9999999999999999E-7</c:v>
                </c:pt>
                <c:pt idx="4">
                  <c:v>4.783464566929134E-7</c:v>
                </c:pt>
                <c:pt idx="5">
                  <c:v>7.0787401574803153E-7</c:v>
                </c:pt>
                <c:pt idx="6">
                  <c:v>1.0043307086614174E-6</c:v>
                </c:pt>
                <c:pt idx="7">
                  <c:v>1.3779527559055117E-6</c:v>
                </c:pt>
                <c:pt idx="8">
                  <c:v>1.84251968503937E-6</c:v>
                </c:pt>
                <c:pt idx="9">
                  <c:v>2.3858267716535434E-6</c:v>
                </c:pt>
                <c:pt idx="10">
                  <c:v>2.9291338582677169E-6</c:v>
                </c:pt>
                <c:pt idx="11">
                  <c:v>3.4212598425196852E-6</c:v>
                </c:pt>
                <c:pt idx="12">
                  <c:v>3.8700787401574803E-6</c:v>
                </c:pt>
                <c:pt idx="13">
                  <c:v>4.3425196850393706E-6</c:v>
                </c:pt>
                <c:pt idx="14">
                  <c:v>4.885826771653544E-6</c:v>
                </c:pt>
                <c:pt idx="15">
                  <c:v>5.5196850393700783E-6</c:v>
                </c:pt>
                <c:pt idx="16">
                  <c:v>6.2755905511811014E-6</c:v>
                </c:pt>
                <c:pt idx="17">
                  <c:v>7.1968503937007881E-6</c:v>
                </c:pt>
                <c:pt idx="18">
                  <c:v>8.2440944881889772E-6</c:v>
                </c:pt>
                <c:pt idx="19">
                  <c:v>9.4881889763779536E-6</c:v>
                </c:pt>
                <c:pt idx="20">
                  <c:v>1.0897637795275592E-5</c:v>
                </c:pt>
                <c:pt idx="21">
                  <c:v>1.2511811023622049E-5</c:v>
                </c:pt>
                <c:pt idx="22">
                  <c:v>1.4255905511811026E-5</c:v>
                </c:pt>
                <c:pt idx="23">
                  <c:v>1.6007874015748032E-5</c:v>
                </c:pt>
                <c:pt idx="24">
                  <c:v>1.7736220472440944E-5</c:v>
                </c:pt>
                <c:pt idx="25">
                  <c:v>1.9350393700787404E-5</c:v>
                </c:pt>
                <c:pt idx="26">
                  <c:v>2.0700787401574798E-5</c:v>
                </c:pt>
                <c:pt idx="27">
                  <c:v>2.1744094488188978E-5</c:v>
                </c:pt>
                <c:pt idx="28">
                  <c:v>2.259448818897638E-5</c:v>
                </c:pt>
                <c:pt idx="29">
                  <c:v>2.3216535433070866E-5</c:v>
                </c:pt>
                <c:pt idx="30">
                  <c:v>2.3681102362204727E-5</c:v>
                </c:pt>
                <c:pt idx="31">
                  <c:v>2.40748031496063E-5</c:v>
                </c:pt>
                <c:pt idx="32">
                  <c:v>2.4429133858267721E-5</c:v>
                </c:pt>
                <c:pt idx="33">
                  <c:v>2.4751968503937013E-5</c:v>
                </c:pt>
                <c:pt idx="34">
                  <c:v>2.5122047244094488E-5</c:v>
                </c:pt>
                <c:pt idx="35">
                  <c:v>2.551181102362205E-5</c:v>
                </c:pt>
                <c:pt idx="36">
                  <c:v>2.592913385826772E-5</c:v>
                </c:pt>
                <c:pt idx="37">
                  <c:v>2.6413385826771654E-5</c:v>
                </c:pt>
                <c:pt idx="38">
                  <c:v>2.6972440944881891E-5</c:v>
                </c:pt>
                <c:pt idx="39">
                  <c:v>2.7578740157480318E-5</c:v>
                </c:pt>
                <c:pt idx="40">
                  <c:v>2.8224409448818894E-5</c:v>
                </c:pt>
                <c:pt idx="41">
                  <c:v>2.891338582677165E-5</c:v>
                </c:pt>
                <c:pt idx="42">
                  <c:v>2.9696850393700792E-5</c:v>
                </c:pt>
                <c:pt idx="43">
                  <c:v>3.0586614173228349E-5</c:v>
                </c:pt>
                <c:pt idx="44">
                  <c:v>3.1551181102362202E-5</c:v>
                </c:pt>
                <c:pt idx="45">
                  <c:v>3.2629921259842523E-5</c:v>
                </c:pt>
                <c:pt idx="46">
                  <c:v>3.3779527559055119E-5</c:v>
                </c:pt>
                <c:pt idx="47">
                  <c:v>3.5039370078740156E-5</c:v>
                </c:pt>
                <c:pt idx="48">
                  <c:v>3.6417322834645674E-5</c:v>
                </c:pt>
                <c:pt idx="49">
                  <c:v>3.7834645669291338E-5</c:v>
                </c:pt>
                <c:pt idx="50">
                  <c:v>3.9330708661417327E-5</c:v>
                </c:pt>
                <c:pt idx="51">
                  <c:v>4.0708661417322839E-5</c:v>
                </c:pt>
                <c:pt idx="52">
                  <c:v>4.1850393700787399E-5</c:v>
                </c:pt>
                <c:pt idx="53">
                  <c:v>4.2086614173228351E-5</c:v>
                </c:pt>
                <c:pt idx="54">
                  <c:v>4.0984251968503942E-5</c:v>
                </c:pt>
                <c:pt idx="55">
                  <c:v>3.9606299212598424E-5</c:v>
                </c:pt>
                <c:pt idx="56">
                  <c:v>4.0157480314960638E-5</c:v>
                </c:pt>
                <c:pt idx="57">
                  <c:v>4.2440944881889772E-5</c:v>
                </c:pt>
                <c:pt idx="58">
                  <c:v>4.4448818897637795E-5</c:v>
                </c:pt>
                <c:pt idx="59">
                  <c:v>4.5787401574803149E-5</c:v>
                </c:pt>
                <c:pt idx="60">
                  <c:v>4.6653543307086619E-5</c:v>
                </c:pt>
                <c:pt idx="61">
                  <c:v>4.7283464566929137E-5</c:v>
                </c:pt>
                <c:pt idx="62">
                  <c:v>4.7992125984251972E-5</c:v>
                </c:pt>
                <c:pt idx="63">
                  <c:v>4.8267716535433076E-5</c:v>
                </c:pt>
                <c:pt idx="64">
                  <c:v>4.854330708661418E-5</c:v>
                </c:pt>
                <c:pt idx="65">
                  <c:v>4.9212598425196843E-5</c:v>
                </c:pt>
                <c:pt idx="66">
                  <c:v>4.9527559055118112E-5</c:v>
                </c:pt>
                <c:pt idx="67">
                  <c:v>4.9803149606299216E-5</c:v>
                </c:pt>
                <c:pt idx="68">
                  <c:v>5.0039370078740161E-5</c:v>
                </c:pt>
                <c:pt idx="69">
                  <c:v>5.0314960629921258E-5</c:v>
                </c:pt>
                <c:pt idx="70">
                  <c:v>5.0590551181102362E-5</c:v>
                </c:pt>
                <c:pt idx="71">
                  <c:v>5.0826771653543314E-5</c:v>
                </c:pt>
                <c:pt idx="72">
                  <c:v>5.1062992125984252E-5</c:v>
                </c:pt>
                <c:pt idx="73">
                  <c:v>5.1299212598425204E-5</c:v>
                </c:pt>
                <c:pt idx="74">
                  <c:v>5.1535433070866149E-5</c:v>
                </c:pt>
                <c:pt idx="75">
                  <c:v>5.1771653543307094E-5</c:v>
                </c:pt>
                <c:pt idx="76">
                  <c:v>5.1968503937007867E-5</c:v>
                </c:pt>
                <c:pt idx="77">
                  <c:v>5.2204724409448826E-5</c:v>
                </c:pt>
                <c:pt idx="78">
                  <c:v>5.2401574803149606E-5</c:v>
                </c:pt>
                <c:pt idx="79">
                  <c:v>5.2637795275590557E-5</c:v>
                </c:pt>
                <c:pt idx="80">
                  <c:v>5.3267716535433076E-5</c:v>
                </c:pt>
                <c:pt idx="81">
                  <c:v>5.3503937007874021E-5</c:v>
                </c:pt>
                <c:pt idx="82">
                  <c:v>5.3740157480314966E-5</c:v>
                </c:pt>
                <c:pt idx="83">
                  <c:v>5.4409448818897643E-5</c:v>
                </c:pt>
                <c:pt idx="84">
                  <c:v>5.5078740157480312E-5</c:v>
                </c:pt>
                <c:pt idx="85">
                  <c:v>5.5748031496062996E-5</c:v>
                </c:pt>
                <c:pt idx="86">
                  <c:v>5.6417322834645666E-5</c:v>
                </c:pt>
                <c:pt idx="87">
                  <c:v>5.7125984251968508E-5</c:v>
                </c:pt>
                <c:pt idx="88">
                  <c:v>5.822834645669291E-5</c:v>
                </c:pt>
                <c:pt idx="89">
                  <c:v>5.9330708661417332E-5</c:v>
                </c:pt>
                <c:pt idx="90">
                  <c:v>6.0472440944881892E-5</c:v>
                </c:pt>
                <c:pt idx="91">
                  <c:v>6.1968503937007887E-5</c:v>
                </c:pt>
                <c:pt idx="92">
                  <c:v>6.350393700787402E-5</c:v>
                </c:pt>
                <c:pt idx="93">
                  <c:v>6.5393700787401581E-5</c:v>
                </c:pt>
                <c:pt idx="94">
                  <c:v>6.7322834645669287E-5</c:v>
                </c:pt>
                <c:pt idx="95">
                  <c:v>6.9251968503937007E-5</c:v>
                </c:pt>
                <c:pt idx="96">
                  <c:v>7.118110236220474E-5</c:v>
                </c:pt>
                <c:pt idx="97">
                  <c:v>7.346456692913386E-5</c:v>
                </c:pt>
                <c:pt idx="98">
                  <c:v>7.6181102362204726E-5</c:v>
                </c:pt>
                <c:pt idx="99">
                  <c:v>7.8897637795275605E-5</c:v>
                </c:pt>
                <c:pt idx="100">
                  <c:v>8.2007874015748044E-5</c:v>
                </c:pt>
                <c:pt idx="101">
                  <c:v>8.5118110236220482E-5</c:v>
                </c:pt>
                <c:pt idx="102">
                  <c:v>8.9015748031496067E-5</c:v>
                </c:pt>
                <c:pt idx="103">
                  <c:v>9.2913385826771651E-5</c:v>
                </c:pt>
                <c:pt idx="104">
                  <c:v>9.7610236220472459E-5</c:v>
                </c:pt>
                <c:pt idx="105">
                  <c:v>1.0230314960629922E-4</c:v>
                </c:pt>
                <c:pt idx="106">
                  <c:v>1.0778346456692914E-4</c:v>
                </c:pt>
                <c:pt idx="107">
                  <c:v>1.1405511811023622E-4</c:v>
                </c:pt>
                <c:pt idx="108">
                  <c:v>1.2072047244094488E-4</c:v>
                </c:pt>
                <c:pt idx="109">
                  <c:v>1.2778346456692916E-4</c:v>
                </c:pt>
                <c:pt idx="110">
                  <c:v>1.3563779527559056E-4</c:v>
                </c:pt>
                <c:pt idx="111">
                  <c:v>1.4427952755905515E-4</c:v>
                </c:pt>
                <c:pt idx="112">
                  <c:v>1.5370866141732283E-4</c:v>
                </c:pt>
                <c:pt idx="113">
                  <c:v>1.639291338582677E-4</c:v>
                </c:pt>
                <c:pt idx="114">
                  <c:v>1.7533464566929136E-4</c:v>
                </c:pt>
                <c:pt idx="115">
                  <c:v>1.8713385826771658E-4</c:v>
                </c:pt>
                <c:pt idx="116">
                  <c:v>2.0051181102362207E-4</c:v>
                </c:pt>
                <c:pt idx="117">
                  <c:v>2.1468110236220477E-4</c:v>
                </c:pt>
                <c:pt idx="118">
                  <c:v>2.3003149606299215E-4</c:v>
                </c:pt>
                <c:pt idx="119">
                  <c:v>2.4656692913385832E-4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FFC-4692-9D39-E33A12CDA94C}"/>
            </c:ext>
          </c:extLst>
        </c:ser>
        <c:ser>
          <c:idx val="23"/>
          <c:order val="11"/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3FFC-4692-9D39-E33A12CDA94C}"/>
              </c:ext>
            </c:extLst>
          </c:dPt>
          <c:xVal>
            <c:numRef>
              <c:f>limits!$G$23:$G$24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limits!$H$23:$H$24</c:f>
              <c:numCache>
                <c:formatCode>0.000000</c:formatCode>
                <c:ptCount val="2"/>
                <c:pt idx="0">
                  <c:v>5.9999999999999995E-4</c:v>
                </c:pt>
                <c:pt idx="1">
                  <c:v>5.9999999999999995E-4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FFC-4692-9D39-E33A12CDA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10160"/>
        <c:axId val="1"/>
      </c:scatterChart>
      <c:valAx>
        <c:axId val="832210160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2482138870207053"/>
              <c:y val="0.9361926710380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.9999999999999995E-7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1.8357006017334653E-2"/>
              <c:y val="0.3193191221667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10160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1496496960137534"/>
          <c:y val="0.69083688649590724"/>
          <c:w val="0.22038214221632471"/>
          <c:h val="0.151102258462751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C9-4369-8226-1D3BA31DC50F}"/>
            </c:ext>
          </c:extLst>
        </c:ser>
        <c:ser>
          <c:idx val="3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</c:numCache>
            </c:numRef>
          </c:xVal>
          <c:yVal>
            <c:numRef>
              <c:f>limits!$B$17:$B$21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C9-4369-8226-1D3BA31DC50F}"/>
            </c:ext>
          </c:extLst>
        </c:ser>
        <c:ser>
          <c:idx val="4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limits!$D$17:$D$20</c:f>
              <c:numCache>
                <c:formatCode>General</c:formatCode>
                <c:ptCount val="4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</c:numCache>
            </c:numRef>
          </c:xVal>
          <c:yVal>
            <c:numRef>
              <c:f>limits!$E$17:$E$20</c:f>
              <c:numCache>
                <c:formatCode>General</c:formatCode>
                <c:ptCount val="4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C9-4369-8226-1D3BA31DC50F}"/>
            </c:ext>
          </c:extLst>
        </c:ser>
        <c:ser>
          <c:idx val="5"/>
          <c:order val="3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limits!$G$4:$G$5</c:f>
              <c:numCache>
                <c:formatCode>0</c:formatCode>
                <c:ptCount val="2"/>
                <c:pt idx="0">
                  <c:v>1424</c:v>
                </c:pt>
                <c:pt idx="1">
                  <c:v>1424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C9-4369-8226-1D3BA31DC50F}"/>
            </c:ext>
          </c:extLst>
        </c:ser>
        <c:ser>
          <c:idx val="6"/>
          <c:order val="4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limits!$H$4:$H$5</c:f>
              <c:numCache>
                <c:formatCode>General</c:formatCode>
                <c:ptCount val="2"/>
                <c:pt idx="0">
                  <c:v>1780</c:v>
                </c:pt>
                <c:pt idx="1">
                  <c:v>1780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C9-4369-8226-1D3BA31DC50F}"/>
            </c:ext>
          </c:extLst>
        </c:ser>
        <c:ser>
          <c:idx val="7"/>
          <c:order val="5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limits!$I$4:$I$5</c:f>
              <c:numCache>
                <c:formatCode>0</c:formatCode>
                <c:ptCount val="2"/>
                <c:pt idx="0">
                  <c:v>2136</c:v>
                </c:pt>
                <c:pt idx="1">
                  <c:v>2136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CC9-4369-8226-1D3BA31DC50F}"/>
            </c:ext>
          </c:extLst>
        </c:ser>
        <c:ser>
          <c:idx val="8"/>
          <c:order val="6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limits!$J$4:$J$5</c:f>
              <c:numCache>
                <c:formatCode>General</c:formatCode>
                <c:ptCount val="2"/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CC9-4369-8226-1D3BA31DC50F}"/>
            </c:ext>
          </c:extLst>
        </c:ser>
        <c:ser>
          <c:idx val="10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limits!$H$17:$H$18</c:f>
              <c:numCache>
                <c:formatCode>General</c:formatCode>
                <c:ptCount val="2"/>
                <c:pt idx="0">
                  <c:v>4.4999999999999999E-4</c:v>
                </c:pt>
                <c:pt idx="1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CC9-4369-8226-1D3BA31DC50F}"/>
            </c:ext>
          </c:extLst>
        </c:ser>
        <c:ser>
          <c:idx val="11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limits!$I$17:$I$18</c:f>
              <c:numCache>
                <c:formatCode>General</c:formatCode>
                <c:ptCount val="2"/>
                <c:pt idx="0">
                  <c:v>9.5E-4</c:v>
                </c:pt>
                <c:pt idx="1">
                  <c:v>9.5000000000000005E-6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CC9-4369-8226-1D3BA31DC50F}"/>
            </c:ext>
          </c:extLst>
        </c:ser>
        <c:ser>
          <c:idx val="12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limits!$J$17:$J$18</c:f>
              <c:numCache>
                <c:formatCode>General</c:formatCode>
                <c:ptCount val="2"/>
                <c:pt idx="0">
                  <c:v>1.75E-3</c:v>
                </c:pt>
                <c:pt idx="1">
                  <c:v>1.6500000000000001E-5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CC9-4369-8226-1D3BA31DC50F}"/>
            </c:ext>
          </c:extLst>
        </c:ser>
        <c:ser>
          <c:idx val="13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limits!$K$17:$K$18</c:f>
              <c:numCache>
                <c:formatCode>General</c:formatCode>
                <c:ptCount val="2"/>
                <c:pt idx="0">
                  <c:v>3.7499999999999999E-3</c:v>
                </c:pt>
                <c:pt idx="1">
                  <c:v>3.5000000000000004E-5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CC9-4369-8226-1D3BA31DC50F}"/>
            </c:ext>
          </c:extLst>
        </c:ser>
        <c:ser>
          <c:idx val="14"/>
          <c:order val="1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limits!$L$17:$L$18</c:f>
              <c:numCache>
                <c:formatCode>General</c:formatCode>
                <c:ptCount val="2"/>
                <c:pt idx="0">
                  <c:v>7.4999999999999997E-3</c:v>
                </c:pt>
                <c:pt idx="1">
                  <c:v>6.5000000000000008E-5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CC9-4369-8226-1D3BA31DC50F}"/>
            </c:ext>
          </c:extLst>
        </c:ser>
        <c:ser>
          <c:idx val="20"/>
          <c:order val="12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CC9-4369-8226-1D3BA31DC50F}"/>
            </c:ext>
          </c:extLst>
        </c:ser>
        <c:ser>
          <c:idx val="21"/>
          <c:order val="1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CC9-4369-8226-1D3BA31DC50F}"/>
            </c:ext>
          </c:extLst>
        </c:ser>
        <c:ser>
          <c:idx val="0"/>
          <c:order val="1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1.4784808479739018E-4</c:v>
                </c:pt>
                <c:pt idx="1">
                  <c:v>1.4784808479739018E-4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CC9-4369-8226-1D3BA31DC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76704"/>
        <c:axId val="1"/>
      </c:scatterChart>
      <c:valAx>
        <c:axId val="1347176704"/>
        <c:scaling>
          <c:logBase val="10"/>
          <c:orientation val="minMax"/>
          <c:max val="1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176704"/>
        <c:crosses val="autoZero"/>
        <c:crossBetween val="midCat"/>
        <c:majorUnit val="10"/>
        <c:minorUnit val="10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&amp;L&amp;F&amp;R&amp;D&amp;T</c:oddFooter>
    </c:headerFooter>
    <c:pageMargins b="1" l="0.75" r="0.75" t="1" header="0.5" footer="0.5"/>
    <c:pageSetup orientation="portrait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09322688642802"/>
          <c:y val="5.9952178769903067E-2"/>
          <c:w val="0.73417872778779292"/>
          <c:h val="0.82973815417545849"/>
        </c:manualLayout>
      </c:layout>
      <c:scatterChart>
        <c:scatterStyle val="lineMarker"/>
        <c:varyColors val="0"/>
        <c:ser>
          <c:idx val="15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1.4784808479739018E-4</c:v>
                </c:pt>
                <c:pt idx="1">
                  <c:v>1.4784808479739018E-4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3C-4569-A2D1-F251D3996247}"/>
            </c:ext>
          </c:extLst>
        </c:ser>
        <c:ser>
          <c:idx val="17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1424</c:v>
                </c:pt>
                <c:pt idx="1">
                  <c:v>1424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3C-4569-A2D1-F251D3996247}"/>
            </c:ext>
          </c:extLst>
        </c:ser>
        <c:ser>
          <c:idx val="18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1780</c:v>
                </c:pt>
                <c:pt idx="1">
                  <c:v>1780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3C-4569-A2D1-F251D3996247}"/>
            </c:ext>
          </c:extLst>
        </c:ser>
        <c:ser>
          <c:idx val="19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2136</c:v>
                </c:pt>
                <c:pt idx="1">
                  <c:v>2136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3C-4569-A2D1-F251D3996247}"/>
            </c:ext>
          </c:extLst>
        </c:ser>
        <c:ser>
          <c:idx val="3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limits!$A$17:$A$22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limits!$B$17:$B$22</c:f>
              <c:numCache>
                <c:formatCode>General</c:formatCode>
                <c:ptCount val="6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  <c:pt idx="5">
                  <c:v>9.3300000000000005E-6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3C-4569-A2D1-F251D3996247}"/>
            </c:ext>
          </c:extLst>
        </c:ser>
        <c:ser>
          <c:idx val="4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limits!$E$17:$E$21</c:f>
              <c:numCache>
                <c:formatCode>General</c:formatCode>
                <c:ptCount val="5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  <c:pt idx="4">
                  <c:v>8.1799999999999996E-6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63C-4569-A2D1-F251D3996247}"/>
            </c:ext>
          </c:extLst>
        </c:ser>
        <c:ser>
          <c:idx val="14"/>
          <c:order val="6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limits!$L$17:$L$19</c:f>
              <c:numCache>
                <c:formatCode>General</c:formatCode>
                <c:ptCount val="3"/>
                <c:pt idx="0">
                  <c:v>7.4999999999999997E-3</c:v>
                </c:pt>
                <c:pt idx="1">
                  <c:v>6.5000000000000008E-5</c:v>
                </c:pt>
                <c:pt idx="2" formatCode="0.00000000">
                  <c:v>6.1999999999999999E-6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63C-4569-A2D1-F251D3996247}"/>
            </c:ext>
          </c:extLst>
        </c:ser>
        <c:ser>
          <c:idx val="13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limits!$K$17:$K$19</c:f>
              <c:numCache>
                <c:formatCode>General</c:formatCode>
                <c:ptCount val="3"/>
                <c:pt idx="0">
                  <c:v>3.7499999999999999E-3</c:v>
                </c:pt>
                <c:pt idx="1">
                  <c:v>3.5000000000000004E-5</c:v>
                </c:pt>
                <c:pt idx="2" formatCode="0.00000000">
                  <c:v>3.4400000000000001E-6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63C-4569-A2D1-F251D3996247}"/>
            </c:ext>
          </c:extLst>
        </c:ser>
        <c:ser>
          <c:idx val="12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limits!$J$17:$J$19</c:f>
              <c:numCache>
                <c:formatCode>General</c:formatCode>
                <c:ptCount val="3"/>
                <c:pt idx="0">
                  <c:v>1.75E-3</c:v>
                </c:pt>
                <c:pt idx="1">
                  <c:v>1.6500000000000001E-5</c:v>
                </c:pt>
                <c:pt idx="2" formatCode="0.00000000">
                  <c:v>1.64E-6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63C-4569-A2D1-F251D3996247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limits!$I$17:$I$19</c:f>
              <c:numCache>
                <c:formatCode>General</c:formatCode>
                <c:ptCount val="3"/>
                <c:pt idx="0">
                  <c:v>9.5E-4</c:v>
                </c:pt>
                <c:pt idx="1">
                  <c:v>9.5000000000000005E-6</c:v>
                </c:pt>
                <c:pt idx="2" formatCode="0.00000000">
                  <c:v>9.33E-7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63C-4569-A2D1-F251D3996247}"/>
            </c:ext>
          </c:extLst>
        </c:ser>
        <c:ser>
          <c:idx val="10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limits!$H$17:$H$19</c:f>
              <c:numCache>
                <c:formatCode>General</c:formatCode>
                <c:ptCount val="3"/>
                <c:pt idx="0">
                  <c:v>4.4999999999999999E-4</c:v>
                </c:pt>
                <c:pt idx="1">
                  <c:v>3.9999999999999998E-6</c:v>
                </c:pt>
                <c:pt idx="2" formatCode="0.00000000">
                  <c:v>3.5499999999999999E-7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63C-4569-A2D1-F251D3996247}"/>
            </c:ext>
          </c:extLst>
        </c:ser>
        <c:ser>
          <c:idx val="25"/>
          <c:order val="11"/>
          <c:spPr>
            <a:ln w="19050">
              <a:solidFill>
                <a:srgbClr val="0070C0"/>
              </a:solidFill>
              <a:prstDash val="solid"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P5_LB!$A$7:$A$126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P5_LB!$F$7:$F$126</c:f>
              <c:numCache>
                <c:formatCode>0.00E+00</c:formatCode>
                <c:ptCount val="120"/>
                <c:pt idx="0">
                  <c:v>5.2401574803149611E-8</c:v>
                </c:pt>
                <c:pt idx="1">
                  <c:v>2.1496062992125984E-7</c:v>
                </c:pt>
                <c:pt idx="2">
                  <c:v>4.9370078740157486E-7</c:v>
                </c:pt>
                <c:pt idx="3">
                  <c:v>9.0551181102362207E-7</c:v>
                </c:pt>
                <c:pt idx="4">
                  <c:v>1.4763779527559056E-6</c:v>
                </c:pt>
                <c:pt idx="5">
                  <c:v>2.2362204724409446E-6</c:v>
                </c:pt>
                <c:pt idx="6">
                  <c:v>3.2440944881889763E-6</c:v>
                </c:pt>
                <c:pt idx="7">
                  <c:v>4.5590551181102372E-6</c:v>
                </c:pt>
                <c:pt idx="8">
                  <c:v>6.2125984251968506E-6</c:v>
                </c:pt>
                <c:pt idx="9">
                  <c:v>8.074803149606299E-6</c:v>
                </c:pt>
                <c:pt idx="10">
                  <c:v>9.7519685039370088E-6</c:v>
                </c:pt>
                <c:pt idx="11">
                  <c:v>1.1023622047244094E-5</c:v>
                </c:pt>
                <c:pt idx="12">
                  <c:v>1.2125984251968505E-5</c:v>
                </c:pt>
                <c:pt idx="13">
                  <c:v>1.3385826771653545E-5</c:v>
                </c:pt>
                <c:pt idx="14">
                  <c:v>1.5039370078740159E-5</c:v>
                </c:pt>
                <c:pt idx="15">
                  <c:v>1.7007874015748029E-5</c:v>
                </c:pt>
                <c:pt idx="16">
                  <c:v>1.9330708661417325E-5</c:v>
                </c:pt>
                <c:pt idx="17">
                  <c:v>2.2007874015748028E-5</c:v>
                </c:pt>
                <c:pt idx="18">
                  <c:v>2.5118110236220474E-5</c:v>
                </c:pt>
                <c:pt idx="19">
                  <c:v>2.8661417322834647E-5</c:v>
                </c:pt>
                <c:pt idx="20">
                  <c:v>3.279527559055118E-5</c:v>
                </c:pt>
                <c:pt idx="21">
                  <c:v>3.7440944881889766E-5</c:v>
                </c:pt>
                <c:pt idx="22">
                  <c:v>4.2519685039370082E-5</c:v>
                </c:pt>
                <c:pt idx="23">
                  <c:v>4.7244094488188978E-5</c:v>
                </c:pt>
                <c:pt idx="24">
                  <c:v>5.2283464566929136E-5</c:v>
                </c:pt>
                <c:pt idx="25">
                  <c:v>5.6535433070866142E-5</c:v>
                </c:pt>
                <c:pt idx="26">
                  <c:v>6.0000000000000002E-5</c:v>
                </c:pt>
                <c:pt idx="27">
                  <c:v>6.2677165354330702E-5</c:v>
                </c:pt>
                <c:pt idx="28">
                  <c:v>6.4566929133858276E-5</c:v>
                </c:pt>
                <c:pt idx="29">
                  <c:v>6.570866141732285E-5</c:v>
                </c:pt>
                <c:pt idx="30">
                  <c:v>6.6023622047244092E-5</c:v>
                </c:pt>
                <c:pt idx="31">
                  <c:v>6.637795275590552E-5</c:v>
                </c:pt>
                <c:pt idx="32">
                  <c:v>6.5905511811023616E-5</c:v>
                </c:pt>
                <c:pt idx="33">
                  <c:v>6.5078740157480312E-5</c:v>
                </c:pt>
                <c:pt idx="34">
                  <c:v>6.4212598425196848E-5</c:v>
                </c:pt>
                <c:pt idx="35">
                  <c:v>6.2913385826771654E-5</c:v>
                </c:pt>
                <c:pt idx="36">
                  <c:v>6.1614173228346459E-5</c:v>
                </c:pt>
                <c:pt idx="37">
                  <c:v>5.996062992125985E-5</c:v>
                </c:pt>
                <c:pt idx="38">
                  <c:v>5.8661417322834655E-5</c:v>
                </c:pt>
                <c:pt idx="39">
                  <c:v>5.696850393700788E-5</c:v>
                </c:pt>
                <c:pt idx="40">
                  <c:v>5.5275590551181106E-5</c:v>
                </c:pt>
                <c:pt idx="41">
                  <c:v>5.3622047244094497E-5</c:v>
                </c:pt>
                <c:pt idx="42">
                  <c:v>5.1929133858267722E-5</c:v>
                </c:pt>
                <c:pt idx="43">
                  <c:v>5.0275590551181099E-5</c:v>
                </c:pt>
                <c:pt idx="44">
                  <c:v>4.862204724409449E-5</c:v>
                </c:pt>
                <c:pt idx="45">
                  <c:v>4.6968503937007881E-5</c:v>
                </c:pt>
                <c:pt idx="46">
                  <c:v>4.5314960629921265E-5</c:v>
                </c:pt>
                <c:pt idx="47">
                  <c:v>4.3858267716535436E-5</c:v>
                </c:pt>
                <c:pt idx="48">
                  <c:v>4.2440944881889765E-5</c:v>
                </c:pt>
                <c:pt idx="49">
                  <c:v>4.1102362204724412E-5</c:v>
                </c:pt>
                <c:pt idx="50">
                  <c:v>3.9763779527559058E-5</c:v>
                </c:pt>
                <c:pt idx="51">
                  <c:v>3.846456692913387E-5</c:v>
                </c:pt>
                <c:pt idx="52">
                  <c:v>3.7204724409448827E-5</c:v>
                </c:pt>
                <c:pt idx="53">
                  <c:v>3.5984251968503936E-5</c:v>
                </c:pt>
                <c:pt idx="54">
                  <c:v>3.4763779527559059E-5</c:v>
                </c:pt>
                <c:pt idx="55">
                  <c:v>3.3582677165354326E-5</c:v>
                </c:pt>
                <c:pt idx="56">
                  <c:v>3.2519685039370083E-5</c:v>
                </c:pt>
                <c:pt idx="57">
                  <c:v>3.1417322834645668E-5</c:v>
                </c:pt>
                <c:pt idx="58">
                  <c:v>3.0314960629921263E-5</c:v>
                </c:pt>
                <c:pt idx="59">
                  <c:v>2.9251968503937014E-5</c:v>
                </c:pt>
                <c:pt idx="60">
                  <c:v>2.8267716535433071E-5</c:v>
                </c:pt>
                <c:pt idx="61">
                  <c:v>2.7362204724409449E-5</c:v>
                </c:pt>
                <c:pt idx="62">
                  <c:v>2.6456692913385831E-5</c:v>
                </c:pt>
                <c:pt idx="63">
                  <c:v>2.5629921259842519E-5</c:v>
                </c:pt>
                <c:pt idx="64">
                  <c:v>2.4881889763779532E-5</c:v>
                </c:pt>
                <c:pt idx="65">
                  <c:v>2.4212598425196855E-5</c:v>
                </c:pt>
                <c:pt idx="66">
                  <c:v>2.3582677165354334E-5</c:v>
                </c:pt>
                <c:pt idx="67">
                  <c:v>2.2992125984251971E-5</c:v>
                </c:pt>
                <c:pt idx="68">
                  <c:v>2.2440944881889767E-5</c:v>
                </c:pt>
                <c:pt idx="69">
                  <c:v>2.1968503937007877E-5</c:v>
                </c:pt>
                <c:pt idx="70">
                  <c:v>2.1535433070866142E-5</c:v>
                </c:pt>
                <c:pt idx="71">
                  <c:v>2.110236220472441E-5</c:v>
                </c:pt>
                <c:pt idx="72">
                  <c:v>2.0708661417322837E-5</c:v>
                </c:pt>
                <c:pt idx="73">
                  <c:v>2.0314960629921261E-5</c:v>
                </c:pt>
                <c:pt idx="74">
                  <c:v>1.9960629921259843E-5</c:v>
                </c:pt>
                <c:pt idx="75">
                  <c:v>1.9566929133858267E-5</c:v>
                </c:pt>
                <c:pt idx="76">
                  <c:v>1.9212598425196852E-5</c:v>
                </c:pt>
                <c:pt idx="77">
                  <c:v>1.8818897637795276E-5</c:v>
                </c:pt>
                <c:pt idx="78">
                  <c:v>1.8464566929133858E-5</c:v>
                </c:pt>
                <c:pt idx="79">
                  <c:v>1.8031496062992127E-5</c:v>
                </c:pt>
                <c:pt idx="80">
                  <c:v>1.7677165354330709E-5</c:v>
                </c:pt>
                <c:pt idx="81">
                  <c:v>1.7244094488188977E-5</c:v>
                </c:pt>
                <c:pt idx="82">
                  <c:v>1.6850393700787401E-5</c:v>
                </c:pt>
                <c:pt idx="83">
                  <c:v>1.6417322834645669E-5</c:v>
                </c:pt>
                <c:pt idx="84">
                  <c:v>1.5984251968503938E-5</c:v>
                </c:pt>
                <c:pt idx="85">
                  <c:v>1.5590551181102362E-5</c:v>
                </c:pt>
                <c:pt idx="86">
                  <c:v>1.5157480314960632E-5</c:v>
                </c:pt>
                <c:pt idx="87">
                  <c:v>1.4763779527559057E-5</c:v>
                </c:pt>
                <c:pt idx="88">
                  <c:v>1.4370078740157481E-5</c:v>
                </c:pt>
                <c:pt idx="89">
                  <c:v>1.4015748031496065E-5</c:v>
                </c:pt>
                <c:pt idx="90">
                  <c:v>1.3661417322834647E-5</c:v>
                </c:pt>
                <c:pt idx="91">
                  <c:v>1.3346456692913386E-5</c:v>
                </c:pt>
                <c:pt idx="92">
                  <c:v>1.3031496062992125E-5</c:v>
                </c:pt>
                <c:pt idx="93">
                  <c:v>1.2795275590551182E-5</c:v>
                </c:pt>
                <c:pt idx="94">
                  <c:v>1.2519685039370078E-5</c:v>
                </c:pt>
                <c:pt idx="95">
                  <c:v>1.2283464566929135E-5</c:v>
                </c:pt>
                <c:pt idx="96">
                  <c:v>1.2086614173228347E-5</c:v>
                </c:pt>
                <c:pt idx="97">
                  <c:v>1.18503937007874E-5</c:v>
                </c:pt>
                <c:pt idx="98">
                  <c:v>1.169291338582677E-5</c:v>
                </c:pt>
                <c:pt idx="99">
                  <c:v>1.1574803149606298E-5</c:v>
                </c:pt>
                <c:pt idx="100">
                  <c:v>1.1456692913385827E-5</c:v>
                </c:pt>
                <c:pt idx="101">
                  <c:v>1.1377952755905513E-5</c:v>
                </c:pt>
                <c:pt idx="102">
                  <c:v>1.1299212598425197E-5</c:v>
                </c:pt>
                <c:pt idx="103">
                  <c:v>1.125984251968504E-5</c:v>
                </c:pt>
                <c:pt idx="104">
                  <c:v>1.125984251968504E-5</c:v>
                </c:pt>
                <c:pt idx="105">
                  <c:v>1.125984251968504E-5</c:v>
                </c:pt>
                <c:pt idx="106">
                  <c:v>1.1299212598425197E-5</c:v>
                </c:pt>
                <c:pt idx="107">
                  <c:v>1.1377952755905513E-5</c:v>
                </c:pt>
                <c:pt idx="108">
                  <c:v>1.1456692913385827E-5</c:v>
                </c:pt>
                <c:pt idx="109">
                  <c:v>1.1574803149606299E-5</c:v>
                </c:pt>
                <c:pt idx="110">
                  <c:v>1.1653543307086615E-5</c:v>
                </c:pt>
                <c:pt idx="111">
                  <c:v>1.1811023622047245E-5</c:v>
                </c:pt>
                <c:pt idx="112">
                  <c:v>1.1968503937007872E-5</c:v>
                </c:pt>
                <c:pt idx="113">
                  <c:v>1.2125984251968505E-5</c:v>
                </c:pt>
                <c:pt idx="114">
                  <c:v>1.2283464566929136E-5</c:v>
                </c:pt>
                <c:pt idx="115">
                  <c:v>1.2480314960629923E-5</c:v>
                </c:pt>
                <c:pt idx="116">
                  <c:v>1.2637795275590552E-5</c:v>
                </c:pt>
                <c:pt idx="117">
                  <c:v>1.2795275590551182E-5</c:v>
                </c:pt>
                <c:pt idx="118">
                  <c:v>1.2952755905511812E-5</c:v>
                </c:pt>
                <c:pt idx="119">
                  <c:v>1.3070866141732284E-5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63C-4569-A2D1-F251D3996247}"/>
            </c:ext>
          </c:extLst>
        </c:ser>
        <c:ser>
          <c:idx val="26"/>
          <c:order val="12"/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triangle"/>
            <c:size val="3"/>
            <c:spPr>
              <a:noFill/>
              <a:ln w="9525">
                <a:noFill/>
              </a:ln>
            </c:spPr>
          </c:marker>
          <c:xVal>
            <c:numRef>
              <c:f>P5_LB!$A$7:$A$126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P5_LB!$G$7:$G$126</c:f>
              <c:numCache>
                <c:formatCode>0.00E+00</c:formatCode>
                <c:ptCount val="120"/>
                <c:pt idx="0">
                  <c:v>9.8937007874015741E-9</c:v>
                </c:pt>
                <c:pt idx="1">
                  <c:v>3.854330708661418E-8</c:v>
                </c:pt>
                <c:pt idx="2">
                  <c:v>8.740157480314962E-8</c:v>
                </c:pt>
                <c:pt idx="3">
                  <c:v>1.614173228346457E-7</c:v>
                </c:pt>
                <c:pt idx="4">
                  <c:v>2.5866141732283466E-7</c:v>
                </c:pt>
                <c:pt idx="5">
                  <c:v>3.881889763779528E-7</c:v>
                </c:pt>
                <c:pt idx="6">
                  <c:v>5.5196850393700792E-7</c:v>
                </c:pt>
                <c:pt idx="7">
                  <c:v>7.5984251968503947E-7</c:v>
                </c:pt>
                <c:pt idx="8">
                  <c:v>1.0118110236220473E-6</c:v>
                </c:pt>
                <c:pt idx="9">
                  <c:v>1.3149606299212598E-6</c:v>
                </c:pt>
                <c:pt idx="10">
                  <c:v>1.6614173228346458E-6</c:v>
                </c:pt>
                <c:pt idx="11">
                  <c:v>2.0354330708661419E-6</c:v>
                </c:pt>
                <c:pt idx="12">
                  <c:v>2.4527559055118108E-6</c:v>
                </c:pt>
                <c:pt idx="13">
                  <c:v>2.8976377952755906E-6</c:v>
                </c:pt>
                <c:pt idx="14">
                  <c:v>3.3543307086614173E-6</c:v>
                </c:pt>
                <c:pt idx="15">
                  <c:v>3.8110236220472441E-6</c:v>
                </c:pt>
                <c:pt idx="16">
                  <c:v>4.2716535433070865E-6</c:v>
                </c:pt>
                <c:pt idx="17">
                  <c:v>4.7519685039370092E-6</c:v>
                </c:pt>
                <c:pt idx="18">
                  <c:v>5.2677165354330709E-6</c:v>
                </c:pt>
                <c:pt idx="19">
                  <c:v>5.8307086614173237E-6</c:v>
                </c:pt>
                <c:pt idx="20">
                  <c:v>6.4842519685039373E-6</c:v>
                </c:pt>
                <c:pt idx="21">
                  <c:v>7.2047244094488179E-6</c:v>
                </c:pt>
                <c:pt idx="22">
                  <c:v>8.0275590551181114E-6</c:v>
                </c:pt>
                <c:pt idx="23">
                  <c:v>9.0393700787401572E-6</c:v>
                </c:pt>
                <c:pt idx="24">
                  <c:v>1.012992125984252E-5</c:v>
                </c:pt>
                <c:pt idx="25">
                  <c:v>1.1381889763779529E-5</c:v>
                </c:pt>
                <c:pt idx="26">
                  <c:v>1.2677165354330709E-5</c:v>
                </c:pt>
                <c:pt idx="27">
                  <c:v>1.409448818897638E-5</c:v>
                </c:pt>
                <c:pt idx="28">
                  <c:v>1.5476377952755907E-5</c:v>
                </c:pt>
                <c:pt idx="29">
                  <c:v>1.6909448818897639E-5</c:v>
                </c:pt>
                <c:pt idx="30">
                  <c:v>1.8307086614173227E-5</c:v>
                </c:pt>
                <c:pt idx="31">
                  <c:v>1.9629921259842519E-5</c:v>
                </c:pt>
                <c:pt idx="32">
                  <c:v>2.0874015748031494E-5</c:v>
                </c:pt>
                <c:pt idx="33">
                  <c:v>2.2039370078740161E-5</c:v>
                </c:pt>
                <c:pt idx="34">
                  <c:v>2.3118110236220473E-5</c:v>
                </c:pt>
                <c:pt idx="35">
                  <c:v>2.4031496062992127E-5</c:v>
                </c:pt>
                <c:pt idx="36">
                  <c:v>2.4783464566929132E-5</c:v>
                </c:pt>
                <c:pt idx="37">
                  <c:v>2.5452755905511809E-5</c:v>
                </c:pt>
                <c:pt idx="38">
                  <c:v>2.5960629921259843E-5</c:v>
                </c:pt>
                <c:pt idx="39">
                  <c:v>2.634645669291339E-5</c:v>
                </c:pt>
                <c:pt idx="40">
                  <c:v>2.6661417322834646E-5</c:v>
                </c:pt>
                <c:pt idx="41">
                  <c:v>2.6858267716535436E-5</c:v>
                </c:pt>
                <c:pt idx="42">
                  <c:v>2.7019685039370082E-5</c:v>
                </c:pt>
                <c:pt idx="43">
                  <c:v>2.7106299212598425E-5</c:v>
                </c:pt>
                <c:pt idx="44">
                  <c:v>2.7122047244094493E-5</c:v>
                </c:pt>
                <c:pt idx="45">
                  <c:v>2.7102362204724414E-5</c:v>
                </c:pt>
                <c:pt idx="46">
                  <c:v>2.7015748031496064E-5</c:v>
                </c:pt>
                <c:pt idx="47">
                  <c:v>2.6940944881889764E-5</c:v>
                </c:pt>
                <c:pt idx="48">
                  <c:v>2.6838582677165357E-5</c:v>
                </c:pt>
                <c:pt idx="49">
                  <c:v>2.6704724409448819E-5</c:v>
                </c:pt>
                <c:pt idx="50">
                  <c:v>2.6574803149606303E-5</c:v>
                </c:pt>
                <c:pt idx="51">
                  <c:v>2.6362204724409445E-5</c:v>
                </c:pt>
                <c:pt idx="52">
                  <c:v>2.6145669291338586E-5</c:v>
                </c:pt>
                <c:pt idx="53">
                  <c:v>2.5913385826771652E-5</c:v>
                </c:pt>
                <c:pt idx="54">
                  <c:v>2.576377952755906E-5</c:v>
                </c:pt>
                <c:pt idx="55">
                  <c:v>2.5645669291338581E-5</c:v>
                </c:pt>
                <c:pt idx="56">
                  <c:v>2.5515748031496065E-5</c:v>
                </c:pt>
                <c:pt idx="57">
                  <c:v>2.5342519685039372E-5</c:v>
                </c:pt>
                <c:pt idx="58">
                  <c:v>2.5035433070866142E-5</c:v>
                </c:pt>
                <c:pt idx="59">
                  <c:v>2.4712598425196854E-5</c:v>
                </c:pt>
                <c:pt idx="60">
                  <c:v>2.4377952755905516E-5</c:v>
                </c:pt>
                <c:pt idx="61">
                  <c:v>2.4047244094488192E-5</c:v>
                </c:pt>
                <c:pt idx="62">
                  <c:v>2.3728346456692918E-5</c:v>
                </c:pt>
                <c:pt idx="63">
                  <c:v>2.3460629921259843E-5</c:v>
                </c:pt>
                <c:pt idx="64">
                  <c:v>2.3200787401574808E-5</c:v>
                </c:pt>
                <c:pt idx="65">
                  <c:v>2.2984251968503939E-5</c:v>
                </c:pt>
                <c:pt idx="66">
                  <c:v>2.2775590551181102E-5</c:v>
                </c:pt>
                <c:pt idx="67">
                  <c:v>2.257086614173229E-5</c:v>
                </c:pt>
                <c:pt idx="68">
                  <c:v>2.2444881889763781E-5</c:v>
                </c:pt>
                <c:pt idx="69">
                  <c:v>2.2279527559055121E-5</c:v>
                </c:pt>
                <c:pt idx="70">
                  <c:v>2.2157480314960631E-5</c:v>
                </c:pt>
                <c:pt idx="71">
                  <c:v>2.2070866141732284E-5</c:v>
                </c:pt>
                <c:pt idx="72">
                  <c:v>2.1984251968503938E-5</c:v>
                </c:pt>
                <c:pt idx="73">
                  <c:v>2.1937007874015744E-5</c:v>
                </c:pt>
                <c:pt idx="74">
                  <c:v>2.1850393700787401E-5</c:v>
                </c:pt>
                <c:pt idx="75">
                  <c:v>2.1799212598425195E-5</c:v>
                </c:pt>
                <c:pt idx="76">
                  <c:v>2.1751968503937011E-5</c:v>
                </c:pt>
                <c:pt idx="77">
                  <c:v>2.1700787401574805E-5</c:v>
                </c:pt>
                <c:pt idx="78">
                  <c:v>2.16496062992126E-5</c:v>
                </c:pt>
                <c:pt idx="79">
                  <c:v>2.1598425196850391E-5</c:v>
                </c:pt>
                <c:pt idx="80">
                  <c:v>2.1507874015748037E-5</c:v>
                </c:pt>
                <c:pt idx="81">
                  <c:v>2.1417322834645669E-5</c:v>
                </c:pt>
                <c:pt idx="82">
                  <c:v>2.1330708661417326E-5</c:v>
                </c:pt>
                <c:pt idx="83">
                  <c:v>2.1200787401574807E-5</c:v>
                </c:pt>
                <c:pt idx="84">
                  <c:v>2.1074803149606298E-5</c:v>
                </c:pt>
                <c:pt idx="85">
                  <c:v>2.0905511811023627E-5</c:v>
                </c:pt>
                <c:pt idx="86">
                  <c:v>2.0779527559055122E-5</c:v>
                </c:pt>
                <c:pt idx="87">
                  <c:v>2.0614173228346458E-5</c:v>
                </c:pt>
                <c:pt idx="88">
                  <c:v>2.0448818897637795E-5</c:v>
                </c:pt>
                <c:pt idx="89">
                  <c:v>2.0244094488188979E-5</c:v>
                </c:pt>
                <c:pt idx="90">
                  <c:v>2.0078740157480319E-5</c:v>
                </c:pt>
                <c:pt idx="91">
                  <c:v>1.9874015748031497E-5</c:v>
                </c:pt>
                <c:pt idx="92">
                  <c:v>1.9669291338582678E-5</c:v>
                </c:pt>
                <c:pt idx="93">
                  <c:v>1.9464566929133859E-5</c:v>
                </c:pt>
                <c:pt idx="94">
                  <c:v>1.9263779527559058E-5</c:v>
                </c:pt>
                <c:pt idx="95">
                  <c:v>1.9059055118110236E-5</c:v>
                </c:pt>
                <c:pt idx="96">
                  <c:v>1.8893700787401579E-5</c:v>
                </c:pt>
                <c:pt idx="97">
                  <c:v>1.8728346456692912E-5</c:v>
                </c:pt>
                <c:pt idx="98">
                  <c:v>1.8606299212598428E-5</c:v>
                </c:pt>
                <c:pt idx="99">
                  <c:v>1.8440944881889764E-5</c:v>
                </c:pt>
                <c:pt idx="100">
                  <c:v>1.8318897637795277E-5</c:v>
                </c:pt>
                <c:pt idx="101">
                  <c:v>1.819685039370079E-5</c:v>
                </c:pt>
                <c:pt idx="102">
                  <c:v>1.80748031496063E-5</c:v>
                </c:pt>
                <c:pt idx="103">
                  <c:v>1.7952755905511809E-5</c:v>
                </c:pt>
                <c:pt idx="104">
                  <c:v>1.7870078740157481E-5</c:v>
                </c:pt>
                <c:pt idx="105">
                  <c:v>1.7787401574803153E-5</c:v>
                </c:pt>
                <c:pt idx="106">
                  <c:v>1.7665354330708662E-5</c:v>
                </c:pt>
                <c:pt idx="107">
                  <c:v>1.7582677165354334E-5</c:v>
                </c:pt>
                <c:pt idx="108">
                  <c:v>1.7503937007874016E-5</c:v>
                </c:pt>
                <c:pt idx="109">
                  <c:v>1.7421259842519688E-5</c:v>
                </c:pt>
                <c:pt idx="110">
                  <c:v>1.7338582677165356E-5</c:v>
                </c:pt>
                <c:pt idx="111">
                  <c:v>1.7259842519685042E-5</c:v>
                </c:pt>
                <c:pt idx="112">
                  <c:v>1.717716535433071E-5</c:v>
                </c:pt>
                <c:pt idx="113">
                  <c:v>1.7098425196850393E-5</c:v>
                </c:pt>
                <c:pt idx="114">
                  <c:v>1.6976377952755909E-5</c:v>
                </c:pt>
                <c:pt idx="115">
                  <c:v>1.6897637795275592E-5</c:v>
                </c:pt>
                <c:pt idx="116">
                  <c:v>1.681496062992126E-5</c:v>
                </c:pt>
                <c:pt idx="117">
                  <c:v>1.6736220472440946E-5</c:v>
                </c:pt>
                <c:pt idx="118">
                  <c:v>1.6692913385826773E-5</c:v>
                </c:pt>
                <c:pt idx="119">
                  <c:v>1.6653543307086618E-5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63C-4569-A2D1-F251D3996247}"/>
            </c:ext>
          </c:extLst>
        </c:ser>
        <c:ser>
          <c:idx val="27"/>
          <c:order val="13"/>
          <c:spPr>
            <a:ln w="19050">
              <a:solidFill>
                <a:srgbClr val="00B05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xVal>
            <c:numRef>
              <c:f>P5_LB!$A$7:$A$126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P5_LB!$H$7:$H$126</c:f>
              <c:numCache>
                <c:formatCode>0.00E+00</c:formatCode>
                <c:ptCount val="120"/>
                <c:pt idx="0">
                  <c:v>1.8622047244094489E-8</c:v>
                </c:pt>
                <c:pt idx="1">
                  <c:v>7.5826771653543316E-8</c:v>
                </c:pt>
                <c:pt idx="2">
                  <c:v>1.7440944881889768E-7</c:v>
                </c:pt>
                <c:pt idx="3">
                  <c:v>3.1692913385826778E-7</c:v>
                </c:pt>
                <c:pt idx="4">
                  <c:v>5.1023622047244099E-7</c:v>
                </c:pt>
                <c:pt idx="5">
                  <c:v>7.614173228346458E-7</c:v>
                </c:pt>
                <c:pt idx="6">
                  <c:v>1.0811023622047245E-6</c:v>
                </c:pt>
                <c:pt idx="7">
                  <c:v>1.4842519685039371E-6</c:v>
                </c:pt>
                <c:pt idx="8">
                  <c:v>1.9724409448818899E-6</c:v>
                </c:pt>
                <c:pt idx="9">
                  <c:v>2.5275590551181102E-6</c:v>
                </c:pt>
                <c:pt idx="10">
                  <c:v>3.0590551181102368E-6</c:v>
                </c:pt>
                <c:pt idx="11">
                  <c:v>3.5314960629921258E-6</c:v>
                </c:pt>
                <c:pt idx="12">
                  <c:v>3.9566929133858275E-6</c:v>
                </c:pt>
                <c:pt idx="13">
                  <c:v>4.401574803149606E-6</c:v>
                </c:pt>
                <c:pt idx="14">
                  <c:v>4.9015748031496072E-6</c:v>
                </c:pt>
                <c:pt idx="15">
                  <c:v>5.4566929133858275E-6</c:v>
                </c:pt>
                <c:pt idx="16">
                  <c:v>6.1417322834645674E-6</c:v>
                </c:pt>
                <c:pt idx="17">
                  <c:v>6.8858267716535444E-6</c:v>
                </c:pt>
                <c:pt idx="18">
                  <c:v>7.6929133858267713E-6</c:v>
                </c:pt>
                <c:pt idx="19">
                  <c:v>8.5944881889763787E-6</c:v>
                </c:pt>
                <c:pt idx="20">
                  <c:v>9.5157480314960636E-6</c:v>
                </c:pt>
                <c:pt idx="21">
                  <c:v>1.0444881889763779E-5</c:v>
                </c:pt>
                <c:pt idx="22">
                  <c:v>1.1263779527559057E-5</c:v>
                </c:pt>
                <c:pt idx="23">
                  <c:v>1.1842519685039371E-5</c:v>
                </c:pt>
                <c:pt idx="24">
                  <c:v>1.2224409448818897E-5</c:v>
                </c:pt>
                <c:pt idx="25">
                  <c:v>1.227952755905512E-5</c:v>
                </c:pt>
                <c:pt idx="26">
                  <c:v>1.205511811023622E-5</c:v>
                </c:pt>
                <c:pt idx="27">
                  <c:v>1.1547244094488191E-5</c:v>
                </c:pt>
                <c:pt idx="28">
                  <c:v>1.0874015748031496E-5</c:v>
                </c:pt>
                <c:pt idx="29">
                  <c:v>1.0118110236220472E-5</c:v>
                </c:pt>
                <c:pt idx="30">
                  <c:v>9.3543307086614179E-6</c:v>
                </c:pt>
                <c:pt idx="31">
                  <c:v>8.5866141732283463E-6</c:v>
                </c:pt>
                <c:pt idx="32">
                  <c:v>7.9448818897637796E-6</c:v>
                </c:pt>
                <c:pt idx="33">
                  <c:v>7.4291338582677161E-6</c:v>
                </c:pt>
                <c:pt idx="34">
                  <c:v>7.0511811023622046E-6</c:v>
                </c:pt>
                <c:pt idx="35">
                  <c:v>6.7795275590551179E-6</c:v>
                </c:pt>
                <c:pt idx="36">
                  <c:v>6.7007874015748023E-6</c:v>
                </c:pt>
                <c:pt idx="37">
                  <c:v>6.7362204724409447E-6</c:v>
                </c:pt>
                <c:pt idx="38">
                  <c:v>6.9330708661417329E-6</c:v>
                </c:pt>
                <c:pt idx="39">
                  <c:v>7.2559055118110243E-6</c:v>
                </c:pt>
                <c:pt idx="40">
                  <c:v>7.6889763779527568E-6</c:v>
                </c:pt>
                <c:pt idx="41">
                  <c:v>8.2362204724409448E-6</c:v>
                </c:pt>
                <c:pt idx="42">
                  <c:v>8.8779527559055132E-6</c:v>
                </c:pt>
                <c:pt idx="43">
                  <c:v>9.6535433070866138E-6</c:v>
                </c:pt>
                <c:pt idx="44">
                  <c:v>1.0519685039370079E-5</c:v>
                </c:pt>
                <c:pt idx="45">
                  <c:v>1.1519685039370078E-5</c:v>
                </c:pt>
                <c:pt idx="46">
                  <c:v>1.2551181102362204E-5</c:v>
                </c:pt>
                <c:pt idx="47">
                  <c:v>1.362204724409449E-5</c:v>
                </c:pt>
                <c:pt idx="48">
                  <c:v>1.4685039370078741E-5</c:v>
                </c:pt>
                <c:pt idx="49">
                  <c:v>1.5748031496062993E-5</c:v>
                </c:pt>
                <c:pt idx="50">
                  <c:v>1.6968503937007874E-5</c:v>
                </c:pt>
                <c:pt idx="51">
                  <c:v>1.8661417322834645E-5</c:v>
                </c:pt>
                <c:pt idx="52">
                  <c:v>2.1653543307086618E-5</c:v>
                </c:pt>
                <c:pt idx="53">
                  <c:v>2.6023622047244096E-5</c:v>
                </c:pt>
                <c:pt idx="54">
                  <c:v>3.0472440944881891E-5</c:v>
                </c:pt>
                <c:pt idx="55">
                  <c:v>3.3228346456692919E-5</c:v>
                </c:pt>
                <c:pt idx="56">
                  <c:v>3.3897637795275589E-5</c:v>
                </c:pt>
                <c:pt idx="57">
                  <c:v>3.2834645669291339E-5</c:v>
                </c:pt>
                <c:pt idx="58">
                  <c:v>3.0905511811023626E-5</c:v>
                </c:pt>
                <c:pt idx="59">
                  <c:v>2.9133858267716538E-5</c:v>
                </c:pt>
                <c:pt idx="60">
                  <c:v>2.7952755905511812E-5</c:v>
                </c:pt>
                <c:pt idx="61">
                  <c:v>2.7362204724409449E-5</c:v>
                </c:pt>
                <c:pt idx="62">
                  <c:v>2.7204724409448821E-5</c:v>
                </c:pt>
                <c:pt idx="63">
                  <c:v>2.7322834645669294E-5</c:v>
                </c:pt>
                <c:pt idx="64">
                  <c:v>2.7637795275590553E-5</c:v>
                </c:pt>
                <c:pt idx="65">
                  <c:v>2.8031496062992129E-5</c:v>
                </c:pt>
                <c:pt idx="66">
                  <c:v>2.8503937007874016E-5</c:v>
                </c:pt>
                <c:pt idx="67">
                  <c:v>2.9015748031496065E-5</c:v>
                </c:pt>
                <c:pt idx="68">
                  <c:v>2.9566929133858273E-5</c:v>
                </c:pt>
                <c:pt idx="69">
                  <c:v>3.0039370078740156E-5</c:v>
                </c:pt>
                <c:pt idx="70">
                  <c:v>3.0511811023622046E-5</c:v>
                </c:pt>
                <c:pt idx="71">
                  <c:v>3.0984251968503943E-5</c:v>
                </c:pt>
                <c:pt idx="72">
                  <c:v>3.1456692913385827E-5</c:v>
                </c:pt>
                <c:pt idx="73">
                  <c:v>3.1889763779527565E-5</c:v>
                </c:pt>
                <c:pt idx="74">
                  <c:v>3.2362204724409449E-5</c:v>
                </c:pt>
                <c:pt idx="75">
                  <c:v>3.279527559055118E-5</c:v>
                </c:pt>
                <c:pt idx="76">
                  <c:v>3.3267716535433071E-5</c:v>
                </c:pt>
                <c:pt idx="77">
                  <c:v>3.3740157480314961E-5</c:v>
                </c:pt>
                <c:pt idx="78">
                  <c:v>3.4291338582677168E-5</c:v>
                </c:pt>
                <c:pt idx="79">
                  <c:v>3.4842519685039376E-5</c:v>
                </c:pt>
                <c:pt idx="80">
                  <c:v>3.5433070866141735E-5</c:v>
                </c:pt>
                <c:pt idx="81">
                  <c:v>3.6102362204724412E-5</c:v>
                </c:pt>
                <c:pt idx="82">
                  <c:v>3.6850393700787406E-5</c:v>
                </c:pt>
                <c:pt idx="83">
                  <c:v>3.7677165354330711E-5</c:v>
                </c:pt>
                <c:pt idx="84">
                  <c:v>3.8543307086614181E-5</c:v>
                </c:pt>
                <c:pt idx="85">
                  <c:v>3.9448818897637789E-5</c:v>
                </c:pt>
                <c:pt idx="86">
                  <c:v>4.0433070866141742E-5</c:v>
                </c:pt>
                <c:pt idx="87">
                  <c:v>4.1456692913385826E-5</c:v>
                </c:pt>
                <c:pt idx="88">
                  <c:v>4.25984251968504E-5</c:v>
                </c:pt>
                <c:pt idx="89">
                  <c:v>4.3818897637795277E-5</c:v>
                </c:pt>
                <c:pt idx="90">
                  <c:v>4.5236220472440941E-5</c:v>
                </c:pt>
                <c:pt idx="91">
                  <c:v>4.6692913385826771E-5</c:v>
                </c:pt>
                <c:pt idx="92">
                  <c:v>4.8188976377952759E-5</c:v>
                </c:pt>
                <c:pt idx="93">
                  <c:v>4.9645669291338595E-5</c:v>
                </c:pt>
                <c:pt idx="94">
                  <c:v>5.1535433070866149E-5</c:v>
                </c:pt>
                <c:pt idx="95">
                  <c:v>5.3031496062992124E-5</c:v>
                </c:pt>
                <c:pt idx="96">
                  <c:v>5.4527559055118112E-5</c:v>
                </c:pt>
                <c:pt idx="97">
                  <c:v>5.6417322834645673E-5</c:v>
                </c:pt>
                <c:pt idx="98">
                  <c:v>5.8307086614173234E-5</c:v>
                </c:pt>
                <c:pt idx="99">
                  <c:v>6.0629921259842526E-5</c:v>
                </c:pt>
                <c:pt idx="100">
                  <c:v>6.2519685039370081E-5</c:v>
                </c:pt>
                <c:pt idx="101">
                  <c:v>6.4842519685039373E-5</c:v>
                </c:pt>
                <c:pt idx="102">
                  <c:v>6.7559055118110239E-5</c:v>
                </c:pt>
                <c:pt idx="103">
                  <c:v>6.9881889763779531E-5</c:v>
                </c:pt>
                <c:pt idx="104">
                  <c:v>7.2598425196850397E-5</c:v>
                </c:pt>
                <c:pt idx="105">
                  <c:v>7.5708661417322836E-5</c:v>
                </c:pt>
                <c:pt idx="106">
                  <c:v>7.8818897637795274E-5</c:v>
                </c:pt>
                <c:pt idx="107">
                  <c:v>8.1929133858267713E-5</c:v>
                </c:pt>
                <c:pt idx="108">
                  <c:v>8.5472440944881896E-5</c:v>
                </c:pt>
                <c:pt idx="109">
                  <c:v>8.9370078740157481E-5</c:v>
                </c:pt>
                <c:pt idx="110">
                  <c:v>9.3307086614173224E-5</c:v>
                </c:pt>
                <c:pt idx="111">
                  <c:v>9.8023622047244097E-5</c:v>
                </c:pt>
                <c:pt idx="112">
                  <c:v>1.0274015748031497E-4</c:v>
                </c:pt>
                <c:pt idx="113">
                  <c:v>1.0824803149606301E-4</c:v>
                </c:pt>
                <c:pt idx="114">
                  <c:v>1.1454330708661417E-4</c:v>
                </c:pt>
                <c:pt idx="115">
                  <c:v>1.2162598425196852E-4</c:v>
                </c:pt>
                <c:pt idx="116">
                  <c:v>1.2989370078740156E-4</c:v>
                </c:pt>
                <c:pt idx="117">
                  <c:v>1.3934251968503937E-4</c:v>
                </c:pt>
                <c:pt idx="118">
                  <c:v>1.5076377952755906E-4</c:v>
                </c:pt>
                <c:pt idx="119">
                  <c:v>1.6454330708661418E-4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63C-4569-A2D1-F251D3996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232"/>
        <c:axId val="1"/>
      </c:scatterChart>
      <c:valAx>
        <c:axId val="1346360232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5991640750788504"/>
              <c:y val="0.9136711327940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3.3755265885881909E-2"/>
              <c:y val="0.2829743093047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360232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1.5" header="0.75" footer="0.75"/>
    <c:pageSetup orientation="landscape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Human</a:t>
            </a:r>
            <a:r>
              <a:rPr lang="en-US" sz="1400" b="1" baseline="0"/>
              <a:t> Perception Curve</a:t>
            </a:r>
          </a:p>
          <a:p>
            <a:pPr>
              <a:defRPr/>
            </a:pPr>
            <a:endParaRPr lang="en-US" sz="600" b="1" baseline="0"/>
          </a:p>
          <a:p>
            <a:pPr>
              <a:defRPr/>
            </a:pPr>
            <a:r>
              <a:rPr lang="en-US" sz="1200" b="1" baseline="0">
                <a:solidFill>
                  <a:srgbClr val="FF0000"/>
                </a:solidFill>
              </a:rPr>
              <a:t>Point 5 - NE Corner</a:t>
            </a:r>
            <a:endParaRPr lang="en-US" sz="12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69036276798548"/>
          <c:y val="0.13311664149862262"/>
          <c:w val="0.79580356821014242"/>
          <c:h val="0.75242850741218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46-47B0-8004-D7CD23E09A8E}"/>
              </c:ext>
            </c:extLst>
          </c:dPt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1.4784808479739018E-4</c:v>
                </c:pt>
                <c:pt idx="1">
                  <c:v>1.4784808479739018E-4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46-47B0-8004-D7CD23E09A8E}"/>
            </c:ext>
          </c:extLst>
        </c:ser>
        <c:ser>
          <c:idx val="10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1424</c:v>
                </c:pt>
                <c:pt idx="1">
                  <c:v>1424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46-47B0-8004-D7CD23E09A8E}"/>
            </c:ext>
          </c:extLst>
        </c:ser>
        <c:ser>
          <c:idx val="1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1780</c:v>
                </c:pt>
                <c:pt idx="1">
                  <c:v>1780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46-47B0-8004-D7CD23E09A8E}"/>
            </c:ext>
          </c:extLst>
        </c:ser>
        <c:ser>
          <c:idx val="1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2136</c:v>
                </c:pt>
                <c:pt idx="1">
                  <c:v>2136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446-47B0-8004-D7CD23E09A8E}"/>
            </c:ext>
          </c:extLst>
        </c:ser>
        <c:ser>
          <c:idx val="7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limits!$A$9:$A$12</c:f>
              <c:numCache>
                <c:formatCode>General</c:formatCode>
                <c:ptCount val="4"/>
                <c:pt idx="0">
                  <c:v>100</c:v>
                </c:pt>
                <c:pt idx="1">
                  <c:v>2300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limits!$B$9:$B$12</c:f>
              <c:numCache>
                <c:formatCode>General</c:formatCode>
                <c:ptCount val="4"/>
                <c:pt idx="0">
                  <c:v>0.1</c:v>
                </c:pt>
                <c:pt idx="1">
                  <c:v>5.5000000000000003E-4</c:v>
                </c:pt>
                <c:pt idx="2">
                  <c:v>1.2999999999999999E-4</c:v>
                </c:pt>
                <c:pt idx="3">
                  <c:v>1.45E-5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446-47B0-8004-D7CD23E09A8E}"/>
            </c:ext>
          </c:extLst>
        </c:ser>
        <c:ser>
          <c:idx val="3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limits!$B$4:$B$6</c:f>
              <c:numCache>
                <c:formatCode>General</c:formatCode>
                <c:ptCount val="3"/>
                <c:pt idx="0">
                  <c:v>9.2999999999999992E-3</c:v>
                </c:pt>
                <c:pt idx="1">
                  <c:v>1E-4</c:v>
                </c:pt>
                <c:pt idx="2">
                  <c:v>1.1E-5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446-47B0-8004-D7CD23E09A8E}"/>
            </c:ext>
          </c:extLst>
        </c:ser>
        <c:ser>
          <c:idx val="5"/>
          <c:order val="6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limits!$C$4:$C$6</c:f>
              <c:numCache>
                <c:formatCode>General</c:formatCode>
                <c:ptCount val="3"/>
                <c:pt idx="0">
                  <c:v>3.3E-3</c:v>
                </c:pt>
                <c:pt idx="1">
                  <c:v>3.3000000000000003E-5</c:v>
                </c:pt>
                <c:pt idx="2">
                  <c:v>3.3299999999999999E-6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446-47B0-8004-D7CD23E09A8E}"/>
            </c:ext>
          </c:extLst>
        </c:ser>
        <c:ser>
          <c:idx val="6"/>
          <c:order val="7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limits!$D$4:$D$6</c:f>
              <c:numCache>
                <c:formatCode>General</c:formatCode>
                <c:ptCount val="3"/>
                <c:pt idx="0">
                  <c:v>1.1999999999999999E-3</c:v>
                </c:pt>
                <c:pt idx="1">
                  <c:v>1.0000000000000001E-5</c:v>
                </c:pt>
                <c:pt idx="2">
                  <c:v>8.9999999999999996E-7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446-47B0-8004-D7CD23E09A8E}"/>
            </c:ext>
          </c:extLst>
        </c:ser>
        <c:ser>
          <c:idx val="18"/>
          <c:order val="8"/>
          <c:tx>
            <c:v>X-Translation</c:v>
          </c:tx>
          <c:spPr>
            <a:ln w="1905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P5_LB!$A$7:$A$126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P5_LB!$F$7:$F$126</c:f>
              <c:numCache>
                <c:formatCode>0.00E+00</c:formatCode>
                <c:ptCount val="120"/>
                <c:pt idx="0">
                  <c:v>5.2401574803149611E-8</c:v>
                </c:pt>
                <c:pt idx="1">
                  <c:v>2.1496062992125984E-7</c:v>
                </c:pt>
                <c:pt idx="2">
                  <c:v>4.9370078740157486E-7</c:v>
                </c:pt>
                <c:pt idx="3">
                  <c:v>9.0551181102362207E-7</c:v>
                </c:pt>
                <c:pt idx="4">
                  <c:v>1.4763779527559056E-6</c:v>
                </c:pt>
                <c:pt idx="5">
                  <c:v>2.2362204724409446E-6</c:v>
                </c:pt>
                <c:pt idx="6">
                  <c:v>3.2440944881889763E-6</c:v>
                </c:pt>
                <c:pt idx="7">
                  <c:v>4.5590551181102372E-6</c:v>
                </c:pt>
                <c:pt idx="8">
                  <c:v>6.2125984251968506E-6</c:v>
                </c:pt>
                <c:pt idx="9">
                  <c:v>8.074803149606299E-6</c:v>
                </c:pt>
                <c:pt idx="10">
                  <c:v>9.7519685039370088E-6</c:v>
                </c:pt>
                <c:pt idx="11">
                  <c:v>1.1023622047244094E-5</c:v>
                </c:pt>
                <c:pt idx="12">
                  <c:v>1.2125984251968505E-5</c:v>
                </c:pt>
                <c:pt idx="13">
                  <c:v>1.3385826771653545E-5</c:v>
                </c:pt>
                <c:pt idx="14">
                  <c:v>1.5039370078740159E-5</c:v>
                </c:pt>
                <c:pt idx="15">
                  <c:v>1.7007874015748029E-5</c:v>
                </c:pt>
                <c:pt idx="16">
                  <c:v>1.9330708661417325E-5</c:v>
                </c:pt>
                <c:pt idx="17">
                  <c:v>2.2007874015748028E-5</c:v>
                </c:pt>
                <c:pt idx="18">
                  <c:v>2.5118110236220474E-5</c:v>
                </c:pt>
                <c:pt idx="19">
                  <c:v>2.8661417322834647E-5</c:v>
                </c:pt>
                <c:pt idx="20">
                  <c:v>3.279527559055118E-5</c:v>
                </c:pt>
                <c:pt idx="21">
                  <c:v>3.7440944881889766E-5</c:v>
                </c:pt>
                <c:pt idx="22">
                  <c:v>4.2519685039370082E-5</c:v>
                </c:pt>
                <c:pt idx="23">
                  <c:v>4.7244094488188978E-5</c:v>
                </c:pt>
                <c:pt idx="24">
                  <c:v>5.2283464566929136E-5</c:v>
                </c:pt>
                <c:pt idx="25">
                  <c:v>5.6535433070866142E-5</c:v>
                </c:pt>
                <c:pt idx="26">
                  <c:v>6.0000000000000002E-5</c:v>
                </c:pt>
                <c:pt idx="27">
                  <c:v>6.2677165354330702E-5</c:v>
                </c:pt>
                <c:pt idx="28">
                  <c:v>6.4566929133858276E-5</c:v>
                </c:pt>
                <c:pt idx="29">
                  <c:v>6.570866141732285E-5</c:v>
                </c:pt>
                <c:pt idx="30">
                  <c:v>6.6023622047244092E-5</c:v>
                </c:pt>
                <c:pt idx="31">
                  <c:v>6.637795275590552E-5</c:v>
                </c:pt>
                <c:pt idx="32">
                  <c:v>6.5905511811023616E-5</c:v>
                </c:pt>
                <c:pt idx="33">
                  <c:v>6.5078740157480312E-5</c:v>
                </c:pt>
                <c:pt idx="34">
                  <c:v>6.4212598425196848E-5</c:v>
                </c:pt>
                <c:pt idx="35">
                  <c:v>6.2913385826771654E-5</c:v>
                </c:pt>
                <c:pt idx="36">
                  <c:v>6.1614173228346459E-5</c:v>
                </c:pt>
                <c:pt idx="37">
                  <c:v>5.996062992125985E-5</c:v>
                </c:pt>
                <c:pt idx="38">
                  <c:v>5.8661417322834655E-5</c:v>
                </c:pt>
                <c:pt idx="39">
                  <c:v>5.696850393700788E-5</c:v>
                </c:pt>
                <c:pt idx="40">
                  <c:v>5.5275590551181106E-5</c:v>
                </c:pt>
                <c:pt idx="41">
                  <c:v>5.3622047244094497E-5</c:v>
                </c:pt>
                <c:pt idx="42">
                  <c:v>5.1929133858267722E-5</c:v>
                </c:pt>
                <c:pt idx="43">
                  <c:v>5.0275590551181099E-5</c:v>
                </c:pt>
                <c:pt idx="44">
                  <c:v>4.862204724409449E-5</c:v>
                </c:pt>
                <c:pt idx="45">
                  <c:v>4.6968503937007881E-5</c:v>
                </c:pt>
                <c:pt idx="46">
                  <c:v>4.5314960629921265E-5</c:v>
                </c:pt>
                <c:pt idx="47">
                  <c:v>4.3858267716535436E-5</c:v>
                </c:pt>
                <c:pt idx="48">
                  <c:v>4.2440944881889765E-5</c:v>
                </c:pt>
                <c:pt idx="49">
                  <c:v>4.1102362204724412E-5</c:v>
                </c:pt>
                <c:pt idx="50">
                  <c:v>3.9763779527559058E-5</c:v>
                </c:pt>
                <c:pt idx="51">
                  <c:v>3.846456692913387E-5</c:v>
                </c:pt>
                <c:pt idx="52">
                  <c:v>3.7204724409448827E-5</c:v>
                </c:pt>
                <c:pt idx="53">
                  <c:v>3.5984251968503936E-5</c:v>
                </c:pt>
                <c:pt idx="54">
                  <c:v>3.4763779527559059E-5</c:v>
                </c:pt>
                <c:pt idx="55">
                  <c:v>3.3582677165354326E-5</c:v>
                </c:pt>
                <c:pt idx="56">
                  <c:v>3.2519685039370083E-5</c:v>
                </c:pt>
                <c:pt idx="57">
                  <c:v>3.1417322834645668E-5</c:v>
                </c:pt>
                <c:pt idx="58">
                  <c:v>3.0314960629921263E-5</c:v>
                </c:pt>
                <c:pt idx="59">
                  <c:v>2.9251968503937014E-5</c:v>
                </c:pt>
                <c:pt idx="60">
                  <c:v>2.8267716535433071E-5</c:v>
                </c:pt>
                <c:pt idx="61">
                  <c:v>2.7362204724409449E-5</c:v>
                </c:pt>
                <c:pt idx="62">
                  <c:v>2.6456692913385831E-5</c:v>
                </c:pt>
                <c:pt idx="63">
                  <c:v>2.5629921259842519E-5</c:v>
                </c:pt>
                <c:pt idx="64">
                  <c:v>2.4881889763779532E-5</c:v>
                </c:pt>
                <c:pt idx="65">
                  <c:v>2.4212598425196855E-5</c:v>
                </c:pt>
                <c:pt idx="66">
                  <c:v>2.3582677165354334E-5</c:v>
                </c:pt>
                <c:pt idx="67">
                  <c:v>2.2992125984251971E-5</c:v>
                </c:pt>
                <c:pt idx="68">
                  <c:v>2.2440944881889767E-5</c:v>
                </c:pt>
                <c:pt idx="69">
                  <c:v>2.1968503937007877E-5</c:v>
                </c:pt>
                <c:pt idx="70">
                  <c:v>2.1535433070866142E-5</c:v>
                </c:pt>
                <c:pt idx="71">
                  <c:v>2.110236220472441E-5</c:v>
                </c:pt>
                <c:pt idx="72">
                  <c:v>2.0708661417322837E-5</c:v>
                </c:pt>
                <c:pt idx="73">
                  <c:v>2.0314960629921261E-5</c:v>
                </c:pt>
                <c:pt idx="74">
                  <c:v>1.9960629921259843E-5</c:v>
                </c:pt>
                <c:pt idx="75">
                  <c:v>1.9566929133858267E-5</c:v>
                </c:pt>
                <c:pt idx="76">
                  <c:v>1.9212598425196852E-5</c:v>
                </c:pt>
                <c:pt idx="77">
                  <c:v>1.8818897637795276E-5</c:v>
                </c:pt>
                <c:pt idx="78">
                  <c:v>1.8464566929133858E-5</c:v>
                </c:pt>
                <c:pt idx="79">
                  <c:v>1.8031496062992127E-5</c:v>
                </c:pt>
                <c:pt idx="80">
                  <c:v>1.7677165354330709E-5</c:v>
                </c:pt>
                <c:pt idx="81">
                  <c:v>1.7244094488188977E-5</c:v>
                </c:pt>
                <c:pt idx="82">
                  <c:v>1.6850393700787401E-5</c:v>
                </c:pt>
                <c:pt idx="83">
                  <c:v>1.6417322834645669E-5</c:v>
                </c:pt>
                <c:pt idx="84">
                  <c:v>1.5984251968503938E-5</c:v>
                </c:pt>
                <c:pt idx="85">
                  <c:v>1.5590551181102362E-5</c:v>
                </c:pt>
                <c:pt idx="86">
                  <c:v>1.5157480314960632E-5</c:v>
                </c:pt>
                <c:pt idx="87">
                  <c:v>1.4763779527559057E-5</c:v>
                </c:pt>
                <c:pt idx="88">
                  <c:v>1.4370078740157481E-5</c:v>
                </c:pt>
                <c:pt idx="89">
                  <c:v>1.4015748031496065E-5</c:v>
                </c:pt>
                <c:pt idx="90">
                  <c:v>1.3661417322834647E-5</c:v>
                </c:pt>
                <c:pt idx="91">
                  <c:v>1.3346456692913386E-5</c:v>
                </c:pt>
                <c:pt idx="92">
                  <c:v>1.3031496062992125E-5</c:v>
                </c:pt>
                <c:pt idx="93">
                  <c:v>1.2795275590551182E-5</c:v>
                </c:pt>
                <c:pt idx="94">
                  <c:v>1.2519685039370078E-5</c:v>
                </c:pt>
                <c:pt idx="95">
                  <c:v>1.2283464566929135E-5</c:v>
                </c:pt>
                <c:pt idx="96">
                  <c:v>1.2086614173228347E-5</c:v>
                </c:pt>
                <c:pt idx="97">
                  <c:v>1.18503937007874E-5</c:v>
                </c:pt>
                <c:pt idx="98">
                  <c:v>1.169291338582677E-5</c:v>
                </c:pt>
                <c:pt idx="99">
                  <c:v>1.1574803149606298E-5</c:v>
                </c:pt>
                <c:pt idx="100">
                  <c:v>1.1456692913385827E-5</c:v>
                </c:pt>
                <c:pt idx="101">
                  <c:v>1.1377952755905513E-5</c:v>
                </c:pt>
                <c:pt idx="102">
                  <c:v>1.1299212598425197E-5</c:v>
                </c:pt>
                <c:pt idx="103">
                  <c:v>1.125984251968504E-5</c:v>
                </c:pt>
                <c:pt idx="104">
                  <c:v>1.125984251968504E-5</c:v>
                </c:pt>
                <c:pt idx="105">
                  <c:v>1.125984251968504E-5</c:v>
                </c:pt>
                <c:pt idx="106">
                  <c:v>1.1299212598425197E-5</c:v>
                </c:pt>
                <c:pt idx="107">
                  <c:v>1.1377952755905513E-5</c:v>
                </c:pt>
                <c:pt idx="108">
                  <c:v>1.1456692913385827E-5</c:v>
                </c:pt>
                <c:pt idx="109">
                  <c:v>1.1574803149606299E-5</c:v>
                </c:pt>
                <c:pt idx="110">
                  <c:v>1.1653543307086615E-5</c:v>
                </c:pt>
                <c:pt idx="111">
                  <c:v>1.1811023622047245E-5</c:v>
                </c:pt>
                <c:pt idx="112">
                  <c:v>1.1968503937007872E-5</c:v>
                </c:pt>
                <c:pt idx="113">
                  <c:v>1.2125984251968505E-5</c:v>
                </c:pt>
                <c:pt idx="114">
                  <c:v>1.2283464566929136E-5</c:v>
                </c:pt>
                <c:pt idx="115">
                  <c:v>1.2480314960629923E-5</c:v>
                </c:pt>
                <c:pt idx="116">
                  <c:v>1.2637795275590552E-5</c:v>
                </c:pt>
                <c:pt idx="117">
                  <c:v>1.2795275590551182E-5</c:v>
                </c:pt>
                <c:pt idx="118">
                  <c:v>1.2952755905511812E-5</c:v>
                </c:pt>
                <c:pt idx="119">
                  <c:v>1.3070866141732284E-5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446-47B0-8004-D7CD23E09A8E}"/>
            </c:ext>
          </c:extLst>
        </c:ser>
        <c:ser>
          <c:idx val="21"/>
          <c:order val="9"/>
          <c:tx>
            <c:v>Y-Translation</c:v>
          </c:tx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P5_LB!$A$7:$A$126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P5_LB!$G$7:$G$126</c:f>
              <c:numCache>
                <c:formatCode>0.00E+00</c:formatCode>
                <c:ptCount val="120"/>
                <c:pt idx="0">
                  <c:v>9.8937007874015741E-9</c:v>
                </c:pt>
                <c:pt idx="1">
                  <c:v>3.854330708661418E-8</c:v>
                </c:pt>
                <c:pt idx="2">
                  <c:v>8.740157480314962E-8</c:v>
                </c:pt>
                <c:pt idx="3">
                  <c:v>1.614173228346457E-7</c:v>
                </c:pt>
                <c:pt idx="4">
                  <c:v>2.5866141732283466E-7</c:v>
                </c:pt>
                <c:pt idx="5">
                  <c:v>3.881889763779528E-7</c:v>
                </c:pt>
                <c:pt idx="6">
                  <c:v>5.5196850393700792E-7</c:v>
                </c:pt>
                <c:pt idx="7">
                  <c:v>7.5984251968503947E-7</c:v>
                </c:pt>
                <c:pt idx="8">
                  <c:v>1.0118110236220473E-6</c:v>
                </c:pt>
                <c:pt idx="9">
                  <c:v>1.3149606299212598E-6</c:v>
                </c:pt>
                <c:pt idx="10">
                  <c:v>1.6614173228346458E-6</c:v>
                </c:pt>
                <c:pt idx="11">
                  <c:v>2.0354330708661419E-6</c:v>
                </c:pt>
                <c:pt idx="12">
                  <c:v>2.4527559055118108E-6</c:v>
                </c:pt>
                <c:pt idx="13">
                  <c:v>2.8976377952755906E-6</c:v>
                </c:pt>
                <c:pt idx="14">
                  <c:v>3.3543307086614173E-6</c:v>
                </c:pt>
                <c:pt idx="15">
                  <c:v>3.8110236220472441E-6</c:v>
                </c:pt>
                <c:pt idx="16">
                  <c:v>4.2716535433070865E-6</c:v>
                </c:pt>
                <c:pt idx="17">
                  <c:v>4.7519685039370092E-6</c:v>
                </c:pt>
                <c:pt idx="18">
                  <c:v>5.2677165354330709E-6</c:v>
                </c:pt>
                <c:pt idx="19">
                  <c:v>5.8307086614173237E-6</c:v>
                </c:pt>
                <c:pt idx="20">
                  <c:v>6.4842519685039373E-6</c:v>
                </c:pt>
                <c:pt idx="21">
                  <c:v>7.2047244094488179E-6</c:v>
                </c:pt>
                <c:pt idx="22">
                  <c:v>8.0275590551181114E-6</c:v>
                </c:pt>
                <c:pt idx="23">
                  <c:v>9.0393700787401572E-6</c:v>
                </c:pt>
                <c:pt idx="24">
                  <c:v>1.012992125984252E-5</c:v>
                </c:pt>
                <c:pt idx="25">
                  <c:v>1.1381889763779529E-5</c:v>
                </c:pt>
                <c:pt idx="26">
                  <c:v>1.2677165354330709E-5</c:v>
                </c:pt>
                <c:pt idx="27">
                  <c:v>1.409448818897638E-5</c:v>
                </c:pt>
                <c:pt idx="28">
                  <c:v>1.5476377952755907E-5</c:v>
                </c:pt>
                <c:pt idx="29">
                  <c:v>1.6909448818897639E-5</c:v>
                </c:pt>
                <c:pt idx="30">
                  <c:v>1.8307086614173227E-5</c:v>
                </c:pt>
                <c:pt idx="31">
                  <c:v>1.9629921259842519E-5</c:v>
                </c:pt>
                <c:pt idx="32">
                  <c:v>2.0874015748031494E-5</c:v>
                </c:pt>
                <c:pt idx="33">
                  <c:v>2.2039370078740161E-5</c:v>
                </c:pt>
                <c:pt idx="34">
                  <c:v>2.3118110236220473E-5</c:v>
                </c:pt>
                <c:pt idx="35">
                  <c:v>2.4031496062992127E-5</c:v>
                </c:pt>
                <c:pt idx="36">
                  <c:v>2.4783464566929132E-5</c:v>
                </c:pt>
                <c:pt idx="37">
                  <c:v>2.5452755905511809E-5</c:v>
                </c:pt>
                <c:pt idx="38">
                  <c:v>2.5960629921259843E-5</c:v>
                </c:pt>
                <c:pt idx="39">
                  <c:v>2.634645669291339E-5</c:v>
                </c:pt>
                <c:pt idx="40">
                  <c:v>2.6661417322834646E-5</c:v>
                </c:pt>
                <c:pt idx="41">
                  <c:v>2.6858267716535436E-5</c:v>
                </c:pt>
                <c:pt idx="42">
                  <c:v>2.7019685039370082E-5</c:v>
                </c:pt>
                <c:pt idx="43">
                  <c:v>2.7106299212598425E-5</c:v>
                </c:pt>
                <c:pt idx="44">
                  <c:v>2.7122047244094493E-5</c:v>
                </c:pt>
                <c:pt idx="45">
                  <c:v>2.7102362204724414E-5</c:v>
                </c:pt>
                <c:pt idx="46">
                  <c:v>2.7015748031496064E-5</c:v>
                </c:pt>
                <c:pt idx="47">
                  <c:v>2.6940944881889764E-5</c:v>
                </c:pt>
                <c:pt idx="48">
                  <c:v>2.6838582677165357E-5</c:v>
                </c:pt>
                <c:pt idx="49">
                  <c:v>2.6704724409448819E-5</c:v>
                </c:pt>
                <c:pt idx="50">
                  <c:v>2.6574803149606303E-5</c:v>
                </c:pt>
                <c:pt idx="51">
                  <c:v>2.6362204724409445E-5</c:v>
                </c:pt>
                <c:pt idx="52">
                  <c:v>2.6145669291338586E-5</c:v>
                </c:pt>
                <c:pt idx="53">
                  <c:v>2.5913385826771652E-5</c:v>
                </c:pt>
                <c:pt idx="54">
                  <c:v>2.576377952755906E-5</c:v>
                </c:pt>
                <c:pt idx="55">
                  <c:v>2.5645669291338581E-5</c:v>
                </c:pt>
                <c:pt idx="56">
                  <c:v>2.5515748031496065E-5</c:v>
                </c:pt>
                <c:pt idx="57">
                  <c:v>2.5342519685039372E-5</c:v>
                </c:pt>
                <c:pt idx="58">
                  <c:v>2.5035433070866142E-5</c:v>
                </c:pt>
                <c:pt idx="59">
                  <c:v>2.4712598425196854E-5</c:v>
                </c:pt>
                <c:pt idx="60">
                  <c:v>2.4377952755905516E-5</c:v>
                </c:pt>
                <c:pt idx="61">
                  <c:v>2.4047244094488192E-5</c:v>
                </c:pt>
                <c:pt idx="62">
                  <c:v>2.3728346456692918E-5</c:v>
                </c:pt>
                <c:pt idx="63">
                  <c:v>2.3460629921259843E-5</c:v>
                </c:pt>
                <c:pt idx="64">
                  <c:v>2.3200787401574808E-5</c:v>
                </c:pt>
                <c:pt idx="65">
                  <c:v>2.2984251968503939E-5</c:v>
                </c:pt>
                <c:pt idx="66">
                  <c:v>2.2775590551181102E-5</c:v>
                </c:pt>
                <c:pt idx="67">
                  <c:v>2.257086614173229E-5</c:v>
                </c:pt>
                <c:pt idx="68">
                  <c:v>2.2444881889763781E-5</c:v>
                </c:pt>
                <c:pt idx="69">
                  <c:v>2.2279527559055121E-5</c:v>
                </c:pt>
                <c:pt idx="70">
                  <c:v>2.2157480314960631E-5</c:v>
                </c:pt>
                <c:pt idx="71">
                  <c:v>2.2070866141732284E-5</c:v>
                </c:pt>
                <c:pt idx="72">
                  <c:v>2.1984251968503938E-5</c:v>
                </c:pt>
                <c:pt idx="73">
                  <c:v>2.1937007874015744E-5</c:v>
                </c:pt>
                <c:pt idx="74">
                  <c:v>2.1850393700787401E-5</c:v>
                </c:pt>
                <c:pt idx="75">
                  <c:v>2.1799212598425195E-5</c:v>
                </c:pt>
                <c:pt idx="76">
                  <c:v>2.1751968503937011E-5</c:v>
                </c:pt>
                <c:pt idx="77">
                  <c:v>2.1700787401574805E-5</c:v>
                </c:pt>
                <c:pt idx="78">
                  <c:v>2.16496062992126E-5</c:v>
                </c:pt>
                <c:pt idx="79">
                  <c:v>2.1598425196850391E-5</c:v>
                </c:pt>
                <c:pt idx="80">
                  <c:v>2.1507874015748037E-5</c:v>
                </c:pt>
                <c:pt idx="81">
                  <c:v>2.1417322834645669E-5</c:v>
                </c:pt>
                <c:pt idx="82">
                  <c:v>2.1330708661417326E-5</c:v>
                </c:pt>
                <c:pt idx="83">
                  <c:v>2.1200787401574807E-5</c:v>
                </c:pt>
                <c:pt idx="84">
                  <c:v>2.1074803149606298E-5</c:v>
                </c:pt>
                <c:pt idx="85">
                  <c:v>2.0905511811023627E-5</c:v>
                </c:pt>
                <c:pt idx="86">
                  <c:v>2.0779527559055122E-5</c:v>
                </c:pt>
                <c:pt idx="87">
                  <c:v>2.0614173228346458E-5</c:v>
                </c:pt>
                <c:pt idx="88">
                  <c:v>2.0448818897637795E-5</c:v>
                </c:pt>
                <c:pt idx="89">
                  <c:v>2.0244094488188979E-5</c:v>
                </c:pt>
                <c:pt idx="90">
                  <c:v>2.0078740157480319E-5</c:v>
                </c:pt>
                <c:pt idx="91">
                  <c:v>1.9874015748031497E-5</c:v>
                </c:pt>
                <c:pt idx="92">
                  <c:v>1.9669291338582678E-5</c:v>
                </c:pt>
                <c:pt idx="93">
                  <c:v>1.9464566929133859E-5</c:v>
                </c:pt>
                <c:pt idx="94">
                  <c:v>1.9263779527559058E-5</c:v>
                </c:pt>
                <c:pt idx="95">
                  <c:v>1.9059055118110236E-5</c:v>
                </c:pt>
                <c:pt idx="96">
                  <c:v>1.8893700787401579E-5</c:v>
                </c:pt>
                <c:pt idx="97">
                  <c:v>1.8728346456692912E-5</c:v>
                </c:pt>
                <c:pt idx="98">
                  <c:v>1.8606299212598428E-5</c:v>
                </c:pt>
                <c:pt idx="99">
                  <c:v>1.8440944881889764E-5</c:v>
                </c:pt>
                <c:pt idx="100">
                  <c:v>1.8318897637795277E-5</c:v>
                </c:pt>
                <c:pt idx="101">
                  <c:v>1.819685039370079E-5</c:v>
                </c:pt>
                <c:pt idx="102">
                  <c:v>1.80748031496063E-5</c:v>
                </c:pt>
                <c:pt idx="103">
                  <c:v>1.7952755905511809E-5</c:v>
                </c:pt>
                <c:pt idx="104">
                  <c:v>1.7870078740157481E-5</c:v>
                </c:pt>
                <c:pt idx="105">
                  <c:v>1.7787401574803153E-5</c:v>
                </c:pt>
                <c:pt idx="106">
                  <c:v>1.7665354330708662E-5</c:v>
                </c:pt>
                <c:pt idx="107">
                  <c:v>1.7582677165354334E-5</c:v>
                </c:pt>
                <c:pt idx="108">
                  <c:v>1.7503937007874016E-5</c:v>
                </c:pt>
                <c:pt idx="109">
                  <c:v>1.7421259842519688E-5</c:v>
                </c:pt>
                <c:pt idx="110">
                  <c:v>1.7338582677165356E-5</c:v>
                </c:pt>
                <c:pt idx="111">
                  <c:v>1.7259842519685042E-5</c:v>
                </c:pt>
                <c:pt idx="112">
                  <c:v>1.717716535433071E-5</c:v>
                </c:pt>
                <c:pt idx="113">
                  <c:v>1.7098425196850393E-5</c:v>
                </c:pt>
                <c:pt idx="114">
                  <c:v>1.6976377952755909E-5</c:v>
                </c:pt>
                <c:pt idx="115">
                  <c:v>1.6897637795275592E-5</c:v>
                </c:pt>
                <c:pt idx="116">
                  <c:v>1.681496062992126E-5</c:v>
                </c:pt>
                <c:pt idx="117">
                  <c:v>1.6736220472440946E-5</c:v>
                </c:pt>
                <c:pt idx="118">
                  <c:v>1.6692913385826773E-5</c:v>
                </c:pt>
                <c:pt idx="119">
                  <c:v>1.6653543307086618E-5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446-47B0-8004-D7CD23E09A8E}"/>
            </c:ext>
          </c:extLst>
        </c:ser>
        <c:ser>
          <c:idx val="22"/>
          <c:order val="10"/>
          <c:tx>
            <c:v>Z-Translation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P5_LB!$A$7:$A$126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P5_LB!$H$7:$H$126</c:f>
              <c:numCache>
                <c:formatCode>0.00E+00</c:formatCode>
                <c:ptCount val="120"/>
                <c:pt idx="0">
                  <c:v>1.8622047244094489E-8</c:v>
                </c:pt>
                <c:pt idx="1">
                  <c:v>7.5826771653543316E-8</c:v>
                </c:pt>
                <c:pt idx="2">
                  <c:v>1.7440944881889768E-7</c:v>
                </c:pt>
                <c:pt idx="3">
                  <c:v>3.1692913385826778E-7</c:v>
                </c:pt>
                <c:pt idx="4">
                  <c:v>5.1023622047244099E-7</c:v>
                </c:pt>
                <c:pt idx="5">
                  <c:v>7.614173228346458E-7</c:v>
                </c:pt>
                <c:pt idx="6">
                  <c:v>1.0811023622047245E-6</c:v>
                </c:pt>
                <c:pt idx="7">
                  <c:v>1.4842519685039371E-6</c:v>
                </c:pt>
                <c:pt idx="8">
                  <c:v>1.9724409448818899E-6</c:v>
                </c:pt>
                <c:pt idx="9">
                  <c:v>2.5275590551181102E-6</c:v>
                </c:pt>
                <c:pt idx="10">
                  <c:v>3.0590551181102368E-6</c:v>
                </c:pt>
                <c:pt idx="11">
                  <c:v>3.5314960629921258E-6</c:v>
                </c:pt>
                <c:pt idx="12">
                  <c:v>3.9566929133858275E-6</c:v>
                </c:pt>
                <c:pt idx="13">
                  <c:v>4.401574803149606E-6</c:v>
                </c:pt>
                <c:pt idx="14">
                  <c:v>4.9015748031496072E-6</c:v>
                </c:pt>
                <c:pt idx="15">
                  <c:v>5.4566929133858275E-6</c:v>
                </c:pt>
                <c:pt idx="16">
                  <c:v>6.1417322834645674E-6</c:v>
                </c:pt>
                <c:pt idx="17">
                  <c:v>6.8858267716535444E-6</c:v>
                </c:pt>
                <c:pt idx="18">
                  <c:v>7.6929133858267713E-6</c:v>
                </c:pt>
                <c:pt idx="19">
                  <c:v>8.5944881889763787E-6</c:v>
                </c:pt>
                <c:pt idx="20">
                  <c:v>9.5157480314960636E-6</c:v>
                </c:pt>
                <c:pt idx="21">
                  <c:v>1.0444881889763779E-5</c:v>
                </c:pt>
                <c:pt idx="22">
                  <c:v>1.1263779527559057E-5</c:v>
                </c:pt>
                <c:pt idx="23">
                  <c:v>1.1842519685039371E-5</c:v>
                </c:pt>
                <c:pt idx="24">
                  <c:v>1.2224409448818897E-5</c:v>
                </c:pt>
                <c:pt idx="25">
                  <c:v>1.227952755905512E-5</c:v>
                </c:pt>
                <c:pt idx="26">
                  <c:v>1.205511811023622E-5</c:v>
                </c:pt>
                <c:pt idx="27">
                  <c:v>1.1547244094488191E-5</c:v>
                </c:pt>
                <c:pt idx="28">
                  <c:v>1.0874015748031496E-5</c:v>
                </c:pt>
                <c:pt idx="29">
                  <c:v>1.0118110236220472E-5</c:v>
                </c:pt>
                <c:pt idx="30">
                  <c:v>9.3543307086614179E-6</c:v>
                </c:pt>
                <c:pt idx="31">
                  <c:v>8.5866141732283463E-6</c:v>
                </c:pt>
                <c:pt idx="32">
                  <c:v>7.9448818897637796E-6</c:v>
                </c:pt>
                <c:pt idx="33">
                  <c:v>7.4291338582677161E-6</c:v>
                </c:pt>
                <c:pt idx="34">
                  <c:v>7.0511811023622046E-6</c:v>
                </c:pt>
                <c:pt idx="35">
                  <c:v>6.7795275590551179E-6</c:v>
                </c:pt>
                <c:pt idx="36">
                  <c:v>6.7007874015748023E-6</c:v>
                </c:pt>
                <c:pt idx="37">
                  <c:v>6.7362204724409447E-6</c:v>
                </c:pt>
                <c:pt idx="38">
                  <c:v>6.9330708661417329E-6</c:v>
                </c:pt>
                <c:pt idx="39">
                  <c:v>7.2559055118110243E-6</c:v>
                </c:pt>
                <c:pt idx="40">
                  <c:v>7.6889763779527568E-6</c:v>
                </c:pt>
                <c:pt idx="41">
                  <c:v>8.2362204724409448E-6</c:v>
                </c:pt>
                <c:pt idx="42">
                  <c:v>8.8779527559055132E-6</c:v>
                </c:pt>
                <c:pt idx="43">
                  <c:v>9.6535433070866138E-6</c:v>
                </c:pt>
                <c:pt idx="44">
                  <c:v>1.0519685039370079E-5</c:v>
                </c:pt>
                <c:pt idx="45">
                  <c:v>1.1519685039370078E-5</c:v>
                </c:pt>
                <c:pt idx="46">
                  <c:v>1.2551181102362204E-5</c:v>
                </c:pt>
                <c:pt idx="47">
                  <c:v>1.362204724409449E-5</c:v>
                </c:pt>
                <c:pt idx="48">
                  <c:v>1.4685039370078741E-5</c:v>
                </c:pt>
                <c:pt idx="49">
                  <c:v>1.5748031496062993E-5</c:v>
                </c:pt>
                <c:pt idx="50">
                  <c:v>1.6968503937007874E-5</c:v>
                </c:pt>
                <c:pt idx="51">
                  <c:v>1.8661417322834645E-5</c:v>
                </c:pt>
                <c:pt idx="52">
                  <c:v>2.1653543307086618E-5</c:v>
                </c:pt>
                <c:pt idx="53">
                  <c:v>2.6023622047244096E-5</c:v>
                </c:pt>
                <c:pt idx="54">
                  <c:v>3.0472440944881891E-5</c:v>
                </c:pt>
                <c:pt idx="55">
                  <c:v>3.3228346456692919E-5</c:v>
                </c:pt>
                <c:pt idx="56">
                  <c:v>3.3897637795275589E-5</c:v>
                </c:pt>
                <c:pt idx="57">
                  <c:v>3.2834645669291339E-5</c:v>
                </c:pt>
                <c:pt idx="58">
                  <c:v>3.0905511811023626E-5</c:v>
                </c:pt>
                <c:pt idx="59">
                  <c:v>2.9133858267716538E-5</c:v>
                </c:pt>
                <c:pt idx="60">
                  <c:v>2.7952755905511812E-5</c:v>
                </c:pt>
                <c:pt idx="61">
                  <c:v>2.7362204724409449E-5</c:v>
                </c:pt>
                <c:pt idx="62">
                  <c:v>2.7204724409448821E-5</c:v>
                </c:pt>
                <c:pt idx="63">
                  <c:v>2.7322834645669294E-5</c:v>
                </c:pt>
                <c:pt idx="64">
                  <c:v>2.7637795275590553E-5</c:v>
                </c:pt>
                <c:pt idx="65">
                  <c:v>2.8031496062992129E-5</c:v>
                </c:pt>
                <c:pt idx="66">
                  <c:v>2.8503937007874016E-5</c:v>
                </c:pt>
                <c:pt idx="67">
                  <c:v>2.9015748031496065E-5</c:v>
                </c:pt>
                <c:pt idx="68">
                  <c:v>2.9566929133858273E-5</c:v>
                </c:pt>
                <c:pt idx="69">
                  <c:v>3.0039370078740156E-5</c:v>
                </c:pt>
                <c:pt idx="70">
                  <c:v>3.0511811023622046E-5</c:v>
                </c:pt>
                <c:pt idx="71">
                  <c:v>3.0984251968503943E-5</c:v>
                </c:pt>
                <c:pt idx="72">
                  <c:v>3.1456692913385827E-5</c:v>
                </c:pt>
                <c:pt idx="73">
                  <c:v>3.1889763779527565E-5</c:v>
                </c:pt>
                <c:pt idx="74">
                  <c:v>3.2362204724409449E-5</c:v>
                </c:pt>
                <c:pt idx="75">
                  <c:v>3.279527559055118E-5</c:v>
                </c:pt>
                <c:pt idx="76">
                  <c:v>3.3267716535433071E-5</c:v>
                </c:pt>
                <c:pt idx="77">
                  <c:v>3.3740157480314961E-5</c:v>
                </c:pt>
                <c:pt idx="78">
                  <c:v>3.4291338582677168E-5</c:v>
                </c:pt>
                <c:pt idx="79">
                  <c:v>3.4842519685039376E-5</c:v>
                </c:pt>
                <c:pt idx="80">
                  <c:v>3.5433070866141735E-5</c:v>
                </c:pt>
                <c:pt idx="81">
                  <c:v>3.6102362204724412E-5</c:v>
                </c:pt>
                <c:pt idx="82">
                  <c:v>3.6850393700787406E-5</c:v>
                </c:pt>
                <c:pt idx="83">
                  <c:v>3.7677165354330711E-5</c:v>
                </c:pt>
                <c:pt idx="84">
                  <c:v>3.8543307086614181E-5</c:v>
                </c:pt>
                <c:pt idx="85">
                  <c:v>3.9448818897637789E-5</c:v>
                </c:pt>
                <c:pt idx="86">
                  <c:v>4.0433070866141742E-5</c:v>
                </c:pt>
                <c:pt idx="87">
                  <c:v>4.1456692913385826E-5</c:v>
                </c:pt>
                <c:pt idx="88">
                  <c:v>4.25984251968504E-5</c:v>
                </c:pt>
                <c:pt idx="89">
                  <c:v>4.3818897637795277E-5</c:v>
                </c:pt>
                <c:pt idx="90">
                  <c:v>4.5236220472440941E-5</c:v>
                </c:pt>
                <c:pt idx="91">
                  <c:v>4.6692913385826771E-5</c:v>
                </c:pt>
                <c:pt idx="92">
                  <c:v>4.8188976377952759E-5</c:v>
                </c:pt>
                <c:pt idx="93">
                  <c:v>4.9645669291338595E-5</c:v>
                </c:pt>
                <c:pt idx="94">
                  <c:v>5.1535433070866149E-5</c:v>
                </c:pt>
                <c:pt idx="95">
                  <c:v>5.3031496062992124E-5</c:v>
                </c:pt>
                <c:pt idx="96">
                  <c:v>5.4527559055118112E-5</c:v>
                </c:pt>
                <c:pt idx="97">
                  <c:v>5.6417322834645673E-5</c:v>
                </c:pt>
                <c:pt idx="98">
                  <c:v>5.8307086614173234E-5</c:v>
                </c:pt>
                <c:pt idx="99">
                  <c:v>6.0629921259842526E-5</c:v>
                </c:pt>
                <c:pt idx="100">
                  <c:v>6.2519685039370081E-5</c:v>
                </c:pt>
                <c:pt idx="101">
                  <c:v>6.4842519685039373E-5</c:v>
                </c:pt>
                <c:pt idx="102">
                  <c:v>6.7559055118110239E-5</c:v>
                </c:pt>
                <c:pt idx="103">
                  <c:v>6.9881889763779531E-5</c:v>
                </c:pt>
                <c:pt idx="104">
                  <c:v>7.2598425196850397E-5</c:v>
                </c:pt>
                <c:pt idx="105">
                  <c:v>7.5708661417322836E-5</c:v>
                </c:pt>
                <c:pt idx="106">
                  <c:v>7.8818897637795274E-5</c:v>
                </c:pt>
                <c:pt idx="107">
                  <c:v>8.1929133858267713E-5</c:v>
                </c:pt>
                <c:pt idx="108">
                  <c:v>8.5472440944881896E-5</c:v>
                </c:pt>
                <c:pt idx="109">
                  <c:v>8.9370078740157481E-5</c:v>
                </c:pt>
                <c:pt idx="110">
                  <c:v>9.3307086614173224E-5</c:v>
                </c:pt>
                <c:pt idx="111">
                  <c:v>9.8023622047244097E-5</c:v>
                </c:pt>
                <c:pt idx="112">
                  <c:v>1.0274015748031497E-4</c:v>
                </c:pt>
                <c:pt idx="113">
                  <c:v>1.0824803149606301E-4</c:v>
                </c:pt>
                <c:pt idx="114">
                  <c:v>1.1454330708661417E-4</c:v>
                </c:pt>
                <c:pt idx="115">
                  <c:v>1.2162598425196852E-4</c:v>
                </c:pt>
                <c:pt idx="116">
                  <c:v>1.2989370078740156E-4</c:v>
                </c:pt>
                <c:pt idx="117">
                  <c:v>1.3934251968503937E-4</c:v>
                </c:pt>
                <c:pt idx="118">
                  <c:v>1.5076377952755906E-4</c:v>
                </c:pt>
                <c:pt idx="119">
                  <c:v>1.6454330708661418E-4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446-47B0-8004-D7CD23E09A8E}"/>
            </c:ext>
          </c:extLst>
        </c:ser>
        <c:ser>
          <c:idx val="23"/>
          <c:order val="11"/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F446-47B0-8004-D7CD23E09A8E}"/>
              </c:ext>
            </c:extLst>
          </c:dPt>
          <c:xVal>
            <c:numRef>
              <c:f>limits!$G$23:$G$24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limits!$H$23:$H$24</c:f>
              <c:numCache>
                <c:formatCode>0.000000</c:formatCode>
                <c:ptCount val="2"/>
                <c:pt idx="0">
                  <c:v>5.9999999999999995E-4</c:v>
                </c:pt>
                <c:pt idx="1">
                  <c:v>5.9999999999999995E-4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446-47B0-8004-D7CD23E09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10160"/>
        <c:axId val="1"/>
      </c:scatterChart>
      <c:valAx>
        <c:axId val="832210160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2482138870207053"/>
              <c:y val="0.9361926710380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.9999999999999995E-7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1.8357006017334653E-2"/>
              <c:y val="0.3193191221667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10160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1496496960137534"/>
          <c:y val="0.69083688649590724"/>
          <c:w val="0.22038214221632471"/>
          <c:h val="0.151102258462751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15-455F-8295-2D8EC782D7B0}"/>
            </c:ext>
          </c:extLst>
        </c:ser>
        <c:ser>
          <c:idx val="3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</c:numCache>
            </c:numRef>
          </c:xVal>
          <c:yVal>
            <c:numRef>
              <c:f>limits!$B$17:$B$21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15-455F-8295-2D8EC782D7B0}"/>
            </c:ext>
          </c:extLst>
        </c:ser>
        <c:ser>
          <c:idx val="4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limits!$D$17:$D$20</c:f>
              <c:numCache>
                <c:formatCode>General</c:formatCode>
                <c:ptCount val="4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</c:numCache>
            </c:numRef>
          </c:xVal>
          <c:yVal>
            <c:numRef>
              <c:f>limits!$E$17:$E$20</c:f>
              <c:numCache>
                <c:formatCode>General</c:formatCode>
                <c:ptCount val="4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15-455F-8295-2D8EC782D7B0}"/>
            </c:ext>
          </c:extLst>
        </c:ser>
        <c:ser>
          <c:idx val="5"/>
          <c:order val="3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limits!$G$4:$G$5</c:f>
              <c:numCache>
                <c:formatCode>0</c:formatCode>
                <c:ptCount val="2"/>
                <c:pt idx="0">
                  <c:v>1424</c:v>
                </c:pt>
                <c:pt idx="1">
                  <c:v>1424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15-455F-8295-2D8EC782D7B0}"/>
            </c:ext>
          </c:extLst>
        </c:ser>
        <c:ser>
          <c:idx val="6"/>
          <c:order val="4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limits!$H$4:$H$5</c:f>
              <c:numCache>
                <c:formatCode>General</c:formatCode>
                <c:ptCount val="2"/>
                <c:pt idx="0">
                  <c:v>1780</c:v>
                </c:pt>
                <c:pt idx="1">
                  <c:v>1780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15-455F-8295-2D8EC782D7B0}"/>
            </c:ext>
          </c:extLst>
        </c:ser>
        <c:ser>
          <c:idx val="7"/>
          <c:order val="5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limits!$I$4:$I$5</c:f>
              <c:numCache>
                <c:formatCode>0</c:formatCode>
                <c:ptCount val="2"/>
                <c:pt idx="0">
                  <c:v>2136</c:v>
                </c:pt>
                <c:pt idx="1">
                  <c:v>2136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115-455F-8295-2D8EC782D7B0}"/>
            </c:ext>
          </c:extLst>
        </c:ser>
        <c:ser>
          <c:idx val="8"/>
          <c:order val="6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limits!$J$4:$J$5</c:f>
              <c:numCache>
                <c:formatCode>General</c:formatCode>
                <c:ptCount val="2"/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115-455F-8295-2D8EC782D7B0}"/>
            </c:ext>
          </c:extLst>
        </c:ser>
        <c:ser>
          <c:idx val="10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limits!$H$17:$H$18</c:f>
              <c:numCache>
                <c:formatCode>General</c:formatCode>
                <c:ptCount val="2"/>
                <c:pt idx="0">
                  <c:v>4.4999999999999999E-4</c:v>
                </c:pt>
                <c:pt idx="1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115-455F-8295-2D8EC782D7B0}"/>
            </c:ext>
          </c:extLst>
        </c:ser>
        <c:ser>
          <c:idx val="11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limits!$I$17:$I$18</c:f>
              <c:numCache>
                <c:formatCode>General</c:formatCode>
                <c:ptCount val="2"/>
                <c:pt idx="0">
                  <c:v>9.5E-4</c:v>
                </c:pt>
                <c:pt idx="1">
                  <c:v>9.5000000000000005E-6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115-455F-8295-2D8EC782D7B0}"/>
            </c:ext>
          </c:extLst>
        </c:ser>
        <c:ser>
          <c:idx val="12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limits!$J$17:$J$18</c:f>
              <c:numCache>
                <c:formatCode>General</c:formatCode>
                <c:ptCount val="2"/>
                <c:pt idx="0">
                  <c:v>1.75E-3</c:v>
                </c:pt>
                <c:pt idx="1">
                  <c:v>1.6500000000000001E-5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115-455F-8295-2D8EC782D7B0}"/>
            </c:ext>
          </c:extLst>
        </c:ser>
        <c:ser>
          <c:idx val="13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limits!$K$17:$K$18</c:f>
              <c:numCache>
                <c:formatCode>General</c:formatCode>
                <c:ptCount val="2"/>
                <c:pt idx="0">
                  <c:v>3.7499999999999999E-3</c:v>
                </c:pt>
                <c:pt idx="1">
                  <c:v>3.5000000000000004E-5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115-455F-8295-2D8EC782D7B0}"/>
            </c:ext>
          </c:extLst>
        </c:ser>
        <c:ser>
          <c:idx val="14"/>
          <c:order val="1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limits!$L$17:$L$18</c:f>
              <c:numCache>
                <c:formatCode>General</c:formatCode>
                <c:ptCount val="2"/>
                <c:pt idx="0">
                  <c:v>7.4999999999999997E-3</c:v>
                </c:pt>
                <c:pt idx="1">
                  <c:v>6.5000000000000008E-5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115-455F-8295-2D8EC782D7B0}"/>
            </c:ext>
          </c:extLst>
        </c:ser>
        <c:ser>
          <c:idx val="20"/>
          <c:order val="12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115-455F-8295-2D8EC782D7B0}"/>
            </c:ext>
          </c:extLst>
        </c:ser>
        <c:ser>
          <c:idx val="21"/>
          <c:order val="1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115-455F-8295-2D8EC782D7B0}"/>
            </c:ext>
          </c:extLst>
        </c:ser>
        <c:ser>
          <c:idx val="0"/>
          <c:order val="1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1.4784808479739018E-4</c:v>
                </c:pt>
                <c:pt idx="1">
                  <c:v>1.4784808479739018E-4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115-455F-8295-2D8EC782D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76704"/>
        <c:axId val="1"/>
      </c:scatterChart>
      <c:valAx>
        <c:axId val="1347176704"/>
        <c:scaling>
          <c:logBase val="10"/>
          <c:orientation val="minMax"/>
          <c:max val="1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176704"/>
        <c:crosses val="autoZero"/>
        <c:crossBetween val="midCat"/>
        <c:majorUnit val="10"/>
        <c:minorUnit val="10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&amp;L&amp;F&amp;R&amp;D&amp;T</c:oddFooter>
    </c:headerFooter>
    <c:pageMargins b="1" l="0.75" r="0.75" t="1" header="0.5" footer="0.5"/>
    <c:pageSetup orientation="portrait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09322688642802"/>
          <c:y val="5.9952178769903067E-2"/>
          <c:w val="0.73417872778779292"/>
          <c:h val="0.82973815417545849"/>
        </c:manualLayout>
      </c:layout>
      <c:scatterChart>
        <c:scatterStyle val="lineMarker"/>
        <c:varyColors val="0"/>
        <c:ser>
          <c:idx val="15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1.4784808479739018E-4</c:v>
                </c:pt>
                <c:pt idx="1">
                  <c:v>1.4784808479739018E-4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44-4CCD-B210-3C21B8DC1A7D}"/>
            </c:ext>
          </c:extLst>
        </c:ser>
        <c:ser>
          <c:idx val="17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1424</c:v>
                </c:pt>
                <c:pt idx="1">
                  <c:v>1424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44-4CCD-B210-3C21B8DC1A7D}"/>
            </c:ext>
          </c:extLst>
        </c:ser>
        <c:ser>
          <c:idx val="18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1780</c:v>
                </c:pt>
                <c:pt idx="1">
                  <c:v>1780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44-4CCD-B210-3C21B8DC1A7D}"/>
            </c:ext>
          </c:extLst>
        </c:ser>
        <c:ser>
          <c:idx val="19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2136</c:v>
                </c:pt>
                <c:pt idx="1">
                  <c:v>2136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44-4CCD-B210-3C21B8DC1A7D}"/>
            </c:ext>
          </c:extLst>
        </c:ser>
        <c:ser>
          <c:idx val="3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limits!$A$17:$A$22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limits!$B$17:$B$22</c:f>
              <c:numCache>
                <c:formatCode>General</c:formatCode>
                <c:ptCount val="6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  <c:pt idx="5">
                  <c:v>9.3300000000000005E-6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44-4CCD-B210-3C21B8DC1A7D}"/>
            </c:ext>
          </c:extLst>
        </c:ser>
        <c:ser>
          <c:idx val="4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limits!$E$17:$E$21</c:f>
              <c:numCache>
                <c:formatCode>General</c:formatCode>
                <c:ptCount val="5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  <c:pt idx="4">
                  <c:v>8.1799999999999996E-6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144-4CCD-B210-3C21B8DC1A7D}"/>
            </c:ext>
          </c:extLst>
        </c:ser>
        <c:ser>
          <c:idx val="14"/>
          <c:order val="6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limits!$L$17:$L$19</c:f>
              <c:numCache>
                <c:formatCode>General</c:formatCode>
                <c:ptCount val="3"/>
                <c:pt idx="0">
                  <c:v>7.4999999999999997E-3</c:v>
                </c:pt>
                <c:pt idx="1">
                  <c:v>6.5000000000000008E-5</c:v>
                </c:pt>
                <c:pt idx="2" formatCode="0.00000000">
                  <c:v>6.1999999999999999E-6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144-4CCD-B210-3C21B8DC1A7D}"/>
            </c:ext>
          </c:extLst>
        </c:ser>
        <c:ser>
          <c:idx val="13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limits!$K$17:$K$19</c:f>
              <c:numCache>
                <c:formatCode>General</c:formatCode>
                <c:ptCount val="3"/>
                <c:pt idx="0">
                  <c:v>3.7499999999999999E-3</c:v>
                </c:pt>
                <c:pt idx="1">
                  <c:v>3.5000000000000004E-5</c:v>
                </c:pt>
                <c:pt idx="2" formatCode="0.00000000">
                  <c:v>3.4400000000000001E-6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144-4CCD-B210-3C21B8DC1A7D}"/>
            </c:ext>
          </c:extLst>
        </c:ser>
        <c:ser>
          <c:idx val="12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limits!$J$17:$J$19</c:f>
              <c:numCache>
                <c:formatCode>General</c:formatCode>
                <c:ptCount val="3"/>
                <c:pt idx="0">
                  <c:v>1.75E-3</c:v>
                </c:pt>
                <c:pt idx="1">
                  <c:v>1.6500000000000001E-5</c:v>
                </c:pt>
                <c:pt idx="2" formatCode="0.00000000">
                  <c:v>1.64E-6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144-4CCD-B210-3C21B8DC1A7D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limits!$I$17:$I$19</c:f>
              <c:numCache>
                <c:formatCode>General</c:formatCode>
                <c:ptCount val="3"/>
                <c:pt idx="0">
                  <c:v>9.5E-4</c:v>
                </c:pt>
                <c:pt idx="1">
                  <c:v>9.5000000000000005E-6</c:v>
                </c:pt>
                <c:pt idx="2" formatCode="0.00000000">
                  <c:v>9.33E-7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144-4CCD-B210-3C21B8DC1A7D}"/>
            </c:ext>
          </c:extLst>
        </c:ser>
        <c:ser>
          <c:idx val="10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limits!$H$17:$H$19</c:f>
              <c:numCache>
                <c:formatCode>General</c:formatCode>
                <c:ptCount val="3"/>
                <c:pt idx="0">
                  <c:v>4.4999999999999999E-4</c:v>
                </c:pt>
                <c:pt idx="1">
                  <c:v>3.9999999999999998E-6</c:v>
                </c:pt>
                <c:pt idx="2" formatCode="0.00000000">
                  <c:v>3.5499999999999999E-7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144-4CCD-B210-3C21B8DC1A7D}"/>
            </c:ext>
          </c:extLst>
        </c:ser>
        <c:ser>
          <c:idx val="25"/>
          <c:order val="11"/>
          <c:spPr>
            <a:ln w="19050">
              <a:solidFill>
                <a:srgbClr val="0070C0"/>
              </a:solidFill>
              <a:prstDash val="solid"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P6_LB!$A$7:$A$126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P6_LB!$F$7:$F$126</c:f>
              <c:numCache>
                <c:formatCode>0.00E+00</c:formatCode>
                <c:ptCount val="120"/>
                <c:pt idx="0">
                  <c:v>6.8937007874015754E-8</c:v>
                </c:pt>
                <c:pt idx="1">
                  <c:v>2.6850393700787401E-7</c:v>
                </c:pt>
                <c:pt idx="2">
                  <c:v>6.0551181102362198E-7</c:v>
                </c:pt>
                <c:pt idx="3">
                  <c:v>1.1110236220472443E-6</c:v>
                </c:pt>
                <c:pt idx="4">
                  <c:v>1.7692913385826776E-6</c:v>
                </c:pt>
                <c:pt idx="5">
                  <c:v>2.6377952755905512E-6</c:v>
                </c:pt>
                <c:pt idx="6">
                  <c:v>3.7401574803149604E-6</c:v>
                </c:pt>
                <c:pt idx="7">
                  <c:v>5.1496062992125992E-6</c:v>
                </c:pt>
                <c:pt idx="8">
                  <c:v>6.9370078740157483E-6</c:v>
                </c:pt>
                <c:pt idx="9">
                  <c:v>9.1338582677165342E-6</c:v>
                </c:pt>
                <c:pt idx="10">
                  <c:v>1.1484251968503937E-5</c:v>
                </c:pt>
                <c:pt idx="11">
                  <c:v>1.3779527559055119E-5</c:v>
                </c:pt>
                <c:pt idx="12">
                  <c:v>1.6062992125984252E-5</c:v>
                </c:pt>
                <c:pt idx="13">
                  <c:v>1.8464566929133858E-5</c:v>
                </c:pt>
                <c:pt idx="14">
                  <c:v>2.1062992125984258E-5</c:v>
                </c:pt>
                <c:pt idx="15">
                  <c:v>2.3937007874015752E-5</c:v>
                </c:pt>
                <c:pt idx="16">
                  <c:v>2.7173228346456692E-5</c:v>
                </c:pt>
                <c:pt idx="17">
                  <c:v>3.0834645669291338E-5</c:v>
                </c:pt>
                <c:pt idx="18">
                  <c:v>3.5003937007874018E-5</c:v>
                </c:pt>
                <c:pt idx="19">
                  <c:v>3.9610236220472445E-5</c:v>
                </c:pt>
                <c:pt idx="20">
                  <c:v>4.4614173228346459E-5</c:v>
                </c:pt>
                <c:pt idx="21">
                  <c:v>4.989370078740157E-5</c:v>
                </c:pt>
                <c:pt idx="22">
                  <c:v>5.5566929133858268E-5</c:v>
                </c:pt>
                <c:pt idx="23">
                  <c:v>6.0070866141732283E-5</c:v>
                </c:pt>
                <c:pt idx="24">
                  <c:v>6.4594488188976385E-5</c:v>
                </c:pt>
                <c:pt idx="25">
                  <c:v>6.7956692913385833E-5</c:v>
                </c:pt>
                <c:pt idx="26">
                  <c:v>7.055905511811023E-5</c:v>
                </c:pt>
                <c:pt idx="27">
                  <c:v>7.2000000000000002E-5</c:v>
                </c:pt>
                <c:pt idx="28">
                  <c:v>7.3074803149606295E-5</c:v>
                </c:pt>
                <c:pt idx="29">
                  <c:v>7.4165354330708673E-5</c:v>
                </c:pt>
                <c:pt idx="30">
                  <c:v>7.5267716535433075E-5</c:v>
                </c:pt>
                <c:pt idx="31">
                  <c:v>7.6377952755905519E-5</c:v>
                </c:pt>
                <c:pt idx="32">
                  <c:v>7.8271653543307088E-5</c:v>
                </c:pt>
                <c:pt idx="33">
                  <c:v>8.0165354330708657E-5</c:v>
                </c:pt>
                <c:pt idx="34">
                  <c:v>8.2444881889763769E-5</c:v>
                </c:pt>
                <c:pt idx="35">
                  <c:v>8.4720472440944888E-5</c:v>
                </c:pt>
                <c:pt idx="36">
                  <c:v>8.7000000000000001E-5</c:v>
                </c:pt>
                <c:pt idx="37">
                  <c:v>8.9291338582677177E-5</c:v>
                </c:pt>
                <c:pt idx="38">
                  <c:v>9.1204724409448812E-5</c:v>
                </c:pt>
                <c:pt idx="39">
                  <c:v>9.274409448818898E-5</c:v>
                </c:pt>
                <c:pt idx="40">
                  <c:v>9.4307086614173221E-5</c:v>
                </c:pt>
                <c:pt idx="41">
                  <c:v>9.589370078740159E-5</c:v>
                </c:pt>
                <c:pt idx="42">
                  <c:v>9.671653543307086E-5</c:v>
                </c:pt>
                <c:pt idx="43">
                  <c:v>9.7952755905511823E-5</c:v>
                </c:pt>
                <c:pt idx="44">
                  <c:v>9.8814960629921251E-5</c:v>
                </c:pt>
                <c:pt idx="45">
                  <c:v>9.9299212598425205E-5</c:v>
                </c:pt>
                <c:pt idx="46">
                  <c:v>9.9795275590551196E-5</c:v>
                </c:pt>
                <c:pt idx="47">
                  <c:v>1.002992125984252E-4</c:v>
                </c:pt>
                <c:pt idx="48">
                  <c:v>1.0080708661417323E-4</c:v>
                </c:pt>
                <c:pt idx="49">
                  <c:v>1.0131102362204725E-4</c:v>
                </c:pt>
                <c:pt idx="50">
                  <c:v>1.0140944881889765E-4</c:v>
                </c:pt>
                <c:pt idx="51">
                  <c:v>1.0148818897637795E-4</c:v>
                </c:pt>
                <c:pt idx="52">
                  <c:v>1.0116141732283464E-4</c:v>
                </c:pt>
                <c:pt idx="53">
                  <c:v>1.0120472440944882E-4</c:v>
                </c:pt>
                <c:pt idx="54">
                  <c:v>1.0085433070866143E-4</c:v>
                </c:pt>
                <c:pt idx="55">
                  <c:v>1.0050000000000002E-4</c:v>
                </c:pt>
                <c:pt idx="56">
                  <c:v>1.0013779527559056E-4</c:v>
                </c:pt>
                <c:pt idx="57">
                  <c:v>9.975590551181101E-5</c:v>
                </c:pt>
                <c:pt idx="58">
                  <c:v>9.9354330708661422E-5</c:v>
                </c:pt>
                <c:pt idx="59">
                  <c:v>9.8940944881889783E-5</c:v>
                </c:pt>
                <c:pt idx="60">
                  <c:v>9.8527559055118104E-5</c:v>
                </c:pt>
                <c:pt idx="61">
                  <c:v>9.7728346456692908E-5</c:v>
                </c:pt>
                <c:pt idx="62">
                  <c:v>9.7326771653543319E-5</c:v>
                </c:pt>
                <c:pt idx="63">
                  <c:v>9.6929133858267725E-5</c:v>
                </c:pt>
                <c:pt idx="64">
                  <c:v>9.6535433070866152E-5</c:v>
                </c:pt>
                <c:pt idx="65">
                  <c:v>9.6145669291338587E-5</c:v>
                </c:pt>
                <c:pt idx="66">
                  <c:v>9.5751968503937014E-5</c:v>
                </c:pt>
                <c:pt idx="67">
                  <c:v>9.5358267716535441E-5</c:v>
                </c:pt>
                <c:pt idx="68">
                  <c:v>9.4956692913385839E-5</c:v>
                </c:pt>
                <c:pt idx="69">
                  <c:v>9.455511811023621E-5</c:v>
                </c:pt>
                <c:pt idx="70">
                  <c:v>9.4149606299212614E-5</c:v>
                </c:pt>
                <c:pt idx="71">
                  <c:v>9.4133858267716542E-5</c:v>
                </c:pt>
                <c:pt idx="72">
                  <c:v>9.3720472440944876E-5</c:v>
                </c:pt>
                <c:pt idx="73">
                  <c:v>9.3307086614173237E-5</c:v>
                </c:pt>
                <c:pt idx="74">
                  <c:v>9.328346456692915E-5</c:v>
                </c:pt>
                <c:pt idx="75">
                  <c:v>9.2866141732283463E-5</c:v>
                </c:pt>
                <c:pt idx="76">
                  <c:v>9.2842519685039363E-5</c:v>
                </c:pt>
                <c:pt idx="77">
                  <c:v>9.2421259842519681E-5</c:v>
                </c:pt>
                <c:pt idx="78">
                  <c:v>9.2003937007874008E-5</c:v>
                </c:pt>
                <c:pt idx="79">
                  <c:v>9.1582677165354354E-5</c:v>
                </c:pt>
                <c:pt idx="80">
                  <c:v>9.1559055118110253E-5</c:v>
                </c:pt>
                <c:pt idx="81">
                  <c:v>9.1137795275590558E-5</c:v>
                </c:pt>
                <c:pt idx="82">
                  <c:v>9.0720472440944871E-5</c:v>
                </c:pt>
                <c:pt idx="83">
                  <c:v>9.0303149606299225E-5</c:v>
                </c:pt>
                <c:pt idx="84">
                  <c:v>8.9889763779527559E-5</c:v>
                </c:pt>
                <c:pt idx="85">
                  <c:v>8.9472440944881899E-5</c:v>
                </c:pt>
                <c:pt idx="86">
                  <c:v>8.866535433070866E-5</c:v>
                </c:pt>
                <c:pt idx="87">
                  <c:v>8.8255905511811029E-5</c:v>
                </c:pt>
                <c:pt idx="88">
                  <c:v>8.7842519685039377E-5</c:v>
                </c:pt>
                <c:pt idx="89">
                  <c:v>8.7433070866141746E-5</c:v>
                </c:pt>
                <c:pt idx="90">
                  <c:v>8.7023622047244101E-5</c:v>
                </c:pt>
                <c:pt idx="91">
                  <c:v>8.661417322834647E-5</c:v>
                </c:pt>
                <c:pt idx="92">
                  <c:v>8.6204724409448839E-5</c:v>
                </c:pt>
                <c:pt idx="93">
                  <c:v>8.5795275590551195E-5</c:v>
                </c:pt>
                <c:pt idx="94">
                  <c:v>8.5385826771653536E-5</c:v>
                </c:pt>
                <c:pt idx="95">
                  <c:v>8.4976377952755905E-5</c:v>
                </c:pt>
                <c:pt idx="96">
                  <c:v>8.4566929133858275E-5</c:v>
                </c:pt>
                <c:pt idx="97">
                  <c:v>8.415748031496063E-5</c:v>
                </c:pt>
                <c:pt idx="98">
                  <c:v>8.3748031496062985E-5</c:v>
                </c:pt>
                <c:pt idx="99">
                  <c:v>8.3736220472440935E-5</c:v>
                </c:pt>
                <c:pt idx="100">
                  <c:v>8.3330708661417312E-5</c:v>
                </c:pt>
                <c:pt idx="101">
                  <c:v>8.3318897637795275E-5</c:v>
                </c:pt>
                <c:pt idx="102">
                  <c:v>8.2913385826771652E-5</c:v>
                </c:pt>
                <c:pt idx="103">
                  <c:v>8.2901574803149602E-5</c:v>
                </c:pt>
                <c:pt idx="104">
                  <c:v>8.2496062992125978E-5</c:v>
                </c:pt>
                <c:pt idx="105">
                  <c:v>8.2488188976377963E-5</c:v>
                </c:pt>
                <c:pt idx="106">
                  <c:v>8.2086614173228374E-5</c:v>
                </c:pt>
                <c:pt idx="107">
                  <c:v>8.2078740157480332E-5</c:v>
                </c:pt>
                <c:pt idx="108">
                  <c:v>8.2070866141732303E-5</c:v>
                </c:pt>
                <c:pt idx="109">
                  <c:v>8.1669291338582687E-5</c:v>
                </c:pt>
                <c:pt idx="110">
                  <c:v>8.1661417322834645E-5</c:v>
                </c:pt>
                <c:pt idx="111">
                  <c:v>8.1259842519685043E-5</c:v>
                </c:pt>
                <c:pt idx="112">
                  <c:v>8.0862204724409448E-5</c:v>
                </c:pt>
                <c:pt idx="113">
                  <c:v>8.0854330708661419E-5</c:v>
                </c:pt>
                <c:pt idx="114">
                  <c:v>8.0452755905511817E-5</c:v>
                </c:pt>
                <c:pt idx="115">
                  <c:v>8.0055118110236223E-5</c:v>
                </c:pt>
                <c:pt idx="116">
                  <c:v>7.9653543307086621E-5</c:v>
                </c:pt>
                <c:pt idx="117">
                  <c:v>7.9255905511811027E-5</c:v>
                </c:pt>
                <c:pt idx="118">
                  <c:v>7.8854330708661411E-5</c:v>
                </c:pt>
                <c:pt idx="119">
                  <c:v>7.8062992125984244E-5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144-4CCD-B210-3C21B8DC1A7D}"/>
            </c:ext>
          </c:extLst>
        </c:ser>
        <c:ser>
          <c:idx val="26"/>
          <c:order val="12"/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triangle"/>
            <c:size val="3"/>
            <c:spPr>
              <a:noFill/>
              <a:ln w="9525">
                <a:noFill/>
              </a:ln>
            </c:spPr>
          </c:marker>
          <c:xVal>
            <c:numRef>
              <c:f>P6_LB!$A$7:$A$126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P6_LB!$G$7:$G$126</c:f>
              <c:numCache>
                <c:formatCode>0.00E+00</c:formatCode>
                <c:ptCount val="120"/>
                <c:pt idx="0">
                  <c:v>9.8937007874015741E-9</c:v>
                </c:pt>
                <c:pt idx="1">
                  <c:v>3.854330708661418E-8</c:v>
                </c:pt>
                <c:pt idx="2">
                  <c:v>8.740157480314962E-8</c:v>
                </c:pt>
                <c:pt idx="3">
                  <c:v>1.614173228346457E-7</c:v>
                </c:pt>
                <c:pt idx="4">
                  <c:v>2.5866141732283466E-7</c:v>
                </c:pt>
                <c:pt idx="5">
                  <c:v>3.881889763779528E-7</c:v>
                </c:pt>
                <c:pt idx="6">
                  <c:v>5.5196850393700792E-7</c:v>
                </c:pt>
                <c:pt idx="7">
                  <c:v>7.5984251968503947E-7</c:v>
                </c:pt>
                <c:pt idx="8">
                  <c:v>1.0118110236220473E-6</c:v>
                </c:pt>
                <c:pt idx="9">
                  <c:v>1.3149606299212598E-6</c:v>
                </c:pt>
                <c:pt idx="10">
                  <c:v>1.6614173228346458E-6</c:v>
                </c:pt>
                <c:pt idx="11">
                  <c:v>2.0354330708661419E-6</c:v>
                </c:pt>
                <c:pt idx="12">
                  <c:v>2.4527559055118108E-6</c:v>
                </c:pt>
                <c:pt idx="13">
                  <c:v>2.8976377952755906E-6</c:v>
                </c:pt>
                <c:pt idx="14">
                  <c:v>3.3543307086614173E-6</c:v>
                </c:pt>
                <c:pt idx="15">
                  <c:v>3.8110236220472441E-6</c:v>
                </c:pt>
                <c:pt idx="16">
                  <c:v>4.2716535433070865E-6</c:v>
                </c:pt>
                <c:pt idx="17">
                  <c:v>4.7519685039370092E-6</c:v>
                </c:pt>
                <c:pt idx="18">
                  <c:v>5.2677165354330709E-6</c:v>
                </c:pt>
                <c:pt idx="19">
                  <c:v>5.8307086614173237E-6</c:v>
                </c:pt>
                <c:pt idx="20">
                  <c:v>6.4842519685039373E-6</c:v>
                </c:pt>
                <c:pt idx="21">
                  <c:v>7.2047244094488179E-6</c:v>
                </c:pt>
                <c:pt idx="22">
                  <c:v>8.0275590551181114E-6</c:v>
                </c:pt>
                <c:pt idx="23">
                  <c:v>9.0393700787401572E-6</c:v>
                </c:pt>
                <c:pt idx="24">
                  <c:v>1.012992125984252E-5</c:v>
                </c:pt>
                <c:pt idx="25">
                  <c:v>1.1381889763779529E-5</c:v>
                </c:pt>
                <c:pt idx="26">
                  <c:v>1.2677165354330709E-5</c:v>
                </c:pt>
                <c:pt idx="27">
                  <c:v>1.409448818897638E-5</c:v>
                </c:pt>
                <c:pt idx="28">
                  <c:v>1.5476377952755907E-5</c:v>
                </c:pt>
                <c:pt idx="29">
                  <c:v>1.6909448818897639E-5</c:v>
                </c:pt>
                <c:pt idx="30">
                  <c:v>1.8307086614173227E-5</c:v>
                </c:pt>
                <c:pt idx="31">
                  <c:v>1.9629921259842519E-5</c:v>
                </c:pt>
                <c:pt idx="32">
                  <c:v>2.0874015748031494E-5</c:v>
                </c:pt>
                <c:pt idx="33">
                  <c:v>2.2039370078740161E-5</c:v>
                </c:pt>
                <c:pt idx="34">
                  <c:v>2.3118110236220473E-5</c:v>
                </c:pt>
                <c:pt idx="35">
                  <c:v>2.4031496062992127E-5</c:v>
                </c:pt>
                <c:pt idx="36">
                  <c:v>2.4783464566929132E-5</c:v>
                </c:pt>
                <c:pt idx="37">
                  <c:v>2.5452755905511809E-5</c:v>
                </c:pt>
                <c:pt idx="38">
                  <c:v>2.5960629921259843E-5</c:v>
                </c:pt>
                <c:pt idx="39">
                  <c:v>2.634645669291339E-5</c:v>
                </c:pt>
                <c:pt idx="40">
                  <c:v>2.6661417322834646E-5</c:v>
                </c:pt>
                <c:pt idx="41">
                  <c:v>2.6858267716535436E-5</c:v>
                </c:pt>
                <c:pt idx="42">
                  <c:v>2.7019685039370082E-5</c:v>
                </c:pt>
                <c:pt idx="43">
                  <c:v>2.7106299212598425E-5</c:v>
                </c:pt>
                <c:pt idx="44">
                  <c:v>2.7122047244094493E-5</c:v>
                </c:pt>
                <c:pt idx="45">
                  <c:v>2.7102362204724414E-5</c:v>
                </c:pt>
                <c:pt idx="46">
                  <c:v>2.7015748031496064E-5</c:v>
                </c:pt>
                <c:pt idx="47">
                  <c:v>2.6940944881889764E-5</c:v>
                </c:pt>
                <c:pt idx="48">
                  <c:v>2.6838582677165357E-5</c:v>
                </c:pt>
                <c:pt idx="49">
                  <c:v>2.6704724409448819E-5</c:v>
                </c:pt>
                <c:pt idx="50">
                  <c:v>2.6574803149606303E-5</c:v>
                </c:pt>
                <c:pt idx="51">
                  <c:v>2.6362204724409445E-5</c:v>
                </c:pt>
                <c:pt idx="52">
                  <c:v>2.6145669291338586E-5</c:v>
                </c:pt>
                <c:pt idx="53">
                  <c:v>2.5913385826771652E-5</c:v>
                </c:pt>
                <c:pt idx="54">
                  <c:v>2.576377952755906E-5</c:v>
                </c:pt>
                <c:pt idx="55">
                  <c:v>2.5645669291338581E-5</c:v>
                </c:pt>
                <c:pt idx="56">
                  <c:v>2.5515748031496065E-5</c:v>
                </c:pt>
                <c:pt idx="57">
                  <c:v>2.5342519685039372E-5</c:v>
                </c:pt>
                <c:pt idx="58">
                  <c:v>2.5035433070866142E-5</c:v>
                </c:pt>
                <c:pt idx="59">
                  <c:v>2.4712598425196854E-5</c:v>
                </c:pt>
                <c:pt idx="60">
                  <c:v>2.4377952755905516E-5</c:v>
                </c:pt>
                <c:pt idx="61">
                  <c:v>2.4047244094488192E-5</c:v>
                </c:pt>
                <c:pt idx="62">
                  <c:v>2.3728346456692918E-5</c:v>
                </c:pt>
                <c:pt idx="63">
                  <c:v>2.3460629921259843E-5</c:v>
                </c:pt>
                <c:pt idx="64">
                  <c:v>2.3200787401574808E-5</c:v>
                </c:pt>
                <c:pt idx="65">
                  <c:v>2.2984251968503939E-5</c:v>
                </c:pt>
                <c:pt idx="66">
                  <c:v>2.2775590551181102E-5</c:v>
                </c:pt>
                <c:pt idx="67">
                  <c:v>2.257086614173229E-5</c:v>
                </c:pt>
                <c:pt idx="68">
                  <c:v>2.2444881889763781E-5</c:v>
                </c:pt>
                <c:pt idx="69">
                  <c:v>2.2279527559055121E-5</c:v>
                </c:pt>
                <c:pt idx="70">
                  <c:v>2.2157480314960631E-5</c:v>
                </c:pt>
                <c:pt idx="71">
                  <c:v>2.2070866141732284E-5</c:v>
                </c:pt>
                <c:pt idx="72">
                  <c:v>2.1984251968503938E-5</c:v>
                </c:pt>
                <c:pt idx="73">
                  <c:v>2.1937007874015744E-5</c:v>
                </c:pt>
                <c:pt idx="74">
                  <c:v>2.1850393700787401E-5</c:v>
                </c:pt>
                <c:pt idx="75">
                  <c:v>2.1799212598425195E-5</c:v>
                </c:pt>
                <c:pt idx="76">
                  <c:v>2.1751968503937011E-5</c:v>
                </c:pt>
                <c:pt idx="77">
                  <c:v>2.1700787401574805E-5</c:v>
                </c:pt>
                <c:pt idx="78">
                  <c:v>2.16496062992126E-5</c:v>
                </c:pt>
                <c:pt idx="79">
                  <c:v>2.1598425196850391E-5</c:v>
                </c:pt>
                <c:pt idx="80">
                  <c:v>2.1507874015748037E-5</c:v>
                </c:pt>
                <c:pt idx="81">
                  <c:v>2.1417322834645669E-5</c:v>
                </c:pt>
                <c:pt idx="82">
                  <c:v>2.1330708661417326E-5</c:v>
                </c:pt>
                <c:pt idx="83">
                  <c:v>2.1200787401574807E-5</c:v>
                </c:pt>
                <c:pt idx="84">
                  <c:v>2.1074803149606298E-5</c:v>
                </c:pt>
                <c:pt idx="85">
                  <c:v>2.0905511811023627E-5</c:v>
                </c:pt>
                <c:pt idx="86">
                  <c:v>2.0779527559055122E-5</c:v>
                </c:pt>
                <c:pt idx="87">
                  <c:v>2.0614173228346458E-5</c:v>
                </c:pt>
                <c:pt idx="88">
                  <c:v>2.0448818897637795E-5</c:v>
                </c:pt>
                <c:pt idx="89">
                  <c:v>2.0244094488188979E-5</c:v>
                </c:pt>
                <c:pt idx="90">
                  <c:v>2.0078740157480319E-5</c:v>
                </c:pt>
                <c:pt idx="91">
                  <c:v>1.9874015748031497E-5</c:v>
                </c:pt>
                <c:pt idx="92">
                  <c:v>1.9669291338582678E-5</c:v>
                </c:pt>
                <c:pt idx="93">
                  <c:v>1.9464566929133859E-5</c:v>
                </c:pt>
                <c:pt idx="94">
                  <c:v>1.9263779527559058E-5</c:v>
                </c:pt>
                <c:pt idx="95">
                  <c:v>1.9059055118110236E-5</c:v>
                </c:pt>
                <c:pt idx="96">
                  <c:v>1.8893700787401579E-5</c:v>
                </c:pt>
                <c:pt idx="97">
                  <c:v>1.8728346456692912E-5</c:v>
                </c:pt>
                <c:pt idx="98">
                  <c:v>1.8606299212598428E-5</c:v>
                </c:pt>
                <c:pt idx="99">
                  <c:v>1.8440944881889764E-5</c:v>
                </c:pt>
                <c:pt idx="100">
                  <c:v>1.8318897637795277E-5</c:v>
                </c:pt>
                <c:pt idx="101">
                  <c:v>1.819685039370079E-5</c:v>
                </c:pt>
                <c:pt idx="102">
                  <c:v>1.80748031496063E-5</c:v>
                </c:pt>
                <c:pt idx="103">
                  <c:v>1.7952755905511809E-5</c:v>
                </c:pt>
                <c:pt idx="104">
                  <c:v>1.7870078740157481E-5</c:v>
                </c:pt>
                <c:pt idx="105">
                  <c:v>1.7787401574803153E-5</c:v>
                </c:pt>
                <c:pt idx="106">
                  <c:v>1.7665354330708662E-5</c:v>
                </c:pt>
                <c:pt idx="107">
                  <c:v>1.7582677165354334E-5</c:v>
                </c:pt>
                <c:pt idx="108">
                  <c:v>1.7503937007874016E-5</c:v>
                </c:pt>
                <c:pt idx="109">
                  <c:v>1.7421259842519688E-5</c:v>
                </c:pt>
                <c:pt idx="110">
                  <c:v>1.7338582677165356E-5</c:v>
                </c:pt>
                <c:pt idx="111">
                  <c:v>1.7259842519685042E-5</c:v>
                </c:pt>
                <c:pt idx="112">
                  <c:v>1.717716535433071E-5</c:v>
                </c:pt>
                <c:pt idx="113">
                  <c:v>1.7098425196850393E-5</c:v>
                </c:pt>
                <c:pt idx="114">
                  <c:v>1.6976377952755909E-5</c:v>
                </c:pt>
                <c:pt idx="115">
                  <c:v>1.6897637795275592E-5</c:v>
                </c:pt>
                <c:pt idx="116">
                  <c:v>1.681496062992126E-5</c:v>
                </c:pt>
                <c:pt idx="117">
                  <c:v>1.6736220472440946E-5</c:v>
                </c:pt>
                <c:pt idx="118">
                  <c:v>1.6692913385826773E-5</c:v>
                </c:pt>
                <c:pt idx="119">
                  <c:v>1.6653543307086618E-5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144-4CCD-B210-3C21B8DC1A7D}"/>
            </c:ext>
          </c:extLst>
        </c:ser>
        <c:ser>
          <c:idx val="27"/>
          <c:order val="13"/>
          <c:spPr>
            <a:ln w="19050">
              <a:solidFill>
                <a:srgbClr val="00B05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xVal>
            <c:numRef>
              <c:f>P6_LB!$A$7:$A$126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P6_LB!$H$7:$H$126</c:f>
              <c:numCache>
                <c:formatCode>0.00E+00</c:formatCode>
                <c:ptCount val="120"/>
                <c:pt idx="0">
                  <c:v>1.6692913385826771E-8</c:v>
                </c:pt>
                <c:pt idx="1">
                  <c:v>6.850393700787403E-8</c:v>
                </c:pt>
                <c:pt idx="2">
                  <c:v>1.5748031496062992E-7</c:v>
                </c:pt>
                <c:pt idx="3">
                  <c:v>2.8661417322834647E-7</c:v>
                </c:pt>
                <c:pt idx="4">
                  <c:v>4.6181102362204727E-7</c:v>
                </c:pt>
                <c:pt idx="5">
                  <c:v>6.8818897637795284E-7</c:v>
                </c:pt>
                <c:pt idx="6">
                  <c:v>9.7047244094488203E-7</c:v>
                </c:pt>
                <c:pt idx="7">
                  <c:v>1.3188976377952756E-6</c:v>
                </c:pt>
                <c:pt idx="8">
                  <c:v>1.7244094488188974E-6</c:v>
                </c:pt>
                <c:pt idx="9">
                  <c:v>2.1496062992125987E-6</c:v>
                </c:pt>
                <c:pt idx="10">
                  <c:v>2.5118110236220475E-6</c:v>
                </c:pt>
                <c:pt idx="11">
                  <c:v>2.7952755905511816E-6</c:v>
                </c:pt>
                <c:pt idx="12">
                  <c:v>3.0629921259842517E-6</c:v>
                </c:pt>
                <c:pt idx="13">
                  <c:v>3.3818897637795278E-6</c:v>
                </c:pt>
                <c:pt idx="14">
                  <c:v>3.7980314960629924E-6</c:v>
                </c:pt>
                <c:pt idx="15">
                  <c:v>4.3641732283464563E-6</c:v>
                </c:pt>
                <c:pt idx="16">
                  <c:v>5.1602362204724418E-6</c:v>
                </c:pt>
                <c:pt idx="17">
                  <c:v>6.1464566929133857E-6</c:v>
                </c:pt>
                <c:pt idx="18">
                  <c:v>7.2637795275590551E-6</c:v>
                </c:pt>
                <c:pt idx="19">
                  <c:v>8.5039370078740161E-6</c:v>
                </c:pt>
                <c:pt idx="20">
                  <c:v>9.8149606299212596E-6</c:v>
                </c:pt>
                <c:pt idx="21">
                  <c:v>1.1204724409448819E-5</c:v>
                </c:pt>
                <c:pt idx="22">
                  <c:v>1.2665354330708663E-5</c:v>
                </c:pt>
                <c:pt idx="23">
                  <c:v>1.3921259842519684E-5</c:v>
                </c:pt>
                <c:pt idx="24">
                  <c:v>1.5090551181102363E-5</c:v>
                </c:pt>
                <c:pt idx="25">
                  <c:v>1.6055118110236223E-5</c:v>
                </c:pt>
                <c:pt idx="26">
                  <c:v>1.6696850393700788E-5</c:v>
                </c:pt>
                <c:pt idx="27">
                  <c:v>1.7102362204724411E-5</c:v>
                </c:pt>
                <c:pt idx="28">
                  <c:v>1.7267716535433071E-5</c:v>
                </c:pt>
                <c:pt idx="29">
                  <c:v>1.7271653543307086E-5</c:v>
                </c:pt>
                <c:pt idx="30">
                  <c:v>1.7161417322834646E-5</c:v>
                </c:pt>
                <c:pt idx="31">
                  <c:v>1.7011811023622047E-5</c:v>
                </c:pt>
                <c:pt idx="32">
                  <c:v>1.687007874015748E-5</c:v>
                </c:pt>
                <c:pt idx="33">
                  <c:v>1.6740157480314964E-5</c:v>
                </c:pt>
                <c:pt idx="34">
                  <c:v>1.6665354330708665E-5</c:v>
                </c:pt>
                <c:pt idx="35">
                  <c:v>1.6653543307086615E-5</c:v>
                </c:pt>
                <c:pt idx="36">
                  <c:v>1.6688976377952755E-5</c:v>
                </c:pt>
                <c:pt idx="37">
                  <c:v>1.6751968503937008E-5</c:v>
                </c:pt>
                <c:pt idx="38">
                  <c:v>1.6885826771653545E-5</c:v>
                </c:pt>
                <c:pt idx="39">
                  <c:v>1.7082677165354332E-5</c:v>
                </c:pt>
                <c:pt idx="40">
                  <c:v>1.7318897637795277E-5</c:v>
                </c:pt>
                <c:pt idx="41">
                  <c:v>1.7582677165354334E-5</c:v>
                </c:pt>
                <c:pt idx="42">
                  <c:v>1.790944881889764E-5</c:v>
                </c:pt>
                <c:pt idx="43">
                  <c:v>1.8307086614173227E-5</c:v>
                </c:pt>
                <c:pt idx="44">
                  <c:v>1.8740157480314962E-5</c:v>
                </c:pt>
                <c:pt idx="45">
                  <c:v>1.9212598425196852E-5</c:v>
                </c:pt>
                <c:pt idx="46">
                  <c:v>1.9724409448818901E-5</c:v>
                </c:pt>
                <c:pt idx="47">
                  <c:v>2.0236220472440947E-5</c:v>
                </c:pt>
                <c:pt idx="48">
                  <c:v>2.0787401574803151E-5</c:v>
                </c:pt>
                <c:pt idx="49">
                  <c:v>2.1417322834645669E-5</c:v>
                </c:pt>
                <c:pt idx="50">
                  <c:v>2.2362204724409453E-5</c:v>
                </c:pt>
                <c:pt idx="51">
                  <c:v>2.3858267716535434E-5</c:v>
                </c:pt>
                <c:pt idx="52">
                  <c:v>2.6220472440944885E-5</c:v>
                </c:pt>
                <c:pt idx="53">
                  <c:v>2.9803149606299214E-5</c:v>
                </c:pt>
                <c:pt idx="54">
                  <c:v>3.4291338582677168E-5</c:v>
                </c:pt>
                <c:pt idx="55">
                  <c:v>3.9055118110236223E-5</c:v>
                </c:pt>
                <c:pt idx="56">
                  <c:v>4.3228346456692911E-5</c:v>
                </c:pt>
                <c:pt idx="57">
                  <c:v>4.5472440944881893E-5</c:v>
                </c:pt>
                <c:pt idx="58">
                  <c:v>4.5314960629921265E-5</c:v>
                </c:pt>
                <c:pt idx="59">
                  <c:v>4.3740157480314967E-5</c:v>
                </c:pt>
                <c:pt idx="60">
                  <c:v>4.1811023622047247E-5</c:v>
                </c:pt>
                <c:pt idx="61">
                  <c:v>3.9960629921259845E-5</c:v>
                </c:pt>
                <c:pt idx="62">
                  <c:v>3.8346456692913387E-5</c:v>
                </c:pt>
                <c:pt idx="63">
                  <c:v>3.7047244094488193E-5</c:v>
                </c:pt>
                <c:pt idx="64">
                  <c:v>3.5905511811023619E-5</c:v>
                </c:pt>
                <c:pt idx="65">
                  <c:v>3.4960629921259845E-5</c:v>
                </c:pt>
                <c:pt idx="66">
                  <c:v>3.4094488188976382E-5</c:v>
                </c:pt>
                <c:pt idx="67">
                  <c:v>3.3267716535433071E-5</c:v>
                </c:pt>
                <c:pt idx="68">
                  <c:v>3.2559055118110235E-5</c:v>
                </c:pt>
                <c:pt idx="69">
                  <c:v>3.1889763779527558E-5</c:v>
                </c:pt>
                <c:pt idx="70">
                  <c:v>3.125984251968504E-5</c:v>
                </c:pt>
                <c:pt idx="71">
                  <c:v>3.0669291338582681E-5</c:v>
                </c:pt>
                <c:pt idx="72">
                  <c:v>3.0039370078740156E-5</c:v>
                </c:pt>
                <c:pt idx="73">
                  <c:v>2.9488188976377955E-5</c:v>
                </c:pt>
                <c:pt idx="74">
                  <c:v>2.8976377952755906E-5</c:v>
                </c:pt>
                <c:pt idx="75">
                  <c:v>2.8425196850393702E-5</c:v>
                </c:pt>
                <c:pt idx="76">
                  <c:v>2.7952755905511812E-5</c:v>
                </c:pt>
                <c:pt idx="77">
                  <c:v>2.7440944881889766E-5</c:v>
                </c:pt>
                <c:pt idx="78">
                  <c:v>2.7047244094488187E-5</c:v>
                </c:pt>
                <c:pt idx="79">
                  <c:v>2.6614173228346455E-5</c:v>
                </c:pt>
                <c:pt idx="80">
                  <c:v>2.6259842519685037E-5</c:v>
                </c:pt>
                <c:pt idx="81">
                  <c:v>2.5984251968503937E-5</c:v>
                </c:pt>
                <c:pt idx="82">
                  <c:v>2.5748031496062992E-5</c:v>
                </c:pt>
                <c:pt idx="83">
                  <c:v>2.5590551181102364E-5</c:v>
                </c:pt>
                <c:pt idx="84">
                  <c:v>2.5551181102362209E-5</c:v>
                </c:pt>
                <c:pt idx="85">
                  <c:v>2.551181102362205E-5</c:v>
                </c:pt>
                <c:pt idx="86">
                  <c:v>2.5629921259842519E-5</c:v>
                </c:pt>
                <c:pt idx="87">
                  <c:v>2.5826771653543309E-5</c:v>
                </c:pt>
                <c:pt idx="88">
                  <c:v>2.6141732283464568E-5</c:v>
                </c:pt>
                <c:pt idx="89">
                  <c:v>2.6574803149606303E-5</c:v>
                </c:pt>
                <c:pt idx="90">
                  <c:v>2.7086614173228345E-5</c:v>
                </c:pt>
                <c:pt idx="91">
                  <c:v>2.7716535433070867E-5</c:v>
                </c:pt>
                <c:pt idx="92">
                  <c:v>2.8503937007874016E-5</c:v>
                </c:pt>
                <c:pt idx="93">
                  <c:v>2.9448818897637797E-5</c:v>
                </c:pt>
                <c:pt idx="94">
                  <c:v>3.0472440944881891E-5</c:v>
                </c:pt>
                <c:pt idx="95">
                  <c:v>3.1338582677165351E-5</c:v>
                </c:pt>
                <c:pt idx="96">
                  <c:v>3.2362204724409449E-5</c:v>
                </c:pt>
                <c:pt idx="97">
                  <c:v>3.3464566929133864E-5</c:v>
                </c:pt>
                <c:pt idx="98">
                  <c:v>3.47244094488189E-5</c:v>
                </c:pt>
                <c:pt idx="99">
                  <c:v>3.6181102362204729E-5</c:v>
                </c:pt>
                <c:pt idx="100">
                  <c:v>3.7716535433070869E-5</c:v>
                </c:pt>
                <c:pt idx="101">
                  <c:v>3.9409448818897637E-5</c:v>
                </c:pt>
                <c:pt idx="102">
                  <c:v>4.1338582677165364E-5</c:v>
                </c:pt>
                <c:pt idx="103">
                  <c:v>4.3425196850393697E-5</c:v>
                </c:pt>
                <c:pt idx="104">
                  <c:v>4.566929133858268E-5</c:v>
                </c:pt>
                <c:pt idx="105">
                  <c:v>4.7913385826771655E-5</c:v>
                </c:pt>
                <c:pt idx="106">
                  <c:v>5.062992125984252E-5</c:v>
                </c:pt>
                <c:pt idx="107">
                  <c:v>5.3346456692913393E-5</c:v>
                </c:pt>
                <c:pt idx="108">
                  <c:v>5.6496062992125983E-5</c:v>
                </c:pt>
                <c:pt idx="109">
                  <c:v>5.9606299212598429E-5</c:v>
                </c:pt>
                <c:pt idx="110">
                  <c:v>6.2755905511811033E-5</c:v>
                </c:pt>
                <c:pt idx="111">
                  <c:v>6.6259842519685044E-5</c:v>
                </c:pt>
                <c:pt idx="112">
                  <c:v>6.9409448818897628E-5</c:v>
                </c:pt>
                <c:pt idx="113">
                  <c:v>7.2913385826771639E-5</c:v>
                </c:pt>
                <c:pt idx="114">
                  <c:v>7.6456692913385823E-5</c:v>
                </c:pt>
                <c:pt idx="115">
                  <c:v>7.960629921259842E-5</c:v>
                </c:pt>
                <c:pt idx="116">
                  <c:v>8.2716535433070872E-5</c:v>
                </c:pt>
                <c:pt idx="117">
                  <c:v>8.5472440944881883E-5</c:v>
                </c:pt>
                <c:pt idx="118">
                  <c:v>8.8228346456692921E-5</c:v>
                </c:pt>
                <c:pt idx="119">
                  <c:v>9.0196850393700772E-5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144-4CCD-B210-3C21B8DC1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232"/>
        <c:axId val="1"/>
      </c:scatterChart>
      <c:valAx>
        <c:axId val="1346360232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5991640750788504"/>
              <c:y val="0.9136711327940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3.3755265885881909E-2"/>
              <c:y val="0.2829743093047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360232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1.5" header="0.75" footer="0.75"/>
    <c:pageSetup orientation="landscape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Human</a:t>
            </a:r>
            <a:r>
              <a:rPr lang="en-US" sz="1400" b="1" baseline="0"/>
              <a:t> Perception Curve</a:t>
            </a:r>
          </a:p>
          <a:p>
            <a:pPr>
              <a:defRPr/>
            </a:pPr>
            <a:endParaRPr lang="en-US" sz="600" b="1" baseline="0"/>
          </a:p>
          <a:p>
            <a:pPr>
              <a:defRPr/>
            </a:pPr>
            <a:r>
              <a:rPr lang="en-US" sz="1200" b="1" baseline="0">
                <a:solidFill>
                  <a:srgbClr val="FF0000"/>
                </a:solidFill>
              </a:rPr>
              <a:t>Point 6 - SE Corner</a:t>
            </a:r>
            <a:endParaRPr lang="en-US" sz="12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69036276798548"/>
          <c:y val="0.13311664149862262"/>
          <c:w val="0.79580356821014242"/>
          <c:h val="0.75242850741218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E4C-47CA-8EE7-0C472B11C205}"/>
              </c:ext>
            </c:extLst>
          </c:dPt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1.4784808479739018E-4</c:v>
                </c:pt>
                <c:pt idx="1">
                  <c:v>1.4784808479739018E-4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4C-47CA-8EE7-0C472B11C205}"/>
            </c:ext>
          </c:extLst>
        </c:ser>
        <c:ser>
          <c:idx val="10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1424</c:v>
                </c:pt>
                <c:pt idx="1">
                  <c:v>1424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4C-47CA-8EE7-0C472B11C205}"/>
            </c:ext>
          </c:extLst>
        </c:ser>
        <c:ser>
          <c:idx val="1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1780</c:v>
                </c:pt>
                <c:pt idx="1">
                  <c:v>1780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E4C-47CA-8EE7-0C472B11C205}"/>
            </c:ext>
          </c:extLst>
        </c:ser>
        <c:ser>
          <c:idx val="1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2136</c:v>
                </c:pt>
                <c:pt idx="1">
                  <c:v>2136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E4C-47CA-8EE7-0C472B11C205}"/>
            </c:ext>
          </c:extLst>
        </c:ser>
        <c:ser>
          <c:idx val="7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limits!$A$9:$A$12</c:f>
              <c:numCache>
                <c:formatCode>General</c:formatCode>
                <c:ptCount val="4"/>
                <c:pt idx="0">
                  <c:v>100</c:v>
                </c:pt>
                <c:pt idx="1">
                  <c:v>2300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limits!$B$9:$B$12</c:f>
              <c:numCache>
                <c:formatCode>General</c:formatCode>
                <c:ptCount val="4"/>
                <c:pt idx="0">
                  <c:v>0.1</c:v>
                </c:pt>
                <c:pt idx="1">
                  <c:v>5.5000000000000003E-4</c:v>
                </c:pt>
                <c:pt idx="2">
                  <c:v>1.2999999999999999E-4</c:v>
                </c:pt>
                <c:pt idx="3">
                  <c:v>1.45E-5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E4C-47CA-8EE7-0C472B11C205}"/>
            </c:ext>
          </c:extLst>
        </c:ser>
        <c:ser>
          <c:idx val="3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limits!$B$4:$B$6</c:f>
              <c:numCache>
                <c:formatCode>General</c:formatCode>
                <c:ptCount val="3"/>
                <c:pt idx="0">
                  <c:v>9.2999999999999992E-3</c:v>
                </c:pt>
                <c:pt idx="1">
                  <c:v>1E-4</c:v>
                </c:pt>
                <c:pt idx="2">
                  <c:v>1.1E-5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E4C-47CA-8EE7-0C472B11C205}"/>
            </c:ext>
          </c:extLst>
        </c:ser>
        <c:ser>
          <c:idx val="5"/>
          <c:order val="6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limits!$C$4:$C$6</c:f>
              <c:numCache>
                <c:formatCode>General</c:formatCode>
                <c:ptCount val="3"/>
                <c:pt idx="0">
                  <c:v>3.3E-3</c:v>
                </c:pt>
                <c:pt idx="1">
                  <c:v>3.3000000000000003E-5</c:v>
                </c:pt>
                <c:pt idx="2">
                  <c:v>3.3299999999999999E-6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E4C-47CA-8EE7-0C472B11C205}"/>
            </c:ext>
          </c:extLst>
        </c:ser>
        <c:ser>
          <c:idx val="6"/>
          <c:order val="7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limits!$D$4:$D$6</c:f>
              <c:numCache>
                <c:formatCode>General</c:formatCode>
                <c:ptCount val="3"/>
                <c:pt idx="0">
                  <c:v>1.1999999999999999E-3</c:v>
                </c:pt>
                <c:pt idx="1">
                  <c:v>1.0000000000000001E-5</c:v>
                </c:pt>
                <c:pt idx="2">
                  <c:v>8.9999999999999996E-7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E4C-47CA-8EE7-0C472B11C205}"/>
            </c:ext>
          </c:extLst>
        </c:ser>
        <c:ser>
          <c:idx val="18"/>
          <c:order val="8"/>
          <c:tx>
            <c:v>X-Translation</c:v>
          </c:tx>
          <c:spPr>
            <a:ln w="1905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P6_LB!$A$7:$A$126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P6_LB!$F$7:$F$126</c:f>
              <c:numCache>
                <c:formatCode>0.00E+00</c:formatCode>
                <c:ptCount val="120"/>
                <c:pt idx="0">
                  <c:v>6.8937007874015754E-8</c:v>
                </c:pt>
                <c:pt idx="1">
                  <c:v>2.6850393700787401E-7</c:v>
                </c:pt>
                <c:pt idx="2">
                  <c:v>6.0551181102362198E-7</c:v>
                </c:pt>
                <c:pt idx="3">
                  <c:v>1.1110236220472443E-6</c:v>
                </c:pt>
                <c:pt idx="4">
                  <c:v>1.7692913385826776E-6</c:v>
                </c:pt>
                <c:pt idx="5">
                  <c:v>2.6377952755905512E-6</c:v>
                </c:pt>
                <c:pt idx="6">
                  <c:v>3.7401574803149604E-6</c:v>
                </c:pt>
                <c:pt idx="7">
                  <c:v>5.1496062992125992E-6</c:v>
                </c:pt>
                <c:pt idx="8">
                  <c:v>6.9370078740157483E-6</c:v>
                </c:pt>
                <c:pt idx="9">
                  <c:v>9.1338582677165342E-6</c:v>
                </c:pt>
                <c:pt idx="10">
                  <c:v>1.1484251968503937E-5</c:v>
                </c:pt>
                <c:pt idx="11">
                  <c:v>1.3779527559055119E-5</c:v>
                </c:pt>
                <c:pt idx="12">
                  <c:v>1.6062992125984252E-5</c:v>
                </c:pt>
                <c:pt idx="13">
                  <c:v>1.8464566929133858E-5</c:v>
                </c:pt>
                <c:pt idx="14">
                  <c:v>2.1062992125984258E-5</c:v>
                </c:pt>
                <c:pt idx="15">
                  <c:v>2.3937007874015752E-5</c:v>
                </c:pt>
                <c:pt idx="16">
                  <c:v>2.7173228346456692E-5</c:v>
                </c:pt>
                <c:pt idx="17">
                  <c:v>3.0834645669291338E-5</c:v>
                </c:pt>
                <c:pt idx="18">
                  <c:v>3.5003937007874018E-5</c:v>
                </c:pt>
                <c:pt idx="19">
                  <c:v>3.9610236220472445E-5</c:v>
                </c:pt>
                <c:pt idx="20">
                  <c:v>4.4614173228346459E-5</c:v>
                </c:pt>
                <c:pt idx="21">
                  <c:v>4.989370078740157E-5</c:v>
                </c:pt>
                <c:pt idx="22">
                  <c:v>5.5566929133858268E-5</c:v>
                </c:pt>
                <c:pt idx="23">
                  <c:v>6.0070866141732283E-5</c:v>
                </c:pt>
                <c:pt idx="24">
                  <c:v>6.4594488188976385E-5</c:v>
                </c:pt>
                <c:pt idx="25">
                  <c:v>6.7956692913385833E-5</c:v>
                </c:pt>
                <c:pt idx="26">
                  <c:v>7.055905511811023E-5</c:v>
                </c:pt>
                <c:pt idx="27">
                  <c:v>7.2000000000000002E-5</c:v>
                </c:pt>
                <c:pt idx="28">
                  <c:v>7.3074803149606295E-5</c:v>
                </c:pt>
                <c:pt idx="29">
                  <c:v>7.4165354330708673E-5</c:v>
                </c:pt>
                <c:pt idx="30">
                  <c:v>7.5267716535433075E-5</c:v>
                </c:pt>
                <c:pt idx="31">
                  <c:v>7.6377952755905519E-5</c:v>
                </c:pt>
                <c:pt idx="32">
                  <c:v>7.8271653543307088E-5</c:v>
                </c:pt>
                <c:pt idx="33">
                  <c:v>8.0165354330708657E-5</c:v>
                </c:pt>
                <c:pt idx="34">
                  <c:v>8.2444881889763769E-5</c:v>
                </c:pt>
                <c:pt idx="35">
                  <c:v>8.4720472440944888E-5</c:v>
                </c:pt>
                <c:pt idx="36">
                  <c:v>8.7000000000000001E-5</c:v>
                </c:pt>
                <c:pt idx="37">
                  <c:v>8.9291338582677177E-5</c:v>
                </c:pt>
                <c:pt idx="38">
                  <c:v>9.1204724409448812E-5</c:v>
                </c:pt>
                <c:pt idx="39">
                  <c:v>9.274409448818898E-5</c:v>
                </c:pt>
                <c:pt idx="40">
                  <c:v>9.4307086614173221E-5</c:v>
                </c:pt>
                <c:pt idx="41">
                  <c:v>9.589370078740159E-5</c:v>
                </c:pt>
                <c:pt idx="42">
                  <c:v>9.671653543307086E-5</c:v>
                </c:pt>
                <c:pt idx="43">
                  <c:v>9.7952755905511823E-5</c:v>
                </c:pt>
                <c:pt idx="44">
                  <c:v>9.8814960629921251E-5</c:v>
                </c:pt>
                <c:pt idx="45">
                  <c:v>9.9299212598425205E-5</c:v>
                </c:pt>
                <c:pt idx="46">
                  <c:v>9.9795275590551196E-5</c:v>
                </c:pt>
                <c:pt idx="47">
                  <c:v>1.002992125984252E-4</c:v>
                </c:pt>
                <c:pt idx="48">
                  <c:v>1.0080708661417323E-4</c:v>
                </c:pt>
                <c:pt idx="49">
                  <c:v>1.0131102362204725E-4</c:v>
                </c:pt>
                <c:pt idx="50">
                  <c:v>1.0140944881889765E-4</c:v>
                </c:pt>
                <c:pt idx="51">
                  <c:v>1.0148818897637795E-4</c:v>
                </c:pt>
                <c:pt idx="52">
                  <c:v>1.0116141732283464E-4</c:v>
                </c:pt>
                <c:pt idx="53">
                  <c:v>1.0120472440944882E-4</c:v>
                </c:pt>
                <c:pt idx="54">
                  <c:v>1.0085433070866143E-4</c:v>
                </c:pt>
                <c:pt idx="55">
                  <c:v>1.0050000000000002E-4</c:v>
                </c:pt>
                <c:pt idx="56">
                  <c:v>1.0013779527559056E-4</c:v>
                </c:pt>
                <c:pt idx="57">
                  <c:v>9.975590551181101E-5</c:v>
                </c:pt>
                <c:pt idx="58">
                  <c:v>9.9354330708661422E-5</c:v>
                </c:pt>
                <c:pt idx="59">
                  <c:v>9.8940944881889783E-5</c:v>
                </c:pt>
                <c:pt idx="60">
                  <c:v>9.8527559055118104E-5</c:v>
                </c:pt>
                <c:pt idx="61">
                  <c:v>9.7728346456692908E-5</c:v>
                </c:pt>
                <c:pt idx="62">
                  <c:v>9.7326771653543319E-5</c:v>
                </c:pt>
                <c:pt idx="63">
                  <c:v>9.6929133858267725E-5</c:v>
                </c:pt>
                <c:pt idx="64">
                  <c:v>9.6535433070866152E-5</c:v>
                </c:pt>
                <c:pt idx="65">
                  <c:v>9.6145669291338587E-5</c:v>
                </c:pt>
                <c:pt idx="66">
                  <c:v>9.5751968503937014E-5</c:v>
                </c:pt>
                <c:pt idx="67">
                  <c:v>9.5358267716535441E-5</c:v>
                </c:pt>
                <c:pt idx="68">
                  <c:v>9.4956692913385839E-5</c:v>
                </c:pt>
                <c:pt idx="69">
                  <c:v>9.455511811023621E-5</c:v>
                </c:pt>
                <c:pt idx="70">
                  <c:v>9.4149606299212614E-5</c:v>
                </c:pt>
                <c:pt idx="71">
                  <c:v>9.4133858267716542E-5</c:v>
                </c:pt>
                <c:pt idx="72">
                  <c:v>9.3720472440944876E-5</c:v>
                </c:pt>
                <c:pt idx="73">
                  <c:v>9.3307086614173237E-5</c:v>
                </c:pt>
                <c:pt idx="74">
                  <c:v>9.328346456692915E-5</c:v>
                </c:pt>
                <c:pt idx="75">
                  <c:v>9.2866141732283463E-5</c:v>
                </c:pt>
                <c:pt idx="76">
                  <c:v>9.2842519685039363E-5</c:v>
                </c:pt>
                <c:pt idx="77">
                  <c:v>9.2421259842519681E-5</c:v>
                </c:pt>
                <c:pt idx="78">
                  <c:v>9.2003937007874008E-5</c:v>
                </c:pt>
                <c:pt idx="79">
                  <c:v>9.1582677165354354E-5</c:v>
                </c:pt>
                <c:pt idx="80">
                  <c:v>9.1559055118110253E-5</c:v>
                </c:pt>
                <c:pt idx="81">
                  <c:v>9.1137795275590558E-5</c:v>
                </c:pt>
                <c:pt idx="82">
                  <c:v>9.0720472440944871E-5</c:v>
                </c:pt>
                <c:pt idx="83">
                  <c:v>9.0303149606299225E-5</c:v>
                </c:pt>
                <c:pt idx="84">
                  <c:v>8.9889763779527559E-5</c:v>
                </c:pt>
                <c:pt idx="85">
                  <c:v>8.9472440944881899E-5</c:v>
                </c:pt>
                <c:pt idx="86">
                  <c:v>8.866535433070866E-5</c:v>
                </c:pt>
                <c:pt idx="87">
                  <c:v>8.8255905511811029E-5</c:v>
                </c:pt>
                <c:pt idx="88">
                  <c:v>8.7842519685039377E-5</c:v>
                </c:pt>
                <c:pt idx="89">
                  <c:v>8.7433070866141746E-5</c:v>
                </c:pt>
                <c:pt idx="90">
                  <c:v>8.7023622047244101E-5</c:v>
                </c:pt>
                <c:pt idx="91">
                  <c:v>8.661417322834647E-5</c:v>
                </c:pt>
                <c:pt idx="92">
                  <c:v>8.6204724409448839E-5</c:v>
                </c:pt>
                <c:pt idx="93">
                  <c:v>8.5795275590551195E-5</c:v>
                </c:pt>
                <c:pt idx="94">
                  <c:v>8.5385826771653536E-5</c:v>
                </c:pt>
                <c:pt idx="95">
                  <c:v>8.4976377952755905E-5</c:v>
                </c:pt>
                <c:pt idx="96">
                  <c:v>8.4566929133858275E-5</c:v>
                </c:pt>
                <c:pt idx="97">
                  <c:v>8.415748031496063E-5</c:v>
                </c:pt>
                <c:pt idx="98">
                  <c:v>8.3748031496062985E-5</c:v>
                </c:pt>
                <c:pt idx="99">
                  <c:v>8.3736220472440935E-5</c:v>
                </c:pt>
                <c:pt idx="100">
                  <c:v>8.3330708661417312E-5</c:v>
                </c:pt>
                <c:pt idx="101">
                  <c:v>8.3318897637795275E-5</c:v>
                </c:pt>
                <c:pt idx="102">
                  <c:v>8.2913385826771652E-5</c:v>
                </c:pt>
                <c:pt idx="103">
                  <c:v>8.2901574803149602E-5</c:v>
                </c:pt>
                <c:pt idx="104">
                  <c:v>8.2496062992125978E-5</c:v>
                </c:pt>
                <c:pt idx="105">
                  <c:v>8.2488188976377963E-5</c:v>
                </c:pt>
                <c:pt idx="106">
                  <c:v>8.2086614173228374E-5</c:v>
                </c:pt>
                <c:pt idx="107">
                  <c:v>8.2078740157480332E-5</c:v>
                </c:pt>
                <c:pt idx="108">
                  <c:v>8.2070866141732303E-5</c:v>
                </c:pt>
                <c:pt idx="109">
                  <c:v>8.1669291338582687E-5</c:v>
                </c:pt>
                <c:pt idx="110">
                  <c:v>8.1661417322834645E-5</c:v>
                </c:pt>
                <c:pt idx="111">
                  <c:v>8.1259842519685043E-5</c:v>
                </c:pt>
                <c:pt idx="112">
                  <c:v>8.0862204724409448E-5</c:v>
                </c:pt>
                <c:pt idx="113">
                  <c:v>8.0854330708661419E-5</c:v>
                </c:pt>
                <c:pt idx="114">
                  <c:v>8.0452755905511817E-5</c:v>
                </c:pt>
                <c:pt idx="115">
                  <c:v>8.0055118110236223E-5</c:v>
                </c:pt>
                <c:pt idx="116">
                  <c:v>7.9653543307086621E-5</c:v>
                </c:pt>
                <c:pt idx="117">
                  <c:v>7.9255905511811027E-5</c:v>
                </c:pt>
                <c:pt idx="118">
                  <c:v>7.8854330708661411E-5</c:v>
                </c:pt>
                <c:pt idx="119">
                  <c:v>7.8062992125984244E-5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E4C-47CA-8EE7-0C472B11C205}"/>
            </c:ext>
          </c:extLst>
        </c:ser>
        <c:ser>
          <c:idx val="21"/>
          <c:order val="9"/>
          <c:tx>
            <c:v>Y-Translation</c:v>
          </c:tx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P6_LB!$A$7:$A$126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P6_LB!$G$7:$G$126</c:f>
              <c:numCache>
                <c:formatCode>0.00E+00</c:formatCode>
                <c:ptCount val="120"/>
                <c:pt idx="0">
                  <c:v>9.8937007874015741E-9</c:v>
                </c:pt>
                <c:pt idx="1">
                  <c:v>3.854330708661418E-8</c:v>
                </c:pt>
                <c:pt idx="2">
                  <c:v>8.740157480314962E-8</c:v>
                </c:pt>
                <c:pt idx="3">
                  <c:v>1.614173228346457E-7</c:v>
                </c:pt>
                <c:pt idx="4">
                  <c:v>2.5866141732283466E-7</c:v>
                </c:pt>
                <c:pt idx="5">
                  <c:v>3.881889763779528E-7</c:v>
                </c:pt>
                <c:pt idx="6">
                  <c:v>5.5196850393700792E-7</c:v>
                </c:pt>
                <c:pt idx="7">
                  <c:v>7.5984251968503947E-7</c:v>
                </c:pt>
                <c:pt idx="8">
                  <c:v>1.0118110236220473E-6</c:v>
                </c:pt>
                <c:pt idx="9">
                  <c:v>1.3149606299212598E-6</c:v>
                </c:pt>
                <c:pt idx="10">
                  <c:v>1.6614173228346458E-6</c:v>
                </c:pt>
                <c:pt idx="11">
                  <c:v>2.0354330708661419E-6</c:v>
                </c:pt>
                <c:pt idx="12">
                  <c:v>2.4527559055118108E-6</c:v>
                </c:pt>
                <c:pt idx="13">
                  <c:v>2.8976377952755906E-6</c:v>
                </c:pt>
                <c:pt idx="14">
                  <c:v>3.3543307086614173E-6</c:v>
                </c:pt>
                <c:pt idx="15">
                  <c:v>3.8110236220472441E-6</c:v>
                </c:pt>
                <c:pt idx="16">
                  <c:v>4.2716535433070865E-6</c:v>
                </c:pt>
                <c:pt idx="17">
                  <c:v>4.7519685039370092E-6</c:v>
                </c:pt>
                <c:pt idx="18">
                  <c:v>5.2677165354330709E-6</c:v>
                </c:pt>
                <c:pt idx="19">
                  <c:v>5.8307086614173237E-6</c:v>
                </c:pt>
                <c:pt idx="20">
                  <c:v>6.4842519685039373E-6</c:v>
                </c:pt>
                <c:pt idx="21">
                  <c:v>7.2047244094488179E-6</c:v>
                </c:pt>
                <c:pt idx="22">
                  <c:v>8.0275590551181114E-6</c:v>
                </c:pt>
                <c:pt idx="23">
                  <c:v>9.0393700787401572E-6</c:v>
                </c:pt>
                <c:pt idx="24">
                  <c:v>1.012992125984252E-5</c:v>
                </c:pt>
                <c:pt idx="25">
                  <c:v>1.1381889763779529E-5</c:v>
                </c:pt>
                <c:pt idx="26">
                  <c:v>1.2677165354330709E-5</c:v>
                </c:pt>
                <c:pt idx="27">
                  <c:v>1.409448818897638E-5</c:v>
                </c:pt>
                <c:pt idx="28">
                  <c:v>1.5476377952755907E-5</c:v>
                </c:pt>
                <c:pt idx="29">
                  <c:v>1.6909448818897639E-5</c:v>
                </c:pt>
                <c:pt idx="30">
                  <c:v>1.8307086614173227E-5</c:v>
                </c:pt>
                <c:pt idx="31">
                  <c:v>1.9629921259842519E-5</c:v>
                </c:pt>
                <c:pt idx="32">
                  <c:v>2.0874015748031494E-5</c:v>
                </c:pt>
                <c:pt idx="33">
                  <c:v>2.2039370078740161E-5</c:v>
                </c:pt>
                <c:pt idx="34">
                  <c:v>2.3118110236220473E-5</c:v>
                </c:pt>
                <c:pt idx="35">
                  <c:v>2.4031496062992127E-5</c:v>
                </c:pt>
                <c:pt idx="36">
                  <c:v>2.4783464566929132E-5</c:v>
                </c:pt>
                <c:pt idx="37">
                  <c:v>2.5452755905511809E-5</c:v>
                </c:pt>
                <c:pt idx="38">
                  <c:v>2.5960629921259843E-5</c:v>
                </c:pt>
                <c:pt idx="39">
                  <c:v>2.634645669291339E-5</c:v>
                </c:pt>
                <c:pt idx="40">
                  <c:v>2.6661417322834646E-5</c:v>
                </c:pt>
                <c:pt idx="41">
                  <c:v>2.6858267716535436E-5</c:v>
                </c:pt>
                <c:pt idx="42">
                  <c:v>2.7019685039370082E-5</c:v>
                </c:pt>
                <c:pt idx="43">
                  <c:v>2.7106299212598425E-5</c:v>
                </c:pt>
                <c:pt idx="44">
                  <c:v>2.7122047244094493E-5</c:v>
                </c:pt>
                <c:pt idx="45">
                  <c:v>2.7102362204724414E-5</c:v>
                </c:pt>
                <c:pt idx="46">
                  <c:v>2.7015748031496064E-5</c:v>
                </c:pt>
                <c:pt idx="47">
                  <c:v>2.6940944881889764E-5</c:v>
                </c:pt>
                <c:pt idx="48">
                  <c:v>2.6838582677165357E-5</c:v>
                </c:pt>
                <c:pt idx="49">
                  <c:v>2.6704724409448819E-5</c:v>
                </c:pt>
                <c:pt idx="50">
                  <c:v>2.6574803149606303E-5</c:v>
                </c:pt>
                <c:pt idx="51">
                  <c:v>2.6362204724409445E-5</c:v>
                </c:pt>
                <c:pt idx="52">
                  <c:v>2.6145669291338586E-5</c:v>
                </c:pt>
                <c:pt idx="53">
                  <c:v>2.5913385826771652E-5</c:v>
                </c:pt>
                <c:pt idx="54">
                  <c:v>2.576377952755906E-5</c:v>
                </c:pt>
                <c:pt idx="55">
                  <c:v>2.5645669291338581E-5</c:v>
                </c:pt>
                <c:pt idx="56">
                  <c:v>2.5515748031496065E-5</c:v>
                </c:pt>
                <c:pt idx="57">
                  <c:v>2.5342519685039372E-5</c:v>
                </c:pt>
                <c:pt idx="58">
                  <c:v>2.5035433070866142E-5</c:v>
                </c:pt>
                <c:pt idx="59">
                  <c:v>2.4712598425196854E-5</c:v>
                </c:pt>
                <c:pt idx="60">
                  <c:v>2.4377952755905516E-5</c:v>
                </c:pt>
                <c:pt idx="61">
                  <c:v>2.4047244094488192E-5</c:v>
                </c:pt>
                <c:pt idx="62">
                  <c:v>2.3728346456692918E-5</c:v>
                </c:pt>
                <c:pt idx="63">
                  <c:v>2.3460629921259843E-5</c:v>
                </c:pt>
                <c:pt idx="64">
                  <c:v>2.3200787401574808E-5</c:v>
                </c:pt>
                <c:pt idx="65">
                  <c:v>2.2984251968503939E-5</c:v>
                </c:pt>
                <c:pt idx="66">
                  <c:v>2.2775590551181102E-5</c:v>
                </c:pt>
                <c:pt idx="67">
                  <c:v>2.257086614173229E-5</c:v>
                </c:pt>
                <c:pt idx="68">
                  <c:v>2.2444881889763781E-5</c:v>
                </c:pt>
                <c:pt idx="69">
                  <c:v>2.2279527559055121E-5</c:v>
                </c:pt>
                <c:pt idx="70">
                  <c:v>2.2157480314960631E-5</c:v>
                </c:pt>
                <c:pt idx="71">
                  <c:v>2.2070866141732284E-5</c:v>
                </c:pt>
                <c:pt idx="72">
                  <c:v>2.1984251968503938E-5</c:v>
                </c:pt>
                <c:pt idx="73">
                  <c:v>2.1937007874015744E-5</c:v>
                </c:pt>
                <c:pt idx="74">
                  <c:v>2.1850393700787401E-5</c:v>
                </c:pt>
                <c:pt idx="75">
                  <c:v>2.1799212598425195E-5</c:v>
                </c:pt>
                <c:pt idx="76">
                  <c:v>2.1751968503937011E-5</c:v>
                </c:pt>
                <c:pt idx="77">
                  <c:v>2.1700787401574805E-5</c:v>
                </c:pt>
                <c:pt idx="78">
                  <c:v>2.16496062992126E-5</c:v>
                </c:pt>
                <c:pt idx="79">
                  <c:v>2.1598425196850391E-5</c:v>
                </c:pt>
                <c:pt idx="80">
                  <c:v>2.1507874015748037E-5</c:v>
                </c:pt>
                <c:pt idx="81">
                  <c:v>2.1417322834645669E-5</c:v>
                </c:pt>
                <c:pt idx="82">
                  <c:v>2.1330708661417326E-5</c:v>
                </c:pt>
                <c:pt idx="83">
                  <c:v>2.1200787401574807E-5</c:v>
                </c:pt>
                <c:pt idx="84">
                  <c:v>2.1074803149606298E-5</c:v>
                </c:pt>
                <c:pt idx="85">
                  <c:v>2.0905511811023627E-5</c:v>
                </c:pt>
                <c:pt idx="86">
                  <c:v>2.0779527559055122E-5</c:v>
                </c:pt>
                <c:pt idx="87">
                  <c:v>2.0614173228346458E-5</c:v>
                </c:pt>
                <c:pt idx="88">
                  <c:v>2.0448818897637795E-5</c:v>
                </c:pt>
                <c:pt idx="89">
                  <c:v>2.0244094488188979E-5</c:v>
                </c:pt>
                <c:pt idx="90">
                  <c:v>2.0078740157480319E-5</c:v>
                </c:pt>
                <c:pt idx="91">
                  <c:v>1.9874015748031497E-5</c:v>
                </c:pt>
                <c:pt idx="92">
                  <c:v>1.9669291338582678E-5</c:v>
                </c:pt>
                <c:pt idx="93">
                  <c:v>1.9464566929133859E-5</c:v>
                </c:pt>
                <c:pt idx="94">
                  <c:v>1.9263779527559058E-5</c:v>
                </c:pt>
                <c:pt idx="95">
                  <c:v>1.9059055118110236E-5</c:v>
                </c:pt>
                <c:pt idx="96">
                  <c:v>1.8893700787401579E-5</c:v>
                </c:pt>
                <c:pt idx="97">
                  <c:v>1.8728346456692912E-5</c:v>
                </c:pt>
                <c:pt idx="98">
                  <c:v>1.8606299212598428E-5</c:v>
                </c:pt>
                <c:pt idx="99">
                  <c:v>1.8440944881889764E-5</c:v>
                </c:pt>
                <c:pt idx="100">
                  <c:v>1.8318897637795277E-5</c:v>
                </c:pt>
                <c:pt idx="101">
                  <c:v>1.819685039370079E-5</c:v>
                </c:pt>
                <c:pt idx="102">
                  <c:v>1.80748031496063E-5</c:v>
                </c:pt>
                <c:pt idx="103">
                  <c:v>1.7952755905511809E-5</c:v>
                </c:pt>
                <c:pt idx="104">
                  <c:v>1.7870078740157481E-5</c:v>
                </c:pt>
                <c:pt idx="105">
                  <c:v>1.7787401574803153E-5</c:v>
                </c:pt>
                <c:pt idx="106">
                  <c:v>1.7665354330708662E-5</c:v>
                </c:pt>
                <c:pt idx="107">
                  <c:v>1.7582677165354334E-5</c:v>
                </c:pt>
                <c:pt idx="108">
                  <c:v>1.7503937007874016E-5</c:v>
                </c:pt>
                <c:pt idx="109">
                  <c:v>1.7421259842519688E-5</c:v>
                </c:pt>
                <c:pt idx="110">
                  <c:v>1.7338582677165356E-5</c:v>
                </c:pt>
                <c:pt idx="111">
                  <c:v>1.7259842519685042E-5</c:v>
                </c:pt>
                <c:pt idx="112">
                  <c:v>1.717716535433071E-5</c:v>
                </c:pt>
                <c:pt idx="113">
                  <c:v>1.7098425196850393E-5</c:v>
                </c:pt>
                <c:pt idx="114">
                  <c:v>1.6976377952755909E-5</c:v>
                </c:pt>
                <c:pt idx="115">
                  <c:v>1.6897637795275592E-5</c:v>
                </c:pt>
                <c:pt idx="116">
                  <c:v>1.681496062992126E-5</c:v>
                </c:pt>
                <c:pt idx="117">
                  <c:v>1.6736220472440946E-5</c:v>
                </c:pt>
                <c:pt idx="118">
                  <c:v>1.6692913385826773E-5</c:v>
                </c:pt>
                <c:pt idx="119">
                  <c:v>1.6653543307086618E-5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E4C-47CA-8EE7-0C472B11C205}"/>
            </c:ext>
          </c:extLst>
        </c:ser>
        <c:ser>
          <c:idx val="22"/>
          <c:order val="10"/>
          <c:tx>
            <c:v>Z-Translation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P6_LB!$A$7:$A$126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P6_LB!$H$7:$H$126</c:f>
              <c:numCache>
                <c:formatCode>0.00E+00</c:formatCode>
                <c:ptCount val="120"/>
                <c:pt idx="0">
                  <c:v>1.6692913385826771E-8</c:v>
                </c:pt>
                <c:pt idx="1">
                  <c:v>6.850393700787403E-8</c:v>
                </c:pt>
                <c:pt idx="2">
                  <c:v>1.5748031496062992E-7</c:v>
                </c:pt>
                <c:pt idx="3">
                  <c:v>2.8661417322834647E-7</c:v>
                </c:pt>
                <c:pt idx="4">
                  <c:v>4.6181102362204727E-7</c:v>
                </c:pt>
                <c:pt idx="5">
                  <c:v>6.8818897637795284E-7</c:v>
                </c:pt>
                <c:pt idx="6">
                  <c:v>9.7047244094488203E-7</c:v>
                </c:pt>
                <c:pt idx="7">
                  <c:v>1.3188976377952756E-6</c:v>
                </c:pt>
                <c:pt idx="8">
                  <c:v>1.7244094488188974E-6</c:v>
                </c:pt>
                <c:pt idx="9">
                  <c:v>2.1496062992125987E-6</c:v>
                </c:pt>
                <c:pt idx="10">
                  <c:v>2.5118110236220475E-6</c:v>
                </c:pt>
                <c:pt idx="11">
                  <c:v>2.7952755905511816E-6</c:v>
                </c:pt>
                <c:pt idx="12">
                  <c:v>3.0629921259842517E-6</c:v>
                </c:pt>
                <c:pt idx="13">
                  <c:v>3.3818897637795278E-6</c:v>
                </c:pt>
                <c:pt idx="14">
                  <c:v>3.7980314960629924E-6</c:v>
                </c:pt>
                <c:pt idx="15">
                  <c:v>4.3641732283464563E-6</c:v>
                </c:pt>
                <c:pt idx="16">
                  <c:v>5.1602362204724418E-6</c:v>
                </c:pt>
                <c:pt idx="17">
                  <c:v>6.1464566929133857E-6</c:v>
                </c:pt>
                <c:pt idx="18">
                  <c:v>7.2637795275590551E-6</c:v>
                </c:pt>
                <c:pt idx="19">
                  <c:v>8.5039370078740161E-6</c:v>
                </c:pt>
                <c:pt idx="20">
                  <c:v>9.8149606299212596E-6</c:v>
                </c:pt>
                <c:pt idx="21">
                  <c:v>1.1204724409448819E-5</c:v>
                </c:pt>
                <c:pt idx="22">
                  <c:v>1.2665354330708663E-5</c:v>
                </c:pt>
                <c:pt idx="23">
                  <c:v>1.3921259842519684E-5</c:v>
                </c:pt>
                <c:pt idx="24">
                  <c:v>1.5090551181102363E-5</c:v>
                </c:pt>
                <c:pt idx="25">
                  <c:v>1.6055118110236223E-5</c:v>
                </c:pt>
                <c:pt idx="26">
                  <c:v>1.6696850393700788E-5</c:v>
                </c:pt>
                <c:pt idx="27">
                  <c:v>1.7102362204724411E-5</c:v>
                </c:pt>
                <c:pt idx="28">
                  <c:v>1.7267716535433071E-5</c:v>
                </c:pt>
                <c:pt idx="29">
                  <c:v>1.7271653543307086E-5</c:v>
                </c:pt>
                <c:pt idx="30">
                  <c:v>1.7161417322834646E-5</c:v>
                </c:pt>
                <c:pt idx="31">
                  <c:v>1.7011811023622047E-5</c:v>
                </c:pt>
                <c:pt idx="32">
                  <c:v>1.687007874015748E-5</c:v>
                </c:pt>
                <c:pt idx="33">
                  <c:v>1.6740157480314964E-5</c:v>
                </c:pt>
                <c:pt idx="34">
                  <c:v>1.6665354330708665E-5</c:v>
                </c:pt>
                <c:pt idx="35">
                  <c:v>1.6653543307086615E-5</c:v>
                </c:pt>
                <c:pt idx="36">
                  <c:v>1.6688976377952755E-5</c:v>
                </c:pt>
                <c:pt idx="37">
                  <c:v>1.6751968503937008E-5</c:v>
                </c:pt>
                <c:pt idx="38">
                  <c:v>1.6885826771653545E-5</c:v>
                </c:pt>
                <c:pt idx="39">
                  <c:v>1.7082677165354332E-5</c:v>
                </c:pt>
                <c:pt idx="40">
                  <c:v>1.7318897637795277E-5</c:v>
                </c:pt>
                <c:pt idx="41">
                  <c:v>1.7582677165354334E-5</c:v>
                </c:pt>
                <c:pt idx="42">
                  <c:v>1.790944881889764E-5</c:v>
                </c:pt>
                <c:pt idx="43">
                  <c:v>1.8307086614173227E-5</c:v>
                </c:pt>
                <c:pt idx="44">
                  <c:v>1.8740157480314962E-5</c:v>
                </c:pt>
                <c:pt idx="45">
                  <c:v>1.9212598425196852E-5</c:v>
                </c:pt>
                <c:pt idx="46">
                  <c:v>1.9724409448818901E-5</c:v>
                </c:pt>
                <c:pt idx="47">
                  <c:v>2.0236220472440947E-5</c:v>
                </c:pt>
                <c:pt idx="48">
                  <c:v>2.0787401574803151E-5</c:v>
                </c:pt>
                <c:pt idx="49">
                  <c:v>2.1417322834645669E-5</c:v>
                </c:pt>
                <c:pt idx="50">
                  <c:v>2.2362204724409453E-5</c:v>
                </c:pt>
                <c:pt idx="51">
                  <c:v>2.3858267716535434E-5</c:v>
                </c:pt>
                <c:pt idx="52">
                  <c:v>2.6220472440944885E-5</c:v>
                </c:pt>
                <c:pt idx="53">
                  <c:v>2.9803149606299214E-5</c:v>
                </c:pt>
                <c:pt idx="54">
                  <c:v>3.4291338582677168E-5</c:v>
                </c:pt>
                <c:pt idx="55">
                  <c:v>3.9055118110236223E-5</c:v>
                </c:pt>
                <c:pt idx="56">
                  <c:v>4.3228346456692911E-5</c:v>
                </c:pt>
                <c:pt idx="57">
                  <c:v>4.5472440944881893E-5</c:v>
                </c:pt>
                <c:pt idx="58">
                  <c:v>4.5314960629921265E-5</c:v>
                </c:pt>
                <c:pt idx="59">
                  <c:v>4.3740157480314967E-5</c:v>
                </c:pt>
                <c:pt idx="60">
                  <c:v>4.1811023622047247E-5</c:v>
                </c:pt>
                <c:pt idx="61">
                  <c:v>3.9960629921259845E-5</c:v>
                </c:pt>
                <c:pt idx="62">
                  <c:v>3.8346456692913387E-5</c:v>
                </c:pt>
                <c:pt idx="63">
                  <c:v>3.7047244094488193E-5</c:v>
                </c:pt>
                <c:pt idx="64">
                  <c:v>3.5905511811023619E-5</c:v>
                </c:pt>
                <c:pt idx="65">
                  <c:v>3.4960629921259845E-5</c:v>
                </c:pt>
                <c:pt idx="66">
                  <c:v>3.4094488188976382E-5</c:v>
                </c:pt>
                <c:pt idx="67">
                  <c:v>3.3267716535433071E-5</c:v>
                </c:pt>
                <c:pt idx="68">
                  <c:v>3.2559055118110235E-5</c:v>
                </c:pt>
                <c:pt idx="69">
                  <c:v>3.1889763779527558E-5</c:v>
                </c:pt>
                <c:pt idx="70">
                  <c:v>3.125984251968504E-5</c:v>
                </c:pt>
                <c:pt idx="71">
                  <c:v>3.0669291338582681E-5</c:v>
                </c:pt>
                <c:pt idx="72">
                  <c:v>3.0039370078740156E-5</c:v>
                </c:pt>
                <c:pt idx="73">
                  <c:v>2.9488188976377955E-5</c:v>
                </c:pt>
                <c:pt idx="74">
                  <c:v>2.8976377952755906E-5</c:v>
                </c:pt>
                <c:pt idx="75">
                  <c:v>2.8425196850393702E-5</c:v>
                </c:pt>
                <c:pt idx="76">
                  <c:v>2.7952755905511812E-5</c:v>
                </c:pt>
                <c:pt idx="77">
                  <c:v>2.7440944881889766E-5</c:v>
                </c:pt>
                <c:pt idx="78">
                  <c:v>2.7047244094488187E-5</c:v>
                </c:pt>
                <c:pt idx="79">
                  <c:v>2.6614173228346455E-5</c:v>
                </c:pt>
                <c:pt idx="80">
                  <c:v>2.6259842519685037E-5</c:v>
                </c:pt>
                <c:pt idx="81">
                  <c:v>2.5984251968503937E-5</c:v>
                </c:pt>
                <c:pt idx="82">
                  <c:v>2.5748031496062992E-5</c:v>
                </c:pt>
                <c:pt idx="83">
                  <c:v>2.5590551181102364E-5</c:v>
                </c:pt>
                <c:pt idx="84">
                  <c:v>2.5551181102362209E-5</c:v>
                </c:pt>
                <c:pt idx="85">
                  <c:v>2.551181102362205E-5</c:v>
                </c:pt>
                <c:pt idx="86">
                  <c:v>2.5629921259842519E-5</c:v>
                </c:pt>
                <c:pt idx="87">
                  <c:v>2.5826771653543309E-5</c:v>
                </c:pt>
                <c:pt idx="88">
                  <c:v>2.6141732283464568E-5</c:v>
                </c:pt>
                <c:pt idx="89">
                  <c:v>2.6574803149606303E-5</c:v>
                </c:pt>
                <c:pt idx="90">
                  <c:v>2.7086614173228345E-5</c:v>
                </c:pt>
                <c:pt idx="91">
                  <c:v>2.7716535433070867E-5</c:v>
                </c:pt>
                <c:pt idx="92">
                  <c:v>2.8503937007874016E-5</c:v>
                </c:pt>
                <c:pt idx="93">
                  <c:v>2.9448818897637797E-5</c:v>
                </c:pt>
                <c:pt idx="94">
                  <c:v>3.0472440944881891E-5</c:v>
                </c:pt>
                <c:pt idx="95">
                  <c:v>3.1338582677165351E-5</c:v>
                </c:pt>
                <c:pt idx="96">
                  <c:v>3.2362204724409449E-5</c:v>
                </c:pt>
                <c:pt idx="97">
                  <c:v>3.3464566929133864E-5</c:v>
                </c:pt>
                <c:pt idx="98">
                  <c:v>3.47244094488189E-5</c:v>
                </c:pt>
                <c:pt idx="99">
                  <c:v>3.6181102362204729E-5</c:v>
                </c:pt>
                <c:pt idx="100">
                  <c:v>3.7716535433070869E-5</c:v>
                </c:pt>
                <c:pt idx="101">
                  <c:v>3.9409448818897637E-5</c:v>
                </c:pt>
                <c:pt idx="102">
                  <c:v>4.1338582677165364E-5</c:v>
                </c:pt>
                <c:pt idx="103">
                  <c:v>4.3425196850393697E-5</c:v>
                </c:pt>
                <c:pt idx="104">
                  <c:v>4.566929133858268E-5</c:v>
                </c:pt>
                <c:pt idx="105">
                  <c:v>4.7913385826771655E-5</c:v>
                </c:pt>
                <c:pt idx="106">
                  <c:v>5.062992125984252E-5</c:v>
                </c:pt>
                <c:pt idx="107">
                  <c:v>5.3346456692913393E-5</c:v>
                </c:pt>
                <c:pt idx="108">
                  <c:v>5.6496062992125983E-5</c:v>
                </c:pt>
                <c:pt idx="109">
                  <c:v>5.9606299212598429E-5</c:v>
                </c:pt>
                <c:pt idx="110">
                  <c:v>6.2755905511811033E-5</c:v>
                </c:pt>
                <c:pt idx="111">
                  <c:v>6.6259842519685044E-5</c:v>
                </c:pt>
                <c:pt idx="112">
                  <c:v>6.9409448818897628E-5</c:v>
                </c:pt>
                <c:pt idx="113">
                  <c:v>7.2913385826771639E-5</c:v>
                </c:pt>
                <c:pt idx="114">
                  <c:v>7.6456692913385823E-5</c:v>
                </c:pt>
                <c:pt idx="115">
                  <c:v>7.960629921259842E-5</c:v>
                </c:pt>
                <c:pt idx="116">
                  <c:v>8.2716535433070872E-5</c:v>
                </c:pt>
                <c:pt idx="117">
                  <c:v>8.5472440944881883E-5</c:v>
                </c:pt>
                <c:pt idx="118">
                  <c:v>8.8228346456692921E-5</c:v>
                </c:pt>
                <c:pt idx="119">
                  <c:v>9.0196850393700772E-5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E4C-47CA-8EE7-0C472B11C205}"/>
            </c:ext>
          </c:extLst>
        </c:ser>
        <c:ser>
          <c:idx val="23"/>
          <c:order val="11"/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BE4C-47CA-8EE7-0C472B11C205}"/>
              </c:ext>
            </c:extLst>
          </c:dPt>
          <c:xVal>
            <c:numRef>
              <c:f>limits!$G$23:$G$24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limits!$H$23:$H$24</c:f>
              <c:numCache>
                <c:formatCode>0.000000</c:formatCode>
                <c:ptCount val="2"/>
                <c:pt idx="0">
                  <c:v>5.9999999999999995E-4</c:v>
                </c:pt>
                <c:pt idx="1">
                  <c:v>5.9999999999999995E-4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E4C-47CA-8EE7-0C472B11C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10160"/>
        <c:axId val="1"/>
      </c:scatterChart>
      <c:valAx>
        <c:axId val="832210160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2482138870207053"/>
              <c:y val="0.9361926710380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.9999999999999995E-7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1.8357006017334653E-2"/>
              <c:y val="0.3193191221667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10160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1496496960137534"/>
          <c:y val="0.69083688649590724"/>
          <c:w val="0.22038214221632471"/>
          <c:h val="0.151102258462751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26-450F-AA93-3B3983F8C20C}"/>
            </c:ext>
          </c:extLst>
        </c:ser>
        <c:ser>
          <c:idx val="3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</c:numCache>
            </c:numRef>
          </c:xVal>
          <c:yVal>
            <c:numRef>
              <c:f>limits!$B$17:$B$21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26-450F-AA93-3B3983F8C20C}"/>
            </c:ext>
          </c:extLst>
        </c:ser>
        <c:ser>
          <c:idx val="4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limits!$D$17:$D$20</c:f>
              <c:numCache>
                <c:formatCode>General</c:formatCode>
                <c:ptCount val="4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</c:numCache>
            </c:numRef>
          </c:xVal>
          <c:yVal>
            <c:numRef>
              <c:f>limits!$E$17:$E$20</c:f>
              <c:numCache>
                <c:formatCode>General</c:formatCode>
                <c:ptCount val="4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26-450F-AA93-3B3983F8C20C}"/>
            </c:ext>
          </c:extLst>
        </c:ser>
        <c:ser>
          <c:idx val="5"/>
          <c:order val="3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limits!$G$4:$G$5</c:f>
              <c:numCache>
                <c:formatCode>0</c:formatCode>
                <c:ptCount val="2"/>
                <c:pt idx="0">
                  <c:v>1424</c:v>
                </c:pt>
                <c:pt idx="1">
                  <c:v>1424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26-450F-AA93-3B3983F8C20C}"/>
            </c:ext>
          </c:extLst>
        </c:ser>
        <c:ser>
          <c:idx val="6"/>
          <c:order val="4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limits!$H$4:$H$5</c:f>
              <c:numCache>
                <c:formatCode>General</c:formatCode>
                <c:ptCount val="2"/>
                <c:pt idx="0">
                  <c:v>1780</c:v>
                </c:pt>
                <c:pt idx="1">
                  <c:v>1780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26-450F-AA93-3B3983F8C20C}"/>
            </c:ext>
          </c:extLst>
        </c:ser>
        <c:ser>
          <c:idx val="7"/>
          <c:order val="5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limits!$I$4:$I$5</c:f>
              <c:numCache>
                <c:formatCode>0</c:formatCode>
                <c:ptCount val="2"/>
                <c:pt idx="0">
                  <c:v>2136</c:v>
                </c:pt>
                <c:pt idx="1">
                  <c:v>2136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626-450F-AA93-3B3983F8C20C}"/>
            </c:ext>
          </c:extLst>
        </c:ser>
        <c:ser>
          <c:idx val="8"/>
          <c:order val="6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limits!$J$4:$J$5</c:f>
              <c:numCache>
                <c:formatCode>General</c:formatCode>
                <c:ptCount val="2"/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26-450F-AA93-3B3983F8C20C}"/>
            </c:ext>
          </c:extLst>
        </c:ser>
        <c:ser>
          <c:idx val="10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limits!$H$17:$H$18</c:f>
              <c:numCache>
                <c:formatCode>General</c:formatCode>
                <c:ptCount val="2"/>
                <c:pt idx="0">
                  <c:v>4.4999999999999999E-4</c:v>
                </c:pt>
                <c:pt idx="1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626-450F-AA93-3B3983F8C20C}"/>
            </c:ext>
          </c:extLst>
        </c:ser>
        <c:ser>
          <c:idx val="11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limits!$I$17:$I$18</c:f>
              <c:numCache>
                <c:formatCode>General</c:formatCode>
                <c:ptCount val="2"/>
                <c:pt idx="0">
                  <c:v>9.5E-4</c:v>
                </c:pt>
                <c:pt idx="1">
                  <c:v>9.5000000000000005E-6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626-450F-AA93-3B3983F8C20C}"/>
            </c:ext>
          </c:extLst>
        </c:ser>
        <c:ser>
          <c:idx val="12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limits!$J$17:$J$18</c:f>
              <c:numCache>
                <c:formatCode>General</c:formatCode>
                <c:ptCount val="2"/>
                <c:pt idx="0">
                  <c:v>1.75E-3</c:v>
                </c:pt>
                <c:pt idx="1">
                  <c:v>1.6500000000000001E-5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626-450F-AA93-3B3983F8C20C}"/>
            </c:ext>
          </c:extLst>
        </c:ser>
        <c:ser>
          <c:idx val="13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limits!$K$17:$K$18</c:f>
              <c:numCache>
                <c:formatCode>General</c:formatCode>
                <c:ptCount val="2"/>
                <c:pt idx="0">
                  <c:v>3.7499999999999999E-3</c:v>
                </c:pt>
                <c:pt idx="1">
                  <c:v>3.5000000000000004E-5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626-450F-AA93-3B3983F8C20C}"/>
            </c:ext>
          </c:extLst>
        </c:ser>
        <c:ser>
          <c:idx val="14"/>
          <c:order val="1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limits!$L$17:$L$18</c:f>
              <c:numCache>
                <c:formatCode>General</c:formatCode>
                <c:ptCount val="2"/>
                <c:pt idx="0">
                  <c:v>7.4999999999999997E-3</c:v>
                </c:pt>
                <c:pt idx="1">
                  <c:v>6.5000000000000008E-5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626-450F-AA93-3B3983F8C20C}"/>
            </c:ext>
          </c:extLst>
        </c:ser>
        <c:ser>
          <c:idx val="20"/>
          <c:order val="12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626-450F-AA93-3B3983F8C20C}"/>
            </c:ext>
          </c:extLst>
        </c:ser>
        <c:ser>
          <c:idx val="21"/>
          <c:order val="1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626-450F-AA93-3B3983F8C20C}"/>
            </c:ext>
          </c:extLst>
        </c:ser>
        <c:ser>
          <c:idx val="0"/>
          <c:order val="1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1.4784808479739018E-4</c:v>
                </c:pt>
                <c:pt idx="1">
                  <c:v>1.4784808479739018E-4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626-450F-AA93-3B3983F8C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76704"/>
        <c:axId val="1"/>
      </c:scatterChart>
      <c:valAx>
        <c:axId val="1347176704"/>
        <c:scaling>
          <c:logBase val="10"/>
          <c:orientation val="minMax"/>
          <c:max val="1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176704"/>
        <c:crosses val="autoZero"/>
        <c:crossBetween val="midCat"/>
        <c:majorUnit val="10"/>
        <c:minorUnit val="10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&amp;L&amp;F&amp;R&amp;D&amp;T</c:oddFooter>
    </c:headerFooter>
    <c:pageMargins b="1" l="0.75" r="0.75" t="1" header="0.5" footer="0.5"/>
    <c:pageSetup orientation="portrait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09322688642802"/>
          <c:y val="5.9952178769903067E-2"/>
          <c:w val="0.73417872778779292"/>
          <c:h val="0.82973815417545849"/>
        </c:manualLayout>
      </c:layout>
      <c:scatterChart>
        <c:scatterStyle val="lineMarker"/>
        <c:varyColors val="0"/>
        <c:ser>
          <c:idx val="15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1.4784808479739018E-4</c:v>
                </c:pt>
                <c:pt idx="1">
                  <c:v>1.4784808479739018E-4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5B-4D0D-87FA-7554FA73245B}"/>
            </c:ext>
          </c:extLst>
        </c:ser>
        <c:ser>
          <c:idx val="17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1424</c:v>
                </c:pt>
                <c:pt idx="1">
                  <c:v>1424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5B-4D0D-87FA-7554FA73245B}"/>
            </c:ext>
          </c:extLst>
        </c:ser>
        <c:ser>
          <c:idx val="18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1780</c:v>
                </c:pt>
                <c:pt idx="1">
                  <c:v>1780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5B-4D0D-87FA-7554FA73245B}"/>
            </c:ext>
          </c:extLst>
        </c:ser>
        <c:ser>
          <c:idx val="19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2136</c:v>
                </c:pt>
                <c:pt idx="1">
                  <c:v>2136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5B-4D0D-87FA-7554FA73245B}"/>
            </c:ext>
          </c:extLst>
        </c:ser>
        <c:ser>
          <c:idx val="3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limits!$A$17:$A$22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limits!$B$17:$B$22</c:f>
              <c:numCache>
                <c:formatCode>General</c:formatCode>
                <c:ptCount val="6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  <c:pt idx="5">
                  <c:v>9.3300000000000005E-6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5B-4D0D-87FA-7554FA73245B}"/>
            </c:ext>
          </c:extLst>
        </c:ser>
        <c:ser>
          <c:idx val="4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limits!$E$17:$E$21</c:f>
              <c:numCache>
                <c:formatCode>General</c:formatCode>
                <c:ptCount val="5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  <c:pt idx="4">
                  <c:v>8.1799999999999996E-6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5B-4D0D-87FA-7554FA73245B}"/>
            </c:ext>
          </c:extLst>
        </c:ser>
        <c:ser>
          <c:idx val="14"/>
          <c:order val="6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limits!$L$17:$L$19</c:f>
              <c:numCache>
                <c:formatCode>General</c:formatCode>
                <c:ptCount val="3"/>
                <c:pt idx="0">
                  <c:v>7.4999999999999997E-3</c:v>
                </c:pt>
                <c:pt idx="1">
                  <c:v>6.5000000000000008E-5</c:v>
                </c:pt>
                <c:pt idx="2" formatCode="0.00000000">
                  <c:v>6.1999999999999999E-6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5B-4D0D-87FA-7554FA73245B}"/>
            </c:ext>
          </c:extLst>
        </c:ser>
        <c:ser>
          <c:idx val="13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limits!$K$17:$K$19</c:f>
              <c:numCache>
                <c:formatCode>General</c:formatCode>
                <c:ptCount val="3"/>
                <c:pt idx="0">
                  <c:v>3.7499999999999999E-3</c:v>
                </c:pt>
                <c:pt idx="1">
                  <c:v>3.5000000000000004E-5</c:v>
                </c:pt>
                <c:pt idx="2" formatCode="0.00000000">
                  <c:v>3.4400000000000001E-6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5B-4D0D-87FA-7554FA73245B}"/>
            </c:ext>
          </c:extLst>
        </c:ser>
        <c:ser>
          <c:idx val="12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limits!$J$17:$J$19</c:f>
              <c:numCache>
                <c:formatCode>General</c:formatCode>
                <c:ptCount val="3"/>
                <c:pt idx="0">
                  <c:v>1.75E-3</c:v>
                </c:pt>
                <c:pt idx="1">
                  <c:v>1.6500000000000001E-5</c:v>
                </c:pt>
                <c:pt idx="2" formatCode="0.00000000">
                  <c:v>1.64E-6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5B-4D0D-87FA-7554FA73245B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limits!$I$17:$I$19</c:f>
              <c:numCache>
                <c:formatCode>General</c:formatCode>
                <c:ptCount val="3"/>
                <c:pt idx="0">
                  <c:v>9.5E-4</c:v>
                </c:pt>
                <c:pt idx="1">
                  <c:v>9.5000000000000005E-6</c:v>
                </c:pt>
                <c:pt idx="2" formatCode="0.00000000">
                  <c:v>9.33E-7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5B-4D0D-87FA-7554FA73245B}"/>
            </c:ext>
          </c:extLst>
        </c:ser>
        <c:ser>
          <c:idx val="10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limits!$H$17:$H$19</c:f>
              <c:numCache>
                <c:formatCode>General</c:formatCode>
                <c:ptCount val="3"/>
                <c:pt idx="0">
                  <c:v>4.4999999999999999E-4</c:v>
                </c:pt>
                <c:pt idx="1">
                  <c:v>3.9999999999999998E-6</c:v>
                </c:pt>
                <c:pt idx="2" formatCode="0.00000000">
                  <c:v>3.5499999999999999E-7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5B-4D0D-87FA-7554FA73245B}"/>
            </c:ext>
          </c:extLst>
        </c:ser>
        <c:ser>
          <c:idx val="25"/>
          <c:order val="11"/>
          <c:spPr>
            <a:ln w="19050">
              <a:solidFill>
                <a:srgbClr val="0070C0"/>
              </a:solidFill>
              <a:prstDash val="solid"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P3_UB!$A$7:$A$126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P3_UB!$F$7:$F$126</c:f>
              <c:numCache>
                <c:formatCode>0.00E+00</c:formatCode>
                <c:ptCount val="120"/>
                <c:pt idx="0">
                  <c:v>4.094488188976378E-8</c:v>
                </c:pt>
                <c:pt idx="1">
                  <c:v>1.5893700787401575E-7</c:v>
                </c:pt>
                <c:pt idx="2">
                  <c:v>3.5708661417322843E-7</c:v>
                </c:pt>
                <c:pt idx="3">
                  <c:v>6.5078740157480314E-7</c:v>
                </c:pt>
                <c:pt idx="4">
                  <c:v>1.0255905511811023E-6</c:v>
                </c:pt>
                <c:pt idx="5">
                  <c:v>1.5062992125984254E-6</c:v>
                </c:pt>
                <c:pt idx="6">
                  <c:v>2.098425196850394E-6</c:v>
                </c:pt>
                <c:pt idx="7">
                  <c:v>2.8228346456692912E-6</c:v>
                </c:pt>
                <c:pt idx="8">
                  <c:v>3.7007874015748031E-6</c:v>
                </c:pt>
                <c:pt idx="9">
                  <c:v>4.775590551181103E-6</c:v>
                </c:pt>
                <c:pt idx="10">
                  <c:v>6.0708661417322834E-6</c:v>
                </c:pt>
                <c:pt idx="11">
                  <c:v>7.665354330708663E-6</c:v>
                </c:pt>
                <c:pt idx="12">
                  <c:v>9.468503937007876E-6</c:v>
                </c:pt>
                <c:pt idx="13">
                  <c:v>1.1393700787401578E-5</c:v>
                </c:pt>
                <c:pt idx="14">
                  <c:v>1.3267716535433072E-5</c:v>
                </c:pt>
                <c:pt idx="15">
                  <c:v>1.4960629921259842E-5</c:v>
                </c:pt>
                <c:pt idx="16">
                  <c:v>1.6771653543307087E-5</c:v>
                </c:pt>
                <c:pt idx="17">
                  <c:v>1.8582677165354331E-5</c:v>
                </c:pt>
                <c:pt idx="18">
                  <c:v>2.0551181102362206E-5</c:v>
                </c:pt>
                <c:pt idx="19">
                  <c:v>2.2716535433070864E-5</c:v>
                </c:pt>
                <c:pt idx="20">
                  <c:v>2.4999999999999998E-5</c:v>
                </c:pt>
                <c:pt idx="21">
                  <c:v>2.7480314960629925E-5</c:v>
                </c:pt>
                <c:pt idx="22">
                  <c:v>3.0196850393700787E-5</c:v>
                </c:pt>
                <c:pt idx="23">
                  <c:v>3.3216535433070868E-5</c:v>
                </c:pt>
                <c:pt idx="24">
                  <c:v>3.6570866141732288E-5</c:v>
                </c:pt>
                <c:pt idx="25">
                  <c:v>4.0267716535433071E-5</c:v>
                </c:pt>
                <c:pt idx="26">
                  <c:v>4.4196850393700785E-5</c:v>
                </c:pt>
                <c:pt idx="27">
                  <c:v>4.8708661417322837E-5</c:v>
                </c:pt>
                <c:pt idx="28">
                  <c:v>5.324015748031496E-5</c:v>
                </c:pt>
                <c:pt idx="29">
                  <c:v>5.7401574803149605E-5</c:v>
                </c:pt>
                <c:pt idx="30">
                  <c:v>6.1960629921259844E-5</c:v>
                </c:pt>
                <c:pt idx="31">
                  <c:v>6.5358267716535443E-5</c:v>
                </c:pt>
                <c:pt idx="32">
                  <c:v>6.8385826771653543E-5</c:v>
                </c:pt>
                <c:pt idx="33">
                  <c:v>7.0637795275590548E-5</c:v>
                </c:pt>
                <c:pt idx="34">
                  <c:v>7.1716535433070862E-5</c:v>
                </c:pt>
                <c:pt idx="35">
                  <c:v>7.1228346456692914E-5</c:v>
                </c:pt>
                <c:pt idx="36">
                  <c:v>7.1145669291338589E-5</c:v>
                </c:pt>
                <c:pt idx="37">
                  <c:v>7.067716535433072E-5</c:v>
                </c:pt>
                <c:pt idx="38">
                  <c:v>7.0614173228346461E-5</c:v>
                </c:pt>
                <c:pt idx="39">
                  <c:v>7.0559055118110244E-5</c:v>
                </c:pt>
                <c:pt idx="40">
                  <c:v>7.0905511811023629E-5</c:v>
                </c:pt>
                <c:pt idx="41">
                  <c:v>7.2047244094488189E-5</c:v>
                </c:pt>
                <c:pt idx="42">
                  <c:v>7.3196850393700792E-5</c:v>
                </c:pt>
                <c:pt idx="43">
                  <c:v>7.5133858267716527E-5</c:v>
                </c:pt>
                <c:pt idx="44">
                  <c:v>7.7472440944881892E-5</c:v>
                </c:pt>
                <c:pt idx="45">
                  <c:v>8.0204724409448815E-5</c:v>
                </c:pt>
                <c:pt idx="46">
                  <c:v>8.2937007874015739E-5</c:v>
                </c:pt>
                <c:pt idx="47">
                  <c:v>8.5669291338582676E-5</c:v>
                </c:pt>
                <c:pt idx="48">
                  <c:v>8.84015748031496E-5</c:v>
                </c:pt>
                <c:pt idx="49">
                  <c:v>9.113385826771655E-5</c:v>
                </c:pt>
                <c:pt idx="50">
                  <c:v>9.3472440944881888E-5</c:v>
                </c:pt>
                <c:pt idx="51">
                  <c:v>9.5814960629921246E-5</c:v>
                </c:pt>
                <c:pt idx="52">
                  <c:v>9.7377952755905501E-5</c:v>
                </c:pt>
                <c:pt idx="53">
                  <c:v>9.8952755905511806E-5</c:v>
                </c:pt>
                <c:pt idx="54">
                  <c:v>1.0015354330708662E-4</c:v>
                </c:pt>
                <c:pt idx="55">
                  <c:v>1.0098031496062992E-4</c:v>
                </c:pt>
                <c:pt idx="56">
                  <c:v>1.0182677165354331E-4</c:v>
                </c:pt>
                <c:pt idx="57">
                  <c:v>1.022992125984252E-4</c:v>
                </c:pt>
                <c:pt idx="58">
                  <c:v>1.0239763779527558E-4</c:v>
                </c:pt>
                <c:pt idx="59">
                  <c:v>1.0251181102362205E-4</c:v>
                </c:pt>
                <c:pt idx="60">
                  <c:v>1.0263385826771655E-4</c:v>
                </c:pt>
                <c:pt idx="61">
                  <c:v>1.027716535433071E-4</c:v>
                </c:pt>
                <c:pt idx="62">
                  <c:v>1.0252755905511812E-4</c:v>
                </c:pt>
                <c:pt idx="63">
                  <c:v>1.0229133858267718E-4</c:v>
                </c:pt>
                <c:pt idx="64">
                  <c:v>1.0244881889763782E-4</c:v>
                </c:pt>
                <c:pt idx="65">
                  <c:v>1.022007874015748E-4</c:v>
                </c:pt>
                <c:pt idx="66">
                  <c:v>1.0192913385826772E-4</c:v>
                </c:pt>
                <c:pt idx="67">
                  <c:v>1.0161023622047245E-4</c:v>
                </c:pt>
                <c:pt idx="68">
                  <c:v>1.01244094488189E-4</c:v>
                </c:pt>
                <c:pt idx="69">
                  <c:v>1.0083070866141733E-4</c:v>
                </c:pt>
                <c:pt idx="70">
                  <c:v>1.0038188976377953E-4</c:v>
                </c:pt>
                <c:pt idx="71">
                  <c:v>9.991732283464568E-5</c:v>
                </c:pt>
                <c:pt idx="72">
                  <c:v>9.944488188976379E-5</c:v>
                </c:pt>
                <c:pt idx="73">
                  <c:v>9.8972440944881913E-5</c:v>
                </c:pt>
                <c:pt idx="74">
                  <c:v>9.8511811023622059E-5</c:v>
                </c:pt>
                <c:pt idx="75">
                  <c:v>9.8055118110236227E-5</c:v>
                </c:pt>
                <c:pt idx="76">
                  <c:v>9.7610236220472459E-5</c:v>
                </c:pt>
                <c:pt idx="77">
                  <c:v>9.7173228346456692E-5</c:v>
                </c:pt>
                <c:pt idx="78">
                  <c:v>9.7137795275590555E-5</c:v>
                </c:pt>
                <c:pt idx="79">
                  <c:v>9.6708661417322845E-5</c:v>
                </c:pt>
                <c:pt idx="80">
                  <c:v>9.6283464566929142E-5</c:v>
                </c:pt>
                <c:pt idx="81">
                  <c:v>9.5862204724409461E-5</c:v>
                </c:pt>
                <c:pt idx="82">
                  <c:v>9.5830708661417331E-5</c:v>
                </c:pt>
                <c:pt idx="83">
                  <c:v>9.5401574803149607E-5</c:v>
                </c:pt>
                <c:pt idx="84">
                  <c:v>9.4976377952755905E-5</c:v>
                </c:pt>
                <c:pt idx="85">
                  <c:v>9.4551181102362202E-5</c:v>
                </c:pt>
                <c:pt idx="86">
                  <c:v>9.4519685039370072E-5</c:v>
                </c:pt>
                <c:pt idx="87">
                  <c:v>9.4094488188976397E-5</c:v>
                </c:pt>
                <c:pt idx="88">
                  <c:v>9.3673228346456716E-5</c:v>
                </c:pt>
                <c:pt idx="89">
                  <c:v>9.3649606299212601E-5</c:v>
                </c:pt>
                <c:pt idx="90">
                  <c:v>9.3232283464566941E-5</c:v>
                </c:pt>
                <c:pt idx="91">
                  <c:v>9.3216535433070883E-5</c:v>
                </c:pt>
                <c:pt idx="92">
                  <c:v>9.2807086614173225E-5</c:v>
                </c:pt>
                <c:pt idx="93">
                  <c:v>9.2791338582677167E-5</c:v>
                </c:pt>
                <c:pt idx="94">
                  <c:v>9.2385826771653544E-5</c:v>
                </c:pt>
                <c:pt idx="95">
                  <c:v>9.2377952755905529E-5</c:v>
                </c:pt>
                <c:pt idx="96">
                  <c:v>9.1976377952755913E-5</c:v>
                </c:pt>
                <c:pt idx="97">
                  <c:v>9.1964566929133863E-5</c:v>
                </c:pt>
                <c:pt idx="98">
                  <c:v>9.1956692913385834E-5</c:v>
                </c:pt>
                <c:pt idx="99">
                  <c:v>9.155118110236221E-5</c:v>
                </c:pt>
                <c:pt idx="100">
                  <c:v>9.1543307086614195E-5</c:v>
                </c:pt>
                <c:pt idx="101">
                  <c:v>9.1531496062992131E-5</c:v>
                </c:pt>
                <c:pt idx="102">
                  <c:v>9.1125984251968521E-5</c:v>
                </c:pt>
                <c:pt idx="103">
                  <c:v>9.1114173228346458E-5</c:v>
                </c:pt>
                <c:pt idx="104">
                  <c:v>9.1102362204724421E-5</c:v>
                </c:pt>
                <c:pt idx="105">
                  <c:v>9.1090551181102384E-5</c:v>
                </c:pt>
                <c:pt idx="106">
                  <c:v>9.1074803149606312E-5</c:v>
                </c:pt>
                <c:pt idx="107">
                  <c:v>9.1062992125984249E-5</c:v>
                </c:pt>
                <c:pt idx="108">
                  <c:v>9.0657480314960639E-5</c:v>
                </c:pt>
                <c:pt idx="109">
                  <c:v>9.0645669291338575E-5</c:v>
                </c:pt>
                <c:pt idx="110">
                  <c:v>9.0629921259842517E-5</c:v>
                </c:pt>
                <c:pt idx="111">
                  <c:v>9.0618110236220467E-5</c:v>
                </c:pt>
                <c:pt idx="112">
                  <c:v>9.060629921259843E-5</c:v>
                </c:pt>
                <c:pt idx="113">
                  <c:v>9.059448818897638E-5</c:v>
                </c:pt>
                <c:pt idx="114">
                  <c:v>9.0582677165354329E-5</c:v>
                </c:pt>
                <c:pt idx="115">
                  <c:v>9.0570866141732293E-5</c:v>
                </c:pt>
                <c:pt idx="116">
                  <c:v>9.0559055118110242E-5</c:v>
                </c:pt>
                <c:pt idx="117">
                  <c:v>9.0157480314960627E-5</c:v>
                </c:pt>
                <c:pt idx="118">
                  <c:v>9.014566929133859E-5</c:v>
                </c:pt>
                <c:pt idx="119">
                  <c:v>9.0137795275590547E-5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5B-4D0D-87FA-7554FA73245B}"/>
            </c:ext>
          </c:extLst>
        </c:ser>
        <c:ser>
          <c:idx val="26"/>
          <c:order val="12"/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triangle"/>
            <c:size val="3"/>
            <c:spPr>
              <a:noFill/>
              <a:ln w="9525">
                <a:noFill/>
              </a:ln>
            </c:spPr>
          </c:marker>
          <c:xVal>
            <c:numRef>
              <c:f>P3_UB!$A$7:$A$126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P3_UB!$G$7:$G$126</c:f>
              <c:numCache>
                <c:formatCode>0.00E+00</c:formatCode>
                <c:ptCount val="120"/>
                <c:pt idx="0">
                  <c:v>5.3740157480314962E-9</c:v>
                </c:pt>
                <c:pt idx="1">
                  <c:v>2.082677165354331E-8</c:v>
                </c:pt>
                <c:pt idx="2">
                  <c:v>4.6771653543307091E-8</c:v>
                </c:pt>
                <c:pt idx="3">
                  <c:v>8.5551181102362202E-8</c:v>
                </c:pt>
                <c:pt idx="4">
                  <c:v>1.3543307086614175E-7</c:v>
                </c:pt>
                <c:pt idx="5">
                  <c:v>1.9960629921259843E-7</c:v>
                </c:pt>
                <c:pt idx="6">
                  <c:v>2.7716535433070868E-7</c:v>
                </c:pt>
                <c:pt idx="7">
                  <c:v>3.7086614173228345E-7</c:v>
                </c:pt>
                <c:pt idx="8">
                  <c:v>4.8228346456692918E-7</c:v>
                </c:pt>
                <c:pt idx="9">
                  <c:v>6.1299212598425198E-7</c:v>
                </c:pt>
                <c:pt idx="10">
                  <c:v>7.614173228346458E-7</c:v>
                </c:pt>
                <c:pt idx="11">
                  <c:v>9.2637795275590554E-7</c:v>
                </c:pt>
                <c:pt idx="12">
                  <c:v>1.1062992125984252E-6</c:v>
                </c:pt>
                <c:pt idx="13">
                  <c:v>1.2834645669291338E-6</c:v>
                </c:pt>
                <c:pt idx="14">
                  <c:v>1.4645669291338584E-6</c:v>
                </c:pt>
                <c:pt idx="15">
                  <c:v>1.6732283464566931E-6</c:v>
                </c:pt>
                <c:pt idx="16">
                  <c:v>1.9212598425196851E-6</c:v>
                </c:pt>
                <c:pt idx="17">
                  <c:v>2.2165354330708661E-6</c:v>
                </c:pt>
                <c:pt idx="18">
                  <c:v>2.5511811023622049E-6</c:v>
                </c:pt>
                <c:pt idx="19">
                  <c:v>2.8976377952755906E-6</c:v>
                </c:pt>
                <c:pt idx="20">
                  <c:v>3.2362204724409452E-6</c:v>
                </c:pt>
                <c:pt idx="21">
                  <c:v>3.5472440944881889E-6</c:v>
                </c:pt>
                <c:pt idx="22">
                  <c:v>3.8188976377952765E-6</c:v>
                </c:pt>
                <c:pt idx="23">
                  <c:v>4.0590551181102361E-6</c:v>
                </c:pt>
                <c:pt idx="24">
                  <c:v>4.2795275590551181E-6</c:v>
                </c:pt>
                <c:pt idx="25">
                  <c:v>4.4763779527559054E-6</c:v>
                </c:pt>
                <c:pt idx="26">
                  <c:v>4.6574803149606296E-6</c:v>
                </c:pt>
                <c:pt idx="27">
                  <c:v>4.8188976377952771E-6</c:v>
                </c:pt>
                <c:pt idx="28">
                  <c:v>4.9685039370078742E-6</c:v>
                </c:pt>
                <c:pt idx="29">
                  <c:v>5.1062992125984261E-6</c:v>
                </c:pt>
                <c:pt idx="30">
                  <c:v>5.24015748031496E-6</c:v>
                </c:pt>
                <c:pt idx="31">
                  <c:v>5.3858267716535443E-6</c:v>
                </c:pt>
                <c:pt idx="32">
                  <c:v>5.5669291338582685E-6</c:v>
                </c:pt>
                <c:pt idx="33">
                  <c:v>5.8228346456692913E-6</c:v>
                </c:pt>
                <c:pt idx="34">
                  <c:v>6.1220472440944881E-6</c:v>
                </c:pt>
                <c:pt idx="35">
                  <c:v>6.6968503937007886E-6</c:v>
                </c:pt>
                <c:pt idx="36">
                  <c:v>7.2322834645669305E-6</c:v>
                </c:pt>
                <c:pt idx="37">
                  <c:v>7.9251968503937019E-6</c:v>
                </c:pt>
                <c:pt idx="38">
                  <c:v>8.6968503937007881E-6</c:v>
                </c:pt>
                <c:pt idx="39">
                  <c:v>9.5511811023622061E-6</c:v>
                </c:pt>
                <c:pt idx="40">
                  <c:v>1.0484251968503938E-5</c:v>
                </c:pt>
                <c:pt idx="41">
                  <c:v>1.1456692913385827E-5</c:v>
                </c:pt>
                <c:pt idx="42">
                  <c:v>1.2511811023622049E-5</c:v>
                </c:pt>
                <c:pt idx="43">
                  <c:v>1.356692913385827E-5</c:v>
                </c:pt>
                <c:pt idx="44">
                  <c:v>1.4657480314960631E-5</c:v>
                </c:pt>
                <c:pt idx="45">
                  <c:v>1.5708661417322834E-5</c:v>
                </c:pt>
                <c:pt idx="46">
                  <c:v>1.6720472440944885E-5</c:v>
                </c:pt>
                <c:pt idx="47">
                  <c:v>1.7732283464566929E-5</c:v>
                </c:pt>
                <c:pt idx="48">
                  <c:v>1.862204724409449E-5</c:v>
                </c:pt>
                <c:pt idx="49">
                  <c:v>1.9389763779527563E-5</c:v>
                </c:pt>
                <c:pt idx="50">
                  <c:v>2.0078740157480319E-5</c:v>
                </c:pt>
                <c:pt idx="51">
                  <c:v>2.0681102362204725E-5</c:v>
                </c:pt>
                <c:pt idx="52">
                  <c:v>2.1165354330708666E-5</c:v>
                </c:pt>
                <c:pt idx="53">
                  <c:v>2.1531496062992127E-5</c:v>
                </c:pt>
                <c:pt idx="54">
                  <c:v>2.181496062992126E-5</c:v>
                </c:pt>
                <c:pt idx="55">
                  <c:v>2.2019685039370082E-5</c:v>
                </c:pt>
                <c:pt idx="56">
                  <c:v>2.2145669291338587E-5</c:v>
                </c:pt>
                <c:pt idx="57">
                  <c:v>2.2196850393700789E-5</c:v>
                </c:pt>
                <c:pt idx="58">
                  <c:v>2.2216535433070869E-5</c:v>
                </c:pt>
                <c:pt idx="59">
                  <c:v>2.2236220472440945E-5</c:v>
                </c:pt>
                <c:pt idx="60">
                  <c:v>2.2185039370078746E-5</c:v>
                </c:pt>
                <c:pt idx="61">
                  <c:v>2.2133858267716537E-5</c:v>
                </c:pt>
                <c:pt idx="62">
                  <c:v>2.2047244094488194E-5</c:v>
                </c:pt>
                <c:pt idx="63">
                  <c:v>2.1952755905511812E-5</c:v>
                </c:pt>
                <c:pt idx="64">
                  <c:v>2.1850393700787404E-5</c:v>
                </c:pt>
                <c:pt idx="65">
                  <c:v>2.1736220472440943E-5</c:v>
                </c:pt>
                <c:pt idx="66">
                  <c:v>2.1614173228346455E-5</c:v>
                </c:pt>
                <c:pt idx="67">
                  <c:v>2.1460629921259842E-5</c:v>
                </c:pt>
                <c:pt idx="68">
                  <c:v>2.1374015748031499E-5</c:v>
                </c:pt>
                <c:pt idx="69">
                  <c:v>2.1314960629921261E-5</c:v>
                </c:pt>
                <c:pt idx="70">
                  <c:v>2.1240157480314958E-5</c:v>
                </c:pt>
                <c:pt idx="71">
                  <c:v>2.1181102362204727E-5</c:v>
                </c:pt>
                <c:pt idx="72">
                  <c:v>2.1161417322834648E-5</c:v>
                </c:pt>
                <c:pt idx="73">
                  <c:v>2.1094488188976381E-5</c:v>
                </c:pt>
                <c:pt idx="74">
                  <c:v>2.1055118110236226E-5</c:v>
                </c:pt>
                <c:pt idx="75">
                  <c:v>2.1011811023622049E-5</c:v>
                </c:pt>
                <c:pt idx="76">
                  <c:v>2.0964566929133858E-5</c:v>
                </c:pt>
                <c:pt idx="77">
                  <c:v>2.0909448818897638E-5</c:v>
                </c:pt>
                <c:pt idx="78">
                  <c:v>2.08503937007874E-5</c:v>
                </c:pt>
                <c:pt idx="79">
                  <c:v>2.082677165354331E-5</c:v>
                </c:pt>
                <c:pt idx="80">
                  <c:v>2.0763779527559054E-5</c:v>
                </c:pt>
                <c:pt idx="81">
                  <c:v>2.069685039370079E-5</c:v>
                </c:pt>
                <c:pt idx="82">
                  <c:v>2.066535433070866E-5</c:v>
                </c:pt>
                <c:pt idx="83">
                  <c:v>2.0590551181102364E-5</c:v>
                </c:pt>
                <c:pt idx="84">
                  <c:v>2.0551181102362206E-5</c:v>
                </c:pt>
                <c:pt idx="85">
                  <c:v>2.0476377952755906E-5</c:v>
                </c:pt>
                <c:pt idx="86">
                  <c:v>2.0397637795275589E-5</c:v>
                </c:pt>
                <c:pt idx="87">
                  <c:v>2.0354330708661419E-5</c:v>
                </c:pt>
                <c:pt idx="88">
                  <c:v>2.0275590551181105E-5</c:v>
                </c:pt>
                <c:pt idx="89">
                  <c:v>2.0232283464566929E-5</c:v>
                </c:pt>
                <c:pt idx="90">
                  <c:v>2.0153543307086615E-5</c:v>
                </c:pt>
                <c:pt idx="91">
                  <c:v>2.0110236220472438E-5</c:v>
                </c:pt>
                <c:pt idx="92">
                  <c:v>2.0070866141732283E-5</c:v>
                </c:pt>
                <c:pt idx="93">
                  <c:v>2.002755905511811E-5</c:v>
                </c:pt>
                <c:pt idx="94">
                  <c:v>1.9988188976377955E-5</c:v>
                </c:pt>
                <c:pt idx="95">
                  <c:v>1.9948818897637793E-5</c:v>
                </c:pt>
                <c:pt idx="96">
                  <c:v>1.990551181102362E-5</c:v>
                </c:pt>
                <c:pt idx="97">
                  <c:v>1.9866141732283468E-5</c:v>
                </c:pt>
                <c:pt idx="98">
                  <c:v>1.9866141732283468E-5</c:v>
                </c:pt>
                <c:pt idx="99">
                  <c:v>1.9826771653543309E-5</c:v>
                </c:pt>
                <c:pt idx="100">
                  <c:v>1.9783464566929132E-5</c:v>
                </c:pt>
                <c:pt idx="101">
                  <c:v>1.9783464566929132E-5</c:v>
                </c:pt>
                <c:pt idx="102">
                  <c:v>1.9740157480314959E-5</c:v>
                </c:pt>
                <c:pt idx="103">
                  <c:v>1.9740157480314959E-5</c:v>
                </c:pt>
                <c:pt idx="104">
                  <c:v>1.9740157480314959E-5</c:v>
                </c:pt>
                <c:pt idx="105">
                  <c:v>1.9696850393700786E-5</c:v>
                </c:pt>
                <c:pt idx="106">
                  <c:v>1.9692913385826775E-5</c:v>
                </c:pt>
                <c:pt idx="107">
                  <c:v>1.9692913385826775E-5</c:v>
                </c:pt>
                <c:pt idx="108">
                  <c:v>1.9649606299212602E-5</c:v>
                </c:pt>
                <c:pt idx="109">
                  <c:v>1.9645669291338584E-5</c:v>
                </c:pt>
                <c:pt idx="110">
                  <c:v>1.9606299212598429E-5</c:v>
                </c:pt>
                <c:pt idx="111">
                  <c:v>1.9602362204724411E-5</c:v>
                </c:pt>
                <c:pt idx="112">
                  <c:v>1.9559055118110234E-5</c:v>
                </c:pt>
                <c:pt idx="113">
                  <c:v>1.955511811023622E-5</c:v>
                </c:pt>
                <c:pt idx="114">
                  <c:v>1.951181102362205E-5</c:v>
                </c:pt>
                <c:pt idx="115">
                  <c:v>1.9468503937007877E-5</c:v>
                </c:pt>
                <c:pt idx="116">
                  <c:v>1.94251968503937E-5</c:v>
                </c:pt>
                <c:pt idx="117">
                  <c:v>1.9385826771653545E-5</c:v>
                </c:pt>
                <c:pt idx="118">
                  <c:v>1.9342519685039368E-5</c:v>
                </c:pt>
                <c:pt idx="119">
                  <c:v>1.925984251968504E-5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5B-4D0D-87FA-7554FA73245B}"/>
            </c:ext>
          </c:extLst>
        </c:ser>
        <c:ser>
          <c:idx val="27"/>
          <c:order val="13"/>
          <c:spPr>
            <a:ln w="19050">
              <a:solidFill>
                <a:srgbClr val="00B05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xVal>
            <c:numRef>
              <c:f>P3_UB!$A$7:$A$126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P3_UB!$H$7:$H$126</c:f>
              <c:numCache>
                <c:formatCode>0.00E+00</c:formatCode>
                <c:ptCount val="120"/>
                <c:pt idx="0">
                  <c:v>1.1771653543307087E-8</c:v>
                </c:pt>
                <c:pt idx="1">
                  <c:v>4.736220472440946E-8</c:v>
                </c:pt>
                <c:pt idx="2">
                  <c:v>1.070472440944882E-7</c:v>
                </c:pt>
                <c:pt idx="3">
                  <c:v>1.9055118110236223E-7</c:v>
                </c:pt>
                <c:pt idx="4">
                  <c:v>3.0078740157480321E-7</c:v>
                </c:pt>
                <c:pt idx="5">
                  <c:v>4.3937007874015741E-7</c:v>
                </c:pt>
                <c:pt idx="6">
                  <c:v>6.1023622047244098E-7</c:v>
                </c:pt>
                <c:pt idx="7">
                  <c:v>8.1692913385826776E-7</c:v>
                </c:pt>
                <c:pt idx="8">
                  <c:v>1.0708661417322834E-6</c:v>
                </c:pt>
                <c:pt idx="9">
                  <c:v>1.3858267716535433E-6</c:v>
                </c:pt>
                <c:pt idx="10">
                  <c:v>1.7755905511811023E-6</c:v>
                </c:pt>
                <c:pt idx="11">
                  <c:v>2.2440944881889762E-6</c:v>
                </c:pt>
                <c:pt idx="12">
                  <c:v>2.7992125984251965E-6</c:v>
                </c:pt>
                <c:pt idx="13">
                  <c:v>3.3582677165354331E-6</c:v>
                </c:pt>
                <c:pt idx="14">
                  <c:v>3.8425196850393703E-6</c:v>
                </c:pt>
                <c:pt idx="15">
                  <c:v>4.2716535433070865E-6</c:v>
                </c:pt>
                <c:pt idx="16">
                  <c:v>4.6692913385826774E-6</c:v>
                </c:pt>
                <c:pt idx="17">
                  <c:v>5.0787401574803152E-6</c:v>
                </c:pt>
                <c:pt idx="18">
                  <c:v>5.5275590551181116E-6</c:v>
                </c:pt>
                <c:pt idx="19">
                  <c:v>6.0314960629921255E-6</c:v>
                </c:pt>
                <c:pt idx="20">
                  <c:v>6.5866141732283468E-6</c:v>
                </c:pt>
                <c:pt idx="21">
                  <c:v>7.2519685039370098E-6</c:v>
                </c:pt>
                <c:pt idx="22">
                  <c:v>7.9724409448818896E-6</c:v>
                </c:pt>
                <c:pt idx="23">
                  <c:v>8.8228346456692914E-6</c:v>
                </c:pt>
                <c:pt idx="24">
                  <c:v>9.7244094488189004E-6</c:v>
                </c:pt>
                <c:pt idx="25">
                  <c:v>1.0755905511811024E-5</c:v>
                </c:pt>
                <c:pt idx="26">
                  <c:v>1.1913385826771654E-5</c:v>
                </c:pt>
                <c:pt idx="27">
                  <c:v>1.3118110236220472E-5</c:v>
                </c:pt>
                <c:pt idx="28">
                  <c:v>1.4370078740157481E-5</c:v>
                </c:pt>
                <c:pt idx="29">
                  <c:v>1.5708661417322834E-5</c:v>
                </c:pt>
                <c:pt idx="30">
                  <c:v>1.6976377952755906E-5</c:v>
                </c:pt>
                <c:pt idx="31">
                  <c:v>1.8165354330708664E-5</c:v>
                </c:pt>
                <c:pt idx="32">
                  <c:v>1.9165354330708665E-5</c:v>
                </c:pt>
                <c:pt idx="33">
                  <c:v>1.9925196850393702E-5</c:v>
                </c:pt>
                <c:pt idx="34">
                  <c:v>2.0413385826771654E-5</c:v>
                </c:pt>
                <c:pt idx="35">
                  <c:v>2.0507874015748029E-5</c:v>
                </c:pt>
                <c:pt idx="36">
                  <c:v>2.0637795275590549E-5</c:v>
                </c:pt>
                <c:pt idx="37">
                  <c:v>2.0551181102362206E-5</c:v>
                </c:pt>
                <c:pt idx="38">
                  <c:v>2.0472440944881889E-5</c:v>
                </c:pt>
                <c:pt idx="39">
                  <c:v>2.0236220472440943E-5</c:v>
                </c:pt>
                <c:pt idx="40">
                  <c:v>2.003937007874016E-5</c:v>
                </c:pt>
                <c:pt idx="41">
                  <c:v>1.9803149606299212E-5</c:v>
                </c:pt>
                <c:pt idx="42">
                  <c:v>1.9606299212598429E-5</c:v>
                </c:pt>
                <c:pt idx="43">
                  <c:v>1.9409448818897635E-5</c:v>
                </c:pt>
                <c:pt idx="44">
                  <c:v>1.9212598425196852E-5</c:v>
                </c:pt>
                <c:pt idx="45">
                  <c:v>1.909448818897638E-5</c:v>
                </c:pt>
                <c:pt idx="46">
                  <c:v>1.8976377952755907E-5</c:v>
                </c:pt>
                <c:pt idx="47">
                  <c:v>1.8976377952755907E-5</c:v>
                </c:pt>
                <c:pt idx="48">
                  <c:v>1.8937007874015752E-5</c:v>
                </c:pt>
                <c:pt idx="49">
                  <c:v>1.8937007874015745E-5</c:v>
                </c:pt>
                <c:pt idx="50">
                  <c:v>1.9015748031496062E-5</c:v>
                </c:pt>
                <c:pt idx="51">
                  <c:v>1.9133858267716542E-5</c:v>
                </c:pt>
                <c:pt idx="52">
                  <c:v>1.9330708661417325E-5</c:v>
                </c:pt>
                <c:pt idx="53">
                  <c:v>1.9527559055118111E-5</c:v>
                </c:pt>
                <c:pt idx="54">
                  <c:v>1.984251968503937E-5</c:v>
                </c:pt>
                <c:pt idx="55">
                  <c:v>2.0236220472440943E-5</c:v>
                </c:pt>
                <c:pt idx="56">
                  <c:v>2.0669291338582678E-5</c:v>
                </c:pt>
                <c:pt idx="57">
                  <c:v>2.12992125984252E-5</c:v>
                </c:pt>
                <c:pt idx="58">
                  <c:v>2.2086614173228346E-5</c:v>
                </c:pt>
                <c:pt idx="59">
                  <c:v>2.2992125984251971E-5</c:v>
                </c:pt>
                <c:pt idx="60">
                  <c:v>2.4094488188976379E-5</c:v>
                </c:pt>
                <c:pt idx="61">
                  <c:v>2.531496062992126E-5</c:v>
                </c:pt>
                <c:pt idx="62">
                  <c:v>2.6732283464566931E-5</c:v>
                </c:pt>
                <c:pt idx="63">
                  <c:v>2.8346456692913385E-5</c:v>
                </c:pt>
                <c:pt idx="64">
                  <c:v>3.0078740157480318E-5</c:v>
                </c:pt>
                <c:pt idx="65">
                  <c:v>3.1732283464566931E-5</c:v>
                </c:pt>
                <c:pt idx="66">
                  <c:v>3.3228346456692919E-5</c:v>
                </c:pt>
                <c:pt idx="67">
                  <c:v>3.4291338582677168E-5</c:v>
                </c:pt>
                <c:pt idx="68">
                  <c:v>3.47244094488189E-5</c:v>
                </c:pt>
                <c:pt idx="69">
                  <c:v>3.4448818897637796E-5</c:v>
                </c:pt>
                <c:pt idx="70">
                  <c:v>3.3543307086614181E-5</c:v>
                </c:pt>
                <c:pt idx="71">
                  <c:v>3.2283464566929138E-5</c:v>
                </c:pt>
                <c:pt idx="72">
                  <c:v>3.0826771653543309E-5</c:v>
                </c:pt>
                <c:pt idx="73">
                  <c:v>2.9488188976377955E-5</c:v>
                </c:pt>
                <c:pt idx="74">
                  <c:v>2.830708661417323E-5</c:v>
                </c:pt>
                <c:pt idx="75">
                  <c:v>2.7283464566929132E-5</c:v>
                </c:pt>
                <c:pt idx="76">
                  <c:v>2.6417322834645672E-5</c:v>
                </c:pt>
                <c:pt idx="77">
                  <c:v>2.5708661417322833E-5</c:v>
                </c:pt>
                <c:pt idx="78">
                  <c:v>2.5157480314960629E-5</c:v>
                </c:pt>
                <c:pt idx="79">
                  <c:v>2.4724409448818897E-5</c:v>
                </c:pt>
                <c:pt idx="80">
                  <c:v>2.437007874015748E-5</c:v>
                </c:pt>
                <c:pt idx="81">
                  <c:v>2.4133858267716538E-5</c:v>
                </c:pt>
                <c:pt idx="82">
                  <c:v>2.397637795275591E-5</c:v>
                </c:pt>
                <c:pt idx="83">
                  <c:v>2.3818897637795276E-5</c:v>
                </c:pt>
                <c:pt idx="84">
                  <c:v>2.3740157480314962E-5</c:v>
                </c:pt>
                <c:pt idx="85">
                  <c:v>2.37007874015748E-5</c:v>
                </c:pt>
                <c:pt idx="86">
                  <c:v>2.37007874015748E-5</c:v>
                </c:pt>
                <c:pt idx="87">
                  <c:v>2.3661417322834651E-5</c:v>
                </c:pt>
                <c:pt idx="88">
                  <c:v>2.3740157480314962E-5</c:v>
                </c:pt>
                <c:pt idx="89">
                  <c:v>2.3779527559055117E-5</c:v>
                </c:pt>
                <c:pt idx="90">
                  <c:v>2.3818897637795279E-5</c:v>
                </c:pt>
                <c:pt idx="91">
                  <c:v>2.3897637795275593E-5</c:v>
                </c:pt>
                <c:pt idx="92">
                  <c:v>2.4015748031496062E-5</c:v>
                </c:pt>
                <c:pt idx="93">
                  <c:v>2.4133858267716538E-5</c:v>
                </c:pt>
                <c:pt idx="94">
                  <c:v>2.4212598425196855E-5</c:v>
                </c:pt>
                <c:pt idx="95">
                  <c:v>2.437007874015748E-5</c:v>
                </c:pt>
                <c:pt idx="96">
                  <c:v>2.4488188976377956E-5</c:v>
                </c:pt>
                <c:pt idx="97">
                  <c:v>2.4606299212598421E-5</c:v>
                </c:pt>
                <c:pt idx="98">
                  <c:v>2.4763779527559056E-5</c:v>
                </c:pt>
                <c:pt idx="99">
                  <c:v>2.4881889763779532E-5</c:v>
                </c:pt>
                <c:pt idx="100">
                  <c:v>2.5000000000000005E-5</c:v>
                </c:pt>
                <c:pt idx="101">
                  <c:v>2.5157480314960629E-5</c:v>
                </c:pt>
                <c:pt idx="102">
                  <c:v>2.531496062992126E-5</c:v>
                </c:pt>
                <c:pt idx="103">
                  <c:v>2.5433070866141736E-5</c:v>
                </c:pt>
                <c:pt idx="104">
                  <c:v>2.5590551181102364E-5</c:v>
                </c:pt>
                <c:pt idx="105">
                  <c:v>2.5708661417322837E-5</c:v>
                </c:pt>
                <c:pt idx="106">
                  <c:v>2.5866141732283468E-5</c:v>
                </c:pt>
                <c:pt idx="107">
                  <c:v>2.5944881889763778E-5</c:v>
                </c:pt>
                <c:pt idx="108">
                  <c:v>2.6102362204724413E-5</c:v>
                </c:pt>
                <c:pt idx="109">
                  <c:v>2.6259842519685044E-5</c:v>
                </c:pt>
                <c:pt idx="110">
                  <c:v>2.6417322834645672E-5</c:v>
                </c:pt>
                <c:pt idx="111">
                  <c:v>2.6574803149606303E-5</c:v>
                </c:pt>
                <c:pt idx="112">
                  <c:v>2.6732283464566931E-5</c:v>
                </c:pt>
                <c:pt idx="113">
                  <c:v>2.6929133858267714E-5</c:v>
                </c:pt>
                <c:pt idx="114">
                  <c:v>2.7165354330708663E-5</c:v>
                </c:pt>
                <c:pt idx="115">
                  <c:v>2.7401574803149608E-5</c:v>
                </c:pt>
                <c:pt idx="116">
                  <c:v>2.7637795275590553E-5</c:v>
                </c:pt>
                <c:pt idx="117">
                  <c:v>2.7913385826771653E-5</c:v>
                </c:pt>
                <c:pt idx="118">
                  <c:v>2.818897637795276E-5</c:v>
                </c:pt>
                <c:pt idx="119">
                  <c:v>2.8503937007874016E-5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5B-4D0D-87FA-7554FA732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232"/>
        <c:axId val="1"/>
      </c:scatterChart>
      <c:valAx>
        <c:axId val="1346360232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5991640750788504"/>
              <c:y val="0.9136711327940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3.3755265885881909E-2"/>
              <c:y val="0.2829743093047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360232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1.5" header="0.75" footer="0.75"/>
    <c:pageSetup orientation="landscape"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Human</a:t>
            </a:r>
            <a:r>
              <a:rPr lang="en-US" sz="1400" b="1" baseline="0"/>
              <a:t> Perception Curve</a:t>
            </a:r>
          </a:p>
          <a:p>
            <a:pPr>
              <a:defRPr/>
            </a:pPr>
            <a:endParaRPr lang="en-US" sz="600" b="1" baseline="0"/>
          </a:p>
          <a:p>
            <a:pPr>
              <a:defRPr/>
            </a:pPr>
            <a:r>
              <a:rPr lang="en-US" sz="1200" b="1" baseline="0">
                <a:solidFill>
                  <a:srgbClr val="FF0000"/>
                </a:solidFill>
              </a:rPr>
              <a:t>Point 3 - SW Corner</a:t>
            </a:r>
            <a:endParaRPr lang="en-US" sz="12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69036276798548"/>
          <c:y val="0.13311664149862262"/>
          <c:w val="0.79580356821014242"/>
          <c:h val="0.75242850741218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43F-43B3-8F84-B8807ADC7967}"/>
              </c:ext>
            </c:extLst>
          </c:dPt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1.4784808479739018E-4</c:v>
                </c:pt>
                <c:pt idx="1">
                  <c:v>1.4784808479739018E-4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3F-43B3-8F84-B8807ADC7967}"/>
            </c:ext>
          </c:extLst>
        </c:ser>
        <c:ser>
          <c:idx val="10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1424</c:v>
                </c:pt>
                <c:pt idx="1">
                  <c:v>1424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3F-43B3-8F84-B8807ADC7967}"/>
            </c:ext>
          </c:extLst>
        </c:ser>
        <c:ser>
          <c:idx val="1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1780</c:v>
                </c:pt>
                <c:pt idx="1">
                  <c:v>1780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3F-43B3-8F84-B8807ADC7967}"/>
            </c:ext>
          </c:extLst>
        </c:ser>
        <c:ser>
          <c:idx val="1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2136</c:v>
                </c:pt>
                <c:pt idx="1">
                  <c:v>2136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43F-43B3-8F84-B8807ADC7967}"/>
            </c:ext>
          </c:extLst>
        </c:ser>
        <c:ser>
          <c:idx val="7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limits!$A$9:$A$12</c:f>
              <c:numCache>
                <c:formatCode>General</c:formatCode>
                <c:ptCount val="4"/>
                <c:pt idx="0">
                  <c:v>100</c:v>
                </c:pt>
                <c:pt idx="1">
                  <c:v>2300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limits!$B$9:$B$12</c:f>
              <c:numCache>
                <c:formatCode>General</c:formatCode>
                <c:ptCount val="4"/>
                <c:pt idx="0">
                  <c:v>0.1</c:v>
                </c:pt>
                <c:pt idx="1">
                  <c:v>5.5000000000000003E-4</c:v>
                </c:pt>
                <c:pt idx="2">
                  <c:v>1.2999999999999999E-4</c:v>
                </c:pt>
                <c:pt idx="3">
                  <c:v>1.45E-5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43F-43B3-8F84-B8807ADC7967}"/>
            </c:ext>
          </c:extLst>
        </c:ser>
        <c:ser>
          <c:idx val="3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limits!$B$4:$B$6</c:f>
              <c:numCache>
                <c:formatCode>General</c:formatCode>
                <c:ptCount val="3"/>
                <c:pt idx="0">
                  <c:v>9.2999999999999992E-3</c:v>
                </c:pt>
                <c:pt idx="1">
                  <c:v>1E-4</c:v>
                </c:pt>
                <c:pt idx="2">
                  <c:v>1.1E-5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43F-43B3-8F84-B8807ADC7967}"/>
            </c:ext>
          </c:extLst>
        </c:ser>
        <c:ser>
          <c:idx val="5"/>
          <c:order val="6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limits!$C$4:$C$6</c:f>
              <c:numCache>
                <c:formatCode>General</c:formatCode>
                <c:ptCount val="3"/>
                <c:pt idx="0">
                  <c:v>3.3E-3</c:v>
                </c:pt>
                <c:pt idx="1">
                  <c:v>3.3000000000000003E-5</c:v>
                </c:pt>
                <c:pt idx="2">
                  <c:v>3.3299999999999999E-6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43F-43B3-8F84-B8807ADC7967}"/>
            </c:ext>
          </c:extLst>
        </c:ser>
        <c:ser>
          <c:idx val="6"/>
          <c:order val="7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limits!$D$4:$D$6</c:f>
              <c:numCache>
                <c:formatCode>General</c:formatCode>
                <c:ptCount val="3"/>
                <c:pt idx="0">
                  <c:v>1.1999999999999999E-3</c:v>
                </c:pt>
                <c:pt idx="1">
                  <c:v>1.0000000000000001E-5</c:v>
                </c:pt>
                <c:pt idx="2">
                  <c:v>8.9999999999999996E-7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43F-43B3-8F84-B8807ADC7967}"/>
            </c:ext>
          </c:extLst>
        </c:ser>
        <c:ser>
          <c:idx val="18"/>
          <c:order val="8"/>
          <c:tx>
            <c:v>X-Translation</c:v>
          </c:tx>
          <c:spPr>
            <a:ln w="1905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P3_UB!$A$7:$A$126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P3_UB!$F$7:$F$126</c:f>
              <c:numCache>
                <c:formatCode>0.00E+00</c:formatCode>
                <c:ptCount val="120"/>
                <c:pt idx="0">
                  <c:v>4.094488188976378E-8</c:v>
                </c:pt>
                <c:pt idx="1">
                  <c:v>1.5893700787401575E-7</c:v>
                </c:pt>
                <c:pt idx="2">
                  <c:v>3.5708661417322843E-7</c:v>
                </c:pt>
                <c:pt idx="3">
                  <c:v>6.5078740157480314E-7</c:v>
                </c:pt>
                <c:pt idx="4">
                  <c:v>1.0255905511811023E-6</c:v>
                </c:pt>
                <c:pt idx="5">
                  <c:v>1.5062992125984254E-6</c:v>
                </c:pt>
                <c:pt idx="6">
                  <c:v>2.098425196850394E-6</c:v>
                </c:pt>
                <c:pt idx="7">
                  <c:v>2.8228346456692912E-6</c:v>
                </c:pt>
                <c:pt idx="8">
                  <c:v>3.7007874015748031E-6</c:v>
                </c:pt>
                <c:pt idx="9">
                  <c:v>4.775590551181103E-6</c:v>
                </c:pt>
                <c:pt idx="10">
                  <c:v>6.0708661417322834E-6</c:v>
                </c:pt>
                <c:pt idx="11">
                  <c:v>7.665354330708663E-6</c:v>
                </c:pt>
                <c:pt idx="12">
                  <c:v>9.468503937007876E-6</c:v>
                </c:pt>
                <c:pt idx="13">
                  <c:v>1.1393700787401578E-5</c:v>
                </c:pt>
                <c:pt idx="14">
                  <c:v>1.3267716535433072E-5</c:v>
                </c:pt>
                <c:pt idx="15">
                  <c:v>1.4960629921259842E-5</c:v>
                </c:pt>
                <c:pt idx="16">
                  <c:v>1.6771653543307087E-5</c:v>
                </c:pt>
                <c:pt idx="17">
                  <c:v>1.8582677165354331E-5</c:v>
                </c:pt>
                <c:pt idx="18">
                  <c:v>2.0551181102362206E-5</c:v>
                </c:pt>
                <c:pt idx="19">
                  <c:v>2.2716535433070864E-5</c:v>
                </c:pt>
                <c:pt idx="20">
                  <c:v>2.4999999999999998E-5</c:v>
                </c:pt>
                <c:pt idx="21">
                  <c:v>2.7480314960629925E-5</c:v>
                </c:pt>
                <c:pt idx="22">
                  <c:v>3.0196850393700787E-5</c:v>
                </c:pt>
                <c:pt idx="23">
                  <c:v>3.3216535433070868E-5</c:v>
                </c:pt>
                <c:pt idx="24">
                  <c:v>3.6570866141732288E-5</c:v>
                </c:pt>
                <c:pt idx="25">
                  <c:v>4.0267716535433071E-5</c:v>
                </c:pt>
                <c:pt idx="26">
                  <c:v>4.4196850393700785E-5</c:v>
                </c:pt>
                <c:pt idx="27">
                  <c:v>4.8708661417322837E-5</c:v>
                </c:pt>
                <c:pt idx="28">
                  <c:v>5.324015748031496E-5</c:v>
                </c:pt>
                <c:pt idx="29">
                  <c:v>5.7401574803149605E-5</c:v>
                </c:pt>
                <c:pt idx="30">
                  <c:v>6.1960629921259844E-5</c:v>
                </c:pt>
                <c:pt idx="31">
                  <c:v>6.5358267716535443E-5</c:v>
                </c:pt>
                <c:pt idx="32">
                  <c:v>6.8385826771653543E-5</c:v>
                </c:pt>
                <c:pt idx="33">
                  <c:v>7.0637795275590548E-5</c:v>
                </c:pt>
                <c:pt idx="34">
                  <c:v>7.1716535433070862E-5</c:v>
                </c:pt>
                <c:pt idx="35">
                  <c:v>7.1228346456692914E-5</c:v>
                </c:pt>
                <c:pt idx="36">
                  <c:v>7.1145669291338589E-5</c:v>
                </c:pt>
                <c:pt idx="37">
                  <c:v>7.067716535433072E-5</c:v>
                </c:pt>
                <c:pt idx="38">
                  <c:v>7.0614173228346461E-5</c:v>
                </c:pt>
                <c:pt idx="39">
                  <c:v>7.0559055118110244E-5</c:v>
                </c:pt>
                <c:pt idx="40">
                  <c:v>7.0905511811023629E-5</c:v>
                </c:pt>
                <c:pt idx="41">
                  <c:v>7.2047244094488189E-5</c:v>
                </c:pt>
                <c:pt idx="42">
                  <c:v>7.3196850393700792E-5</c:v>
                </c:pt>
                <c:pt idx="43">
                  <c:v>7.5133858267716527E-5</c:v>
                </c:pt>
                <c:pt idx="44">
                  <c:v>7.7472440944881892E-5</c:v>
                </c:pt>
                <c:pt idx="45">
                  <c:v>8.0204724409448815E-5</c:v>
                </c:pt>
                <c:pt idx="46">
                  <c:v>8.2937007874015739E-5</c:v>
                </c:pt>
                <c:pt idx="47">
                  <c:v>8.5669291338582676E-5</c:v>
                </c:pt>
                <c:pt idx="48">
                  <c:v>8.84015748031496E-5</c:v>
                </c:pt>
                <c:pt idx="49">
                  <c:v>9.113385826771655E-5</c:v>
                </c:pt>
                <c:pt idx="50">
                  <c:v>9.3472440944881888E-5</c:v>
                </c:pt>
                <c:pt idx="51">
                  <c:v>9.5814960629921246E-5</c:v>
                </c:pt>
                <c:pt idx="52">
                  <c:v>9.7377952755905501E-5</c:v>
                </c:pt>
                <c:pt idx="53">
                  <c:v>9.8952755905511806E-5</c:v>
                </c:pt>
                <c:pt idx="54">
                  <c:v>1.0015354330708662E-4</c:v>
                </c:pt>
                <c:pt idx="55">
                  <c:v>1.0098031496062992E-4</c:v>
                </c:pt>
                <c:pt idx="56">
                  <c:v>1.0182677165354331E-4</c:v>
                </c:pt>
                <c:pt idx="57">
                  <c:v>1.022992125984252E-4</c:v>
                </c:pt>
                <c:pt idx="58">
                  <c:v>1.0239763779527558E-4</c:v>
                </c:pt>
                <c:pt idx="59">
                  <c:v>1.0251181102362205E-4</c:v>
                </c:pt>
                <c:pt idx="60">
                  <c:v>1.0263385826771655E-4</c:v>
                </c:pt>
                <c:pt idx="61">
                  <c:v>1.027716535433071E-4</c:v>
                </c:pt>
                <c:pt idx="62">
                  <c:v>1.0252755905511812E-4</c:v>
                </c:pt>
                <c:pt idx="63">
                  <c:v>1.0229133858267718E-4</c:v>
                </c:pt>
                <c:pt idx="64">
                  <c:v>1.0244881889763782E-4</c:v>
                </c:pt>
                <c:pt idx="65">
                  <c:v>1.022007874015748E-4</c:v>
                </c:pt>
                <c:pt idx="66">
                  <c:v>1.0192913385826772E-4</c:v>
                </c:pt>
                <c:pt idx="67">
                  <c:v>1.0161023622047245E-4</c:v>
                </c:pt>
                <c:pt idx="68">
                  <c:v>1.01244094488189E-4</c:v>
                </c:pt>
                <c:pt idx="69">
                  <c:v>1.0083070866141733E-4</c:v>
                </c:pt>
                <c:pt idx="70">
                  <c:v>1.0038188976377953E-4</c:v>
                </c:pt>
                <c:pt idx="71">
                  <c:v>9.991732283464568E-5</c:v>
                </c:pt>
                <c:pt idx="72">
                  <c:v>9.944488188976379E-5</c:v>
                </c:pt>
                <c:pt idx="73">
                  <c:v>9.8972440944881913E-5</c:v>
                </c:pt>
                <c:pt idx="74">
                  <c:v>9.8511811023622059E-5</c:v>
                </c:pt>
                <c:pt idx="75">
                  <c:v>9.8055118110236227E-5</c:v>
                </c:pt>
                <c:pt idx="76">
                  <c:v>9.7610236220472459E-5</c:v>
                </c:pt>
                <c:pt idx="77">
                  <c:v>9.7173228346456692E-5</c:v>
                </c:pt>
                <c:pt idx="78">
                  <c:v>9.7137795275590555E-5</c:v>
                </c:pt>
                <c:pt idx="79">
                  <c:v>9.6708661417322845E-5</c:v>
                </c:pt>
                <c:pt idx="80">
                  <c:v>9.6283464566929142E-5</c:v>
                </c:pt>
                <c:pt idx="81">
                  <c:v>9.5862204724409461E-5</c:v>
                </c:pt>
                <c:pt idx="82">
                  <c:v>9.5830708661417331E-5</c:v>
                </c:pt>
                <c:pt idx="83">
                  <c:v>9.5401574803149607E-5</c:v>
                </c:pt>
                <c:pt idx="84">
                  <c:v>9.4976377952755905E-5</c:v>
                </c:pt>
                <c:pt idx="85">
                  <c:v>9.4551181102362202E-5</c:v>
                </c:pt>
                <c:pt idx="86">
                  <c:v>9.4519685039370072E-5</c:v>
                </c:pt>
                <c:pt idx="87">
                  <c:v>9.4094488188976397E-5</c:v>
                </c:pt>
                <c:pt idx="88">
                  <c:v>9.3673228346456716E-5</c:v>
                </c:pt>
                <c:pt idx="89">
                  <c:v>9.3649606299212601E-5</c:v>
                </c:pt>
                <c:pt idx="90">
                  <c:v>9.3232283464566941E-5</c:v>
                </c:pt>
                <c:pt idx="91">
                  <c:v>9.3216535433070883E-5</c:v>
                </c:pt>
                <c:pt idx="92">
                  <c:v>9.2807086614173225E-5</c:v>
                </c:pt>
                <c:pt idx="93">
                  <c:v>9.2791338582677167E-5</c:v>
                </c:pt>
                <c:pt idx="94">
                  <c:v>9.2385826771653544E-5</c:v>
                </c:pt>
                <c:pt idx="95">
                  <c:v>9.2377952755905529E-5</c:v>
                </c:pt>
                <c:pt idx="96">
                  <c:v>9.1976377952755913E-5</c:v>
                </c:pt>
                <c:pt idx="97">
                  <c:v>9.1964566929133863E-5</c:v>
                </c:pt>
                <c:pt idx="98">
                  <c:v>9.1956692913385834E-5</c:v>
                </c:pt>
                <c:pt idx="99">
                  <c:v>9.155118110236221E-5</c:v>
                </c:pt>
                <c:pt idx="100">
                  <c:v>9.1543307086614195E-5</c:v>
                </c:pt>
                <c:pt idx="101">
                  <c:v>9.1531496062992131E-5</c:v>
                </c:pt>
                <c:pt idx="102">
                  <c:v>9.1125984251968521E-5</c:v>
                </c:pt>
                <c:pt idx="103">
                  <c:v>9.1114173228346458E-5</c:v>
                </c:pt>
                <c:pt idx="104">
                  <c:v>9.1102362204724421E-5</c:v>
                </c:pt>
                <c:pt idx="105">
                  <c:v>9.1090551181102384E-5</c:v>
                </c:pt>
                <c:pt idx="106">
                  <c:v>9.1074803149606312E-5</c:v>
                </c:pt>
                <c:pt idx="107">
                  <c:v>9.1062992125984249E-5</c:v>
                </c:pt>
                <c:pt idx="108">
                  <c:v>9.0657480314960639E-5</c:v>
                </c:pt>
                <c:pt idx="109">
                  <c:v>9.0645669291338575E-5</c:v>
                </c:pt>
                <c:pt idx="110">
                  <c:v>9.0629921259842517E-5</c:v>
                </c:pt>
                <c:pt idx="111">
                  <c:v>9.0618110236220467E-5</c:v>
                </c:pt>
                <c:pt idx="112">
                  <c:v>9.060629921259843E-5</c:v>
                </c:pt>
                <c:pt idx="113">
                  <c:v>9.059448818897638E-5</c:v>
                </c:pt>
                <c:pt idx="114">
                  <c:v>9.0582677165354329E-5</c:v>
                </c:pt>
                <c:pt idx="115">
                  <c:v>9.0570866141732293E-5</c:v>
                </c:pt>
                <c:pt idx="116">
                  <c:v>9.0559055118110242E-5</c:v>
                </c:pt>
                <c:pt idx="117">
                  <c:v>9.0157480314960627E-5</c:v>
                </c:pt>
                <c:pt idx="118">
                  <c:v>9.014566929133859E-5</c:v>
                </c:pt>
                <c:pt idx="119">
                  <c:v>9.0137795275590547E-5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43F-43B3-8F84-B8807ADC7967}"/>
            </c:ext>
          </c:extLst>
        </c:ser>
        <c:ser>
          <c:idx val="21"/>
          <c:order val="9"/>
          <c:tx>
            <c:v>Y-Translation</c:v>
          </c:tx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P3_UB!$A$7:$A$126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P3_UB!$G$7:$G$126</c:f>
              <c:numCache>
                <c:formatCode>0.00E+00</c:formatCode>
                <c:ptCount val="120"/>
                <c:pt idx="0">
                  <c:v>5.3740157480314962E-9</c:v>
                </c:pt>
                <c:pt idx="1">
                  <c:v>2.082677165354331E-8</c:v>
                </c:pt>
                <c:pt idx="2">
                  <c:v>4.6771653543307091E-8</c:v>
                </c:pt>
                <c:pt idx="3">
                  <c:v>8.5551181102362202E-8</c:v>
                </c:pt>
                <c:pt idx="4">
                  <c:v>1.3543307086614175E-7</c:v>
                </c:pt>
                <c:pt idx="5">
                  <c:v>1.9960629921259843E-7</c:v>
                </c:pt>
                <c:pt idx="6">
                  <c:v>2.7716535433070868E-7</c:v>
                </c:pt>
                <c:pt idx="7">
                  <c:v>3.7086614173228345E-7</c:v>
                </c:pt>
                <c:pt idx="8">
                  <c:v>4.8228346456692918E-7</c:v>
                </c:pt>
                <c:pt idx="9">
                  <c:v>6.1299212598425198E-7</c:v>
                </c:pt>
                <c:pt idx="10">
                  <c:v>7.614173228346458E-7</c:v>
                </c:pt>
                <c:pt idx="11">
                  <c:v>9.2637795275590554E-7</c:v>
                </c:pt>
                <c:pt idx="12">
                  <c:v>1.1062992125984252E-6</c:v>
                </c:pt>
                <c:pt idx="13">
                  <c:v>1.2834645669291338E-6</c:v>
                </c:pt>
                <c:pt idx="14">
                  <c:v>1.4645669291338584E-6</c:v>
                </c:pt>
                <c:pt idx="15">
                  <c:v>1.6732283464566931E-6</c:v>
                </c:pt>
                <c:pt idx="16">
                  <c:v>1.9212598425196851E-6</c:v>
                </c:pt>
                <c:pt idx="17">
                  <c:v>2.2165354330708661E-6</c:v>
                </c:pt>
                <c:pt idx="18">
                  <c:v>2.5511811023622049E-6</c:v>
                </c:pt>
                <c:pt idx="19">
                  <c:v>2.8976377952755906E-6</c:v>
                </c:pt>
                <c:pt idx="20">
                  <c:v>3.2362204724409452E-6</c:v>
                </c:pt>
                <c:pt idx="21">
                  <c:v>3.5472440944881889E-6</c:v>
                </c:pt>
                <c:pt idx="22">
                  <c:v>3.8188976377952765E-6</c:v>
                </c:pt>
                <c:pt idx="23">
                  <c:v>4.0590551181102361E-6</c:v>
                </c:pt>
                <c:pt idx="24">
                  <c:v>4.2795275590551181E-6</c:v>
                </c:pt>
                <c:pt idx="25">
                  <c:v>4.4763779527559054E-6</c:v>
                </c:pt>
                <c:pt idx="26">
                  <c:v>4.6574803149606296E-6</c:v>
                </c:pt>
                <c:pt idx="27">
                  <c:v>4.8188976377952771E-6</c:v>
                </c:pt>
                <c:pt idx="28">
                  <c:v>4.9685039370078742E-6</c:v>
                </c:pt>
                <c:pt idx="29">
                  <c:v>5.1062992125984261E-6</c:v>
                </c:pt>
                <c:pt idx="30">
                  <c:v>5.24015748031496E-6</c:v>
                </c:pt>
                <c:pt idx="31">
                  <c:v>5.3858267716535443E-6</c:v>
                </c:pt>
                <c:pt idx="32">
                  <c:v>5.5669291338582685E-6</c:v>
                </c:pt>
                <c:pt idx="33">
                  <c:v>5.8228346456692913E-6</c:v>
                </c:pt>
                <c:pt idx="34">
                  <c:v>6.1220472440944881E-6</c:v>
                </c:pt>
                <c:pt idx="35">
                  <c:v>6.6968503937007886E-6</c:v>
                </c:pt>
                <c:pt idx="36">
                  <c:v>7.2322834645669305E-6</c:v>
                </c:pt>
                <c:pt idx="37">
                  <c:v>7.9251968503937019E-6</c:v>
                </c:pt>
                <c:pt idx="38">
                  <c:v>8.6968503937007881E-6</c:v>
                </c:pt>
                <c:pt idx="39">
                  <c:v>9.5511811023622061E-6</c:v>
                </c:pt>
                <c:pt idx="40">
                  <c:v>1.0484251968503938E-5</c:v>
                </c:pt>
                <c:pt idx="41">
                  <c:v>1.1456692913385827E-5</c:v>
                </c:pt>
                <c:pt idx="42">
                  <c:v>1.2511811023622049E-5</c:v>
                </c:pt>
                <c:pt idx="43">
                  <c:v>1.356692913385827E-5</c:v>
                </c:pt>
                <c:pt idx="44">
                  <c:v>1.4657480314960631E-5</c:v>
                </c:pt>
                <c:pt idx="45">
                  <c:v>1.5708661417322834E-5</c:v>
                </c:pt>
                <c:pt idx="46">
                  <c:v>1.6720472440944885E-5</c:v>
                </c:pt>
                <c:pt idx="47">
                  <c:v>1.7732283464566929E-5</c:v>
                </c:pt>
                <c:pt idx="48">
                  <c:v>1.862204724409449E-5</c:v>
                </c:pt>
                <c:pt idx="49">
                  <c:v>1.9389763779527563E-5</c:v>
                </c:pt>
                <c:pt idx="50">
                  <c:v>2.0078740157480319E-5</c:v>
                </c:pt>
                <c:pt idx="51">
                  <c:v>2.0681102362204725E-5</c:v>
                </c:pt>
                <c:pt idx="52">
                  <c:v>2.1165354330708666E-5</c:v>
                </c:pt>
                <c:pt idx="53">
                  <c:v>2.1531496062992127E-5</c:v>
                </c:pt>
                <c:pt idx="54">
                  <c:v>2.181496062992126E-5</c:v>
                </c:pt>
                <c:pt idx="55">
                  <c:v>2.2019685039370082E-5</c:v>
                </c:pt>
                <c:pt idx="56">
                  <c:v>2.2145669291338587E-5</c:v>
                </c:pt>
                <c:pt idx="57">
                  <c:v>2.2196850393700789E-5</c:v>
                </c:pt>
                <c:pt idx="58">
                  <c:v>2.2216535433070869E-5</c:v>
                </c:pt>
                <c:pt idx="59">
                  <c:v>2.2236220472440945E-5</c:v>
                </c:pt>
                <c:pt idx="60">
                  <c:v>2.2185039370078746E-5</c:v>
                </c:pt>
                <c:pt idx="61">
                  <c:v>2.2133858267716537E-5</c:v>
                </c:pt>
                <c:pt idx="62">
                  <c:v>2.2047244094488194E-5</c:v>
                </c:pt>
                <c:pt idx="63">
                  <c:v>2.1952755905511812E-5</c:v>
                </c:pt>
                <c:pt idx="64">
                  <c:v>2.1850393700787404E-5</c:v>
                </c:pt>
                <c:pt idx="65">
                  <c:v>2.1736220472440943E-5</c:v>
                </c:pt>
                <c:pt idx="66">
                  <c:v>2.1614173228346455E-5</c:v>
                </c:pt>
                <c:pt idx="67">
                  <c:v>2.1460629921259842E-5</c:v>
                </c:pt>
                <c:pt idx="68">
                  <c:v>2.1374015748031499E-5</c:v>
                </c:pt>
                <c:pt idx="69">
                  <c:v>2.1314960629921261E-5</c:v>
                </c:pt>
                <c:pt idx="70">
                  <c:v>2.1240157480314958E-5</c:v>
                </c:pt>
                <c:pt idx="71">
                  <c:v>2.1181102362204727E-5</c:v>
                </c:pt>
                <c:pt idx="72">
                  <c:v>2.1161417322834648E-5</c:v>
                </c:pt>
                <c:pt idx="73">
                  <c:v>2.1094488188976381E-5</c:v>
                </c:pt>
                <c:pt idx="74">
                  <c:v>2.1055118110236226E-5</c:v>
                </c:pt>
                <c:pt idx="75">
                  <c:v>2.1011811023622049E-5</c:v>
                </c:pt>
                <c:pt idx="76">
                  <c:v>2.0964566929133858E-5</c:v>
                </c:pt>
                <c:pt idx="77">
                  <c:v>2.0909448818897638E-5</c:v>
                </c:pt>
                <c:pt idx="78">
                  <c:v>2.08503937007874E-5</c:v>
                </c:pt>
                <c:pt idx="79">
                  <c:v>2.082677165354331E-5</c:v>
                </c:pt>
                <c:pt idx="80">
                  <c:v>2.0763779527559054E-5</c:v>
                </c:pt>
                <c:pt idx="81">
                  <c:v>2.069685039370079E-5</c:v>
                </c:pt>
                <c:pt idx="82">
                  <c:v>2.066535433070866E-5</c:v>
                </c:pt>
                <c:pt idx="83">
                  <c:v>2.0590551181102364E-5</c:v>
                </c:pt>
                <c:pt idx="84">
                  <c:v>2.0551181102362206E-5</c:v>
                </c:pt>
                <c:pt idx="85">
                  <c:v>2.0476377952755906E-5</c:v>
                </c:pt>
                <c:pt idx="86">
                  <c:v>2.0397637795275589E-5</c:v>
                </c:pt>
                <c:pt idx="87">
                  <c:v>2.0354330708661419E-5</c:v>
                </c:pt>
                <c:pt idx="88">
                  <c:v>2.0275590551181105E-5</c:v>
                </c:pt>
                <c:pt idx="89">
                  <c:v>2.0232283464566929E-5</c:v>
                </c:pt>
                <c:pt idx="90">
                  <c:v>2.0153543307086615E-5</c:v>
                </c:pt>
                <c:pt idx="91">
                  <c:v>2.0110236220472438E-5</c:v>
                </c:pt>
                <c:pt idx="92">
                  <c:v>2.0070866141732283E-5</c:v>
                </c:pt>
                <c:pt idx="93">
                  <c:v>2.002755905511811E-5</c:v>
                </c:pt>
                <c:pt idx="94">
                  <c:v>1.9988188976377955E-5</c:v>
                </c:pt>
                <c:pt idx="95">
                  <c:v>1.9948818897637793E-5</c:v>
                </c:pt>
                <c:pt idx="96">
                  <c:v>1.990551181102362E-5</c:v>
                </c:pt>
                <c:pt idx="97">
                  <c:v>1.9866141732283468E-5</c:v>
                </c:pt>
                <c:pt idx="98">
                  <c:v>1.9866141732283468E-5</c:v>
                </c:pt>
                <c:pt idx="99">
                  <c:v>1.9826771653543309E-5</c:v>
                </c:pt>
                <c:pt idx="100">
                  <c:v>1.9783464566929132E-5</c:v>
                </c:pt>
                <c:pt idx="101">
                  <c:v>1.9783464566929132E-5</c:v>
                </c:pt>
                <c:pt idx="102">
                  <c:v>1.9740157480314959E-5</c:v>
                </c:pt>
                <c:pt idx="103">
                  <c:v>1.9740157480314959E-5</c:v>
                </c:pt>
                <c:pt idx="104">
                  <c:v>1.9740157480314959E-5</c:v>
                </c:pt>
                <c:pt idx="105">
                  <c:v>1.9696850393700786E-5</c:v>
                </c:pt>
                <c:pt idx="106">
                  <c:v>1.9692913385826775E-5</c:v>
                </c:pt>
                <c:pt idx="107">
                  <c:v>1.9692913385826775E-5</c:v>
                </c:pt>
                <c:pt idx="108">
                  <c:v>1.9649606299212602E-5</c:v>
                </c:pt>
                <c:pt idx="109">
                  <c:v>1.9645669291338584E-5</c:v>
                </c:pt>
                <c:pt idx="110">
                  <c:v>1.9606299212598429E-5</c:v>
                </c:pt>
                <c:pt idx="111">
                  <c:v>1.9602362204724411E-5</c:v>
                </c:pt>
                <c:pt idx="112">
                  <c:v>1.9559055118110234E-5</c:v>
                </c:pt>
                <c:pt idx="113">
                  <c:v>1.955511811023622E-5</c:v>
                </c:pt>
                <c:pt idx="114">
                  <c:v>1.951181102362205E-5</c:v>
                </c:pt>
                <c:pt idx="115">
                  <c:v>1.9468503937007877E-5</c:v>
                </c:pt>
                <c:pt idx="116">
                  <c:v>1.94251968503937E-5</c:v>
                </c:pt>
                <c:pt idx="117">
                  <c:v>1.9385826771653545E-5</c:v>
                </c:pt>
                <c:pt idx="118">
                  <c:v>1.9342519685039368E-5</c:v>
                </c:pt>
                <c:pt idx="119">
                  <c:v>1.925984251968504E-5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43F-43B3-8F84-B8807ADC7967}"/>
            </c:ext>
          </c:extLst>
        </c:ser>
        <c:ser>
          <c:idx val="22"/>
          <c:order val="10"/>
          <c:tx>
            <c:v>Z-Translation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P3_UB!$A$7:$A$126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P3_UB!$H$7:$H$126</c:f>
              <c:numCache>
                <c:formatCode>0.00E+00</c:formatCode>
                <c:ptCount val="120"/>
                <c:pt idx="0">
                  <c:v>1.1771653543307087E-8</c:v>
                </c:pt>
                <c:pt idx="1">
                  <c:v>4.736220472440946E-8</c:v>
                </c:pt>
                <c:pt idx="2">
                  <c:v>1.070472440944882E-7</c:v>
                </c:pt>
                <c:pt idx="3">
                  <c:v>1.9055118110236223E-7</c:v>
                </c:pt>
                <c:pt idx="4">
                  <c:v>3.0078740157480321E-7</c:v>
                </c:pt>
                <c:pt idx="5">
                  <c:v>4.3937007874015741E-7</c:v>
                </c:pt>
                <c:pt idx="6">
                  <c:v>6.1023622047244098E-7</c:v>
                </c:pt>
                <c:pt idx="7">
                  <c:v>8.1692913385826776E-7</c:v>
                </c:pt>
                <c:pt idx="8">
                  <c:v>1.0708661417322834E-6</c:v>
                </c:pt>
                <c:pt idx="9">
                  <c:v>1.3858267716535433E-6</c:v>
                </c:pt>
                <c:pt idx="10">
                  <c:v>1.7755905511811023E-6</c:v>
                </c:pt>
                <c:pt idx="11">
                  <c:v>2.2440944881889762E-6</c:v>
                </c:pt>
                <c:pt idx="12">
                  <c:v>2.7992125984251965E-6</c:v>
                </c:pt>
                <c:pt idx="13">
                  <c:v>3.3582677165354331E-6</c:v>
                </c:pt>
                <c:pt idx="14">
                  <c:v>3.8425196850393703E-6</c:v>
                </c:pt>
                <c:pt idx="15">
                  <c:v>4.2716535433070865E-6</c:v>
                </c:pt>
                <c:pt idx="16">
                  <c:v>4.6692913385826774E-6</c:v>
                </c:pt>
                <c:pt idx="17">
                  <c:v>5.0787401574803152E-6</c:v>
                </c:pt>
                <c:pt idx="18">
                  <c:v>5.5275590551181116E-6</c:v>
                </c:pt>
                <c:pt idx="19">
                  <c:v>6.0314960629921255E-6</c:v>
                </c:pt>
                <c:pt idx="20">
                  <c:v>6.5866141732283468E-6</c:v>
                </c:pt>
                <c:pt idx="21">
                  <c:v>7.2519685039370098E-6</c:v>
                </c:pt>
                <c:pt idx="22">
                  <c:v>7.9724409448818896E-6</c:v>
                </c:pt>
                <c:pt idx="23">
                  <c:v>8.8228346456692914E-6</c:v>
                </c:pt>
                <c:pt idx="24">
                  <c:v>9.7244094488189004E-6</c:v>
                </c:pt>
                <c:pt idx="25">
                  <c:v>1.0755905511811024E-5</c:v>
                </c:pt>
                <c:pt idx="26">
                  <c:v>1.1913385826771654E-5</c:v>
                </c:pt>
                <c:pt idx="27">
                  <c:v>1.3118110236220472E-5</c:v>
                </c:pt>
                <c:pt idx="28">
                  <c:v>1.4370078740157481E-5</c:v>
                </c:pt>
                <c:pt idx="29">
                  <c:v>1.5708661417322834E-5</c:v>
                </c:pt>
                <c:pt idx="30">
                  <c:v>1.6976377952755906E-5</c:v>
                </c:pt>
                <c:pt idx="31">
                  <c:v>1.8165354330708664E-5</c:v>
                </c:pt>
                <c:pt idx="32">
                  <c:v>1.9165354330708665E-5</c:v>
                </c:pt>
                <c:pt idx="33">
                  <c:v>1.9925196850393702E-5</c:v>
                </c:pt>
                <c:pt idx="34">
                  <c:v>2.0413385826771654E-5</c:v>
                </c:pt>
                <c:pt idx="35">
                  <c:v>2.0507874015748029E-5</c:v>
                </c:pt>
                <c:pt idx="36">
                  <c:v>2.0637795275590549E-5</c:v>
                </c:pt>
                <c:pt idx="37">
                  <c:v>2.0551181102362206E-5</c:v>
                </c:pt>
                <c:pt idx="38">
                  <c:v>2.0472440944881889E-5</c:v>
                </c:pt>
                <c:pt idx="39">
                  <c:v>2.0236220472440943E-5</c:v>
                </c:pt>
                <c:pt idx="40">
                  <c:v>2.003937007874016E-5</c:v>
                </c:pt>
                <c:pt idx="41">
                  <c:v>1.9803149606299212E-5</c:v>
                </c:pt>
                <c:pt idx="42">
                  <c:v>1.9606299212598429E-5</c:v>
                </c:pt>
                <c:pt idx="43">
                  <c:v>1.9409448818897635E-5</c:v>
                </c:pt>
                <c:pt idx="44">
                  <c:v>1.9212598425196852E-5</c:v>
                </c:pt>
                <c:pt idx="45">
                  <c:v>1.909448818897638E-5</c:v>
                </c:pt>
                <c:pt idx="46">
                  <c:v>1.8976377952755907E-5</c:v>
                </c:pt>
                <c:pt idx="47">
                  <c:v>1.8976377952755907E-5</c:v>
                </c:pt>
                <c:pt idx="48">
                  <c:v>1.8937007874015752E-5</c:v>
                </c:pt>
                <c:pt idx="49">
                  <c:v>1.8937007874015745E-5</c:v>
                </c:pt>
                <c:pt idx="50">
                  <c:v>1.9015748031496062E-5</c:v>
                </c:pt>
                <c:pt idx="51">
                  <c:v>1.9133858267716542E-5</c:v>
                </c:pt>
                <c:pt idx="52">
                  <c:v>1.9330708661417325E-5</c:v>
                </c:pt>
                <c:pt idx="53">
                  <c:v>1.9527559055118111E-5</c:v>
                </c:pt>
                <c:pt idx="54">
                  <c:v>1.984251968503937E-5</c:v>
                </c:pt>
                <c:pt idx="55">
                  <c:v>2.0236220472440943E-5</c:v>
                </c:pt>
                <c:pt idx="56">
                  <c:v>2.0669291338582678E-5</c:v>
                </c:pt>
                <c:pt idx="57">
                  <c:v>2.12992125984252E-5</c:v>
                </c:pt>
                <c:pt idx="58">
                  <c:v>2.2086614173228346E-5</c:v>
                </c:pt>
                <c:pt idx="59">
                  <c:v>2.2992125984251971E-5</c:v>
                </c:pt>
                <c:pt idx="60">
                  <c:v>2.4094488188976379E-5</c:v>
                </c:pt>
                <c:pt idx="61">
                  <c:v>2.531496062992126E-5</c:v>
                </c:pt>
                <c:pt idx="62">
                  <c:v>2.6732283464566931E-5</c:v>
                </c:pt>
                <c:pt idx="63">
                  <c:v>2.8346456692913385E-5</c:v>
                </c:pt>
                <c:pt idx="64">
                  <c:v>3.0078740157480318E-5</c:v>
                </c:pt>
                <c:pt idx="65">
                  <c:v>3.1732283464566931E-5</c:v>
                </c:pt>
                <c:pt idx="66">
                  <c:v>3.3228346456692919E-5</c:v>
                </c:pt>
                <c:pt idx="67">
                  <c:v>3.4291338582677168E-5</c:v>
                </c:pt>
                <c:pt idx="68">
                  <c:v>3.47244094488189E-5</c:v>
                </c:pt>
                <c:pt idx="69">
                  <c:v>3.4448818897637796E-5</c:v>
                </c:pt>
                <c:pt idx="70">
                  <c:v>3.3543307086614181E-5</c:v>
                </c:pt>
                <c:pt idx="71">
                  <c:v>3.2283464566929138E-5</c:v>
                </c:pt>
                <c:pt idx="72">
                  <c:v>3.0826771653543309E-5</c:v>
                </c:pt>
                <c:pt idx="73">
                  <c:v>2.9488188976377955E-5</c:v>
                </c:pt>
                <c:pt idx="74">
                  <c:v>2.830708661417323E-5</c:v>
                </c:pt>
                <c:pt idx="75">
                  <c:v>2.7283464566929132E-5</c:v>
                </c:pt>
                <c:pt idx="76">
                  <c:v>2.6417322834645672E-5</c:v>
                </c:pt>
                <c:pt idx="77">
                  <c:v>2.5708661417322833E-5</c:v>
                </c:pt>
                <c:pt idx="78">
                  <c:v>2.5157480314960629E-5</c:v>
                </c:pt>
                <c:pt idx="79">
                  <c:v>2.4724409448818897E-5</c:v>
                </c:pt>
                <c:pt idx="80">
                  <c:v>2.437007874015748E-5</c:v>
                </c:pt>
                <c:pt idx="81">
                  <c:v>2.4133858267716538E-5</c:v>
                </c:pt>
                <c:pt idx="82">
                  <c:v>2.397637795275591E-5</c:v>
                </c:pt>
                <c:pt idx="83">
                  <c:v>2.3818897637795276E-5</c:v>
                </c:pt>
                <c:pt idx="84">
                  <c:v>2.3740157480314962E-5</c:v>
                </c:pt>
                <c:pt idx="85">
                  <c:v>2.37007874015748E-5</c:v>
                </c:pt>
                <c:pt idx="86">
                  <c:v>2.37007874015748E-5</c:v>
                </c:pt>
                <c:pt idx="87">
                  <c:v>2.3661417322834651E-5</c:v>
                </c:pt>
                <c:pt idx="88">
                  <c:v>2.3740157480314962E-5</c:v>
                </c:pt>
                <c:pt idx="89">
                  <c:v>2.3779527559055117E-5</c:v>
                </c:pt>
                <c:pt idx="90">
                  <c:v>2.3818897637795279E-5</c:v>
                </c:pt>
                <c:pt idx="91">
                  <c:v>2.3897637795275593E-5</c:v>
                </c:pt>
                <c:pt idx="92">
                  <c:v>2.4015748031496062E-5</c:v>
                </c:pt>
                <c:pt idx="93">
                  <c:v>2.4133858267716538E-5</c:v>
                </c:pt>
                <c:pt idx="94">
                  <c:v>2.4212598425196855E-5</c:v>
                </c:pt>
                <c:pt idx="95">
                  <c:v>2.437007874015748E-5</c:v>
                </c:pt>
                <c:pt idx="96">
                  <c:v>2.4488188976377956E-5</c:v>
                </c:pt>
                <c:pt idx="97">
                  <c:v>2.4606299212598421E-5</c:v>
                </c:pt>
                <c:pt idx="98">
                  <c:v>2.4763779527559056E-5</c:v>
                </c:pt>
                <c:pt idx="99">
                  <c:v>2.4881889763779532E-5</c:v>
                </c:pt>
                <c:pt idx="100">
                  <c:v>2.5000000000000005E-5</c:v>
                </c:pt>
                <c:pt idx="101">
                  <c:v>2.5157480314960629E-5</c:v>
                </c:pt>
                <c:pt idx="102">
                  <c:v>2.531496062992126E-5</c:v>
                </c:pt>
                <c:pt idx="103">
                  <c:v>2.5433070866141736E-5</c:v>
                </c:pt>
                <c:pt idx="104">
                  <c:v>2.5590551181102364E-5</c:v>
                </c:pt>
                <c:pt idx="105">
                  <c:v>2.5708661417322837E-5</c:v>
                </c:pt>
                <c:pt idx="106">
                  <c:v>2.5866141732283468E-5</c:v>
                </c:pt>
                <c:pt idx="107">
                  <c:v>2.5944881889763778E-5</c:v>
                </c:pt>
                <c:pt idx="108">
                  <c:v>2.6102362204724413E-5</c:v>
                </c:pt>
                <c:pt idx="109">
                  <c:v>2.6259842519685044E-5</c:v>
                </c:pt>
                <c:pt idx="110">
                  <c:v>2.6417322834645672E-5</c:v>
                </c:pt>
                <c:pt idx="111">
                  <c:v>2.6574803149606303E-5</c:v>
                </c:pt>
                <c:pt idx="112">
                  <c:v>2.6732283464566931E-5</c:v>
                </c:pt>
                <c:pt idx="113">
                  <c:v>2.6929133858267714E-5</c:v>
                </c:pt>
                <c:pt idx="114">
                  <c:v>2.7165354330708663E-5</c:v>
                </c:pt>
                <c:pt idx="115">
                  <c:v>2.7401574803149608E-5</c:v>
                </c:pt>
                <c:pt idx="116">
                  <c:v>2.7637795275590553E-5</c:v>
                </c:pt>
                <c:pt idx="117">
                  <c:v>2.7913385826771653E-5</c:v>
                </c:pt>
                <c:pt idx="118">
                  <c:v>2.818897637795276E-5</c:v>
                </c:pt>
                <c:pt idx="119">
                  <c:v>2.8503937007874016E-5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43F-43B3-8F84-B8807ADC7967}"/>
            </c:ext>
          </c:extLst>
        </c:ser>
        <c:ser>
          <c:idx val="23"/>
          <c:order val="11"/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743F-43B3-8F84-B8807ADC7967}"/>
              </c:ext>
            </c:extLst>
          </c:dPt>
          <c:xVal>
            <c:numRef>
              <c:f>limits!$G$23:$G$24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limits!$H$23:$H$24</c:f>
              <c:numCache>
                <c:formatCode>0.000000</c:formatCode>
                <c:ptCount val="2"/>
                <c:pt idx="0">
                  <c:v>5.9999999999999995E-4</c:v>
                </c:pt>
                <c:pt idx="1">
                  <c:v>5.9999999999999995E-4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43F-43B3-8F84-B8807ADC7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10160"/>
        <c:axId val="1"/>
      </c:scatterChart>
      <c:valAx>
        <c:axId val="832210160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2482138870207053"/>
              <c:y val="0.9361926710380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.9999999999999995E-7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1.8357006017334653E-2"/>
              <c:y val="0.3193191221667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10160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1496496960137534"/>
          <c:y val="0.69083688649590724"/>
          <c:w val="0.22038214221632471"/>
          <c:h val="0.151102258462751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FD-437F-B75F-2E32C2C74100}"/>
            </c:ext>
          </c:extLst>
        </c:ser>
        <c:ser>
          <c:idx val="3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</c:numCache>
            </c:numRef>
          </c:xVal>
          <c:yVal>
            <c:numRef>
              <c:f>limits!$B$17:$B$21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FD-437F-B75F-2E32C2C74100}"/>
            </c:ext>
          </c:extLst>
        </c:ser>
        <c:ser>
          <c:idx val="4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limits!$D$17:$D$20</c:f>
              <c:numCache>
                <c:formatCode>General</c:formatCode>
                <c:ptCount val="4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</c:numCache>
            </c:numRef>
          </c:xVal>
          <c:yVal>
            <c:numRef>
              <c:f>limits!$E$17:$E$20</c:f>
              <c:numCache>
                <c:formatCode>General</c:formatCode>
                <c:ptCount val="4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FD-437F-B75F-2E32C2C74100}"/>
            </c:ext>
          </c:extLst>
        </c:ser>
        <c:ser>
          <c:idx val="5"/>
          <c:order val="3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limits!$G$4:$G$5</c:f>
              <c:numCache>
                <c:formatCode>0</c:formatCode>
                <c:ptCount val="2"/>
                <c:pt idx="0">
                  <c:v>1424</c:v>
                </c:pt>
                <c:pt idx="1">
                  <c:v>1424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FD-437F-B75F-2E32C2C74100}"/>
            </c:ext>
          </c:extLst>
        </c:ser>
        <c:ser>
          <c:idx val="6"/>
          <c:order val="4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limits!$H$4:$H$5</c:f>
              <c:numCache>
                <c:formatCode>General</c:formatCode>
                <c:ptCount val="2"/>
                <c:pt idx="0">
                  <c:v>1780</c:v>
                </c:pt>
                <c:pt idx="1">
                  <c:v>1780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FD-437F-B75F-2E32C2C74100}"/>
            </c:ext>
          </c:extLst>
        </c:ser>
        <c:ser>
          <c:idx val="7"/>
          <c:order val="5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limits!$I$4:$I$5</c:f>
              <c:numCache>
                <c:formatCode>0</c:formatCode>
                <c:ptCount val="2"/>
                <c:pt idx="0">
                  <c:v>2136</c:v>
                </c:pt>
                <c:pt idx="1">
                  <c:v>2136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6FD-437F-B75F-2E32C2C74100}"/>
            </c:ext>
          </c:extLst>
        </c:ser>
        <c:ser>
          <c:idx val="8"/>
          <c:order val="6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limits!$J$4:$J$5</c:f>
              <c:numCache>
                <c:formatCode>General</c:formatCode>
                <c:ptCount val="2"/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FD-437F-B75F-2E32C2C74100}"/>
            </c:ext>
          </c:extLst>
        </c:ser>
        <c:ser>
          <c:idx val="10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limits!$H$17:$H$18</c:f>
              <c:numCache>
                <c:formatCode>General</c:formatCode>
                <c:ptCount val="2"/>
                <c:pt idx="0">
                  <c:v>4.4999999999999999E-4</c:v>
                </c:pt>
                <c:pt idx="1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6FD-437F-B75F-2E32C2C74100}"/>
            </c:ext>
          </c:extLst>
        </c:ser>
        <c:ser>
          <c:idx val="11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limits!$I$17:$I$18</c:f>
              <c:numCache>
                <c:formatCode>General</c:formatCode>
                <c:ptCount val="2"/>
                <c:pt idx="0">
                  <c:v>9.5E-4</c:v>
                </c:pt>
                <c:pt idx="1">
                  <c:v>9.5000000000000005E-6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6FD-437F-B75F-2E32C2C74100}"/>
            </c:ext>
          </c:extLst>
        </c:ser>
        <c:ser>
          <c:idx val="12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limits!$J$17:$J$18</c:f>
              <c:numCache>
                <c:formatCode>General</c:formatCode>
                <c:ptCount val="2"/>
                <c:pt idx="0">
                  <c:v>1.75E-3</c:v>
                </c:pt>
                <c:pt idx="1">
                  <c:v>1.6500000000000001E-5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6FD-437F-B75F-2E32C2C74100}"/>
            </c:ext>
          </c:extLst>
        </c:ser>
        <c:ser>
          <c:idx val="13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limits!$K$17:$K$18</c:f>
              <c:numCache>
                <c:formatCode>General</c:formatCode>
                <c:ptCount val="2"/>
                <c:pt idx="0">
                  <c:v>3.7499999999999999E-3</c:v>
                </c:pt>
                <c:pt idx="1">
                  <c:v>3.5000000000000004E-5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6FD-437F-B75F-2E32C2C74100}"/>
            </c:ext>
          </c:extLst>
        </c:ser>
        <c:ser>
          <c:idx val="14"/>
          <c:order val="1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limits!$L$17:$L$18</c:f>
              <c:numCache>
                <c:formatCode>General</c:formatCode>
                <c:ptCount val="2"/>
                <c:pt idx="0">
                  <c:v>7.4999999999999997E-3</c:v>
                </c:pt>
                <c:pt idx="1">
                  <c:v>6.5000000000000008E-5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6FD-437F-B75F-2E32C2C74100}"/>
            </c:ext>
          </c:extLst>
        </c:ser>
        <c:ser>
          <c:idx val="20"/>
          <c:order val="12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6FD-437F-B75F-2E32C2C74100}"/>
            </c:ext>
          </c:extLst>
        </c:ser>
        <c:ser>
          <c:idx val="21"/>
          <c:order val="1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6FD-437F-B75F-2E32C2C74100}"/>
            </c:ext>
          </c:extLst>
        </c:ser>
        <c:ser>
          <c:idx val="0"/>
          <c:order val="1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1.4784808479739018E-4</c:v>
                </c:pt>
                <c:pt idx="1">
                  <c:v>1.4784808479739018E-4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6FD-437F-B75F-2E32C2C74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76704"/>
        <c:axId val="1"/>
      </c:scatterChart>
      <c:valAx>
        <c:axId val="1347176704"/>
        <c:scaling>
          <c:logBase val="10"/>
          <c:orientation val="minMax"/>
          <c:max val="1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176704"/>
        <c:crosses val="autoZero"/>
        <c:crossBetween val="midCat"/>
        <c:majorUnit val="10"/>
        <c:minorUnit val="10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&amp;L&amp;F&amp;R&amp;D&amp;T</c:oddFooter>
    </c:headerFooter>
    <c:pageMargins b="1" l="0.75" r="0.75" t="1" header="0.5" footer="0.5"/>
    <c:pageSetup orientation="portrait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09322688642802"/>
          <c:y val="5.9952178769903067E-2"/>
          <c:w val="0.73417872778779292"/>
          <c:h val="0.82973815417545849"/>
        </c:manualLayout>
      </c:layout>
      <c:scatterChart>
        <c:scatterStyle val="lineMarker"/>
        <c:varyColors val="0"/>
        <c:ser>
          <c:idx val="15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1.4784808479739018E-4</c:v>
                </c:pt>
                <c:pt idx="1">
                  <c:v>1.4784808479739018E-4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20-44FF-B3BF-82963C1F56BA}"/>
            </c:ext>
          </c:extLst>
        </c:ser>
        <c:ser>
          <c:idx val="17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1424</c:v>
                </c:pt>
                <c:pt idx="1">
                  <c:v>1424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20-44FF-B3BF-82963C1F56BA}"/>
            </c:ext>
          </c:extLst>
        </c:ser>
        <c:ser>
          <c:idx val="18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1780</c:v>
                </c:pt>
                <c:pt idx="1">
                  <c:v>1780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20-44FF-B3BF-82963C1F56BA}"/>
            </c:ext>
          </c:extLst>
        </c:ser>
        <c:ser>
          <c:idx val="19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2136</c:v>
                </c:pt>
                <c:pt idx="1">
                  <c:v>2136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20-44FF-B3BF-82963C1F56BA}"/>
            </c:ext>
          </c:extLst>
        </c:ser>
        <c:ser>
          <c:idx val="3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limits!$A$17:$A$22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limits!$B$17:$B$22</c:f>
              <c:numCache>
                <c:formatCode>General</c:formatCode>
                <c:ptCount val="6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  <c:pt idx="5">
                  <c:v>9.3300000000000005E-6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20-44FF-B3BF-82963C1F56BA}"/>
            </c:ext>
          </c:extLst>
        </c:ser>
        <c:ser>
          <c:idx val="4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limits!$E$17:$E$21</c:f>
              <c:numCache>
                <c:formatCode>General</c:formatCode>
                <c:ptCount val="5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  <c:pt idx="4">
                  <c:v>8.1799999999999996E-6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820-44FF-B3BF-82963C1F56BA}"/>
            </c:ext>
          </c:extLst>
        </c:ser>
        <c:ser>
          <c:idx val="14"/>
          <c:order val="6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limits!$L$17:$L$19</c:f>
              <c:numCache>
                <c:formatCode>General</c:formatCode>
                <c:ptCount val="3"/>
                <c:pt idx="0">
                  <c:v>7.4999999999999997E-3</c:v>
                </c:pt>
                <c:pt idx="1">
                  <c:v>6.5000000000000008E-5</c:v>
                </c:pt>
                <c:pt idx="2" formatCode="0.00000000">
                  <c:v>6.1999999999999999E-6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820-44FF-B3BF-82963C1F56BA}"/>
            </c:ext>
          </c:extLst>
        </c:ser>
        <c:ser>
          <c:idx val="13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limits!$K$17:$K$19</c:f>
              <c:numCache>
                <c:formatCode>General</c:formatCode>
                <c:ptCount val="3"/>
                <c:pt idx="0">
                  <c:v>3.7499999999999999E-3</c:v>
                </c:pt>
                <c:pt idx="1">
                  <c:v>3.5000000000000004E-5</c:v>
                </c:pt>
                <c:pt idx="2" formatCode="0.00000000">
                  <c:v>3.4400000000000001E-6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820-44FF-B3BF-82963C1F56BA}"/>
            </c:ext>
          </c:extLst>
        </c:ser>
        <c:ser>
          <c:idx val="12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limits!$J$17:$J$19</c:f>
              <c:numCache>
                <c:formatCode>General</c:formatCode>
                <c:ptCount val="3"/>
                <c:pt idx="0">
                  <c:v>1.75E-3</c:v>
                </c:pt>
                <c:pt idx="1">
                  <c:v>1.6500000000000001E-5</c:v>
                </c:pt>
                <c:pt idx="2" formatCode="0.00000000">
                  <c:v>1.64E-6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820-44FF-B3BF-82963C1F56BA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limits!$I$17:$I$19</c:f>
              <c:numCache>
                <c:formatCode>General</c:formatCode>
                <c:ptCount val="3"/>
                <c:pt idx="0">
                  <c:v>9.5E-4</c:v>
                </c:pt>
                <c:pt idx="1">
                  <c:v>9.5000000000000005E-6</c:v>
                </c:pt>
                <c:pt idx="2" formatCode="0.00000000">
                  <c:v>9.33E-7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820-44FF-B3BF-82963C1F56BA}"/>
            </c:ext>
          </c:extLst>
        </c:ser>
        <c:ser>
          <c:idx val="10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limits!$H$17:$H$19</c:f>
              <c:numCache>
                <c:formatCode>General</c:formatCode>
                <c:ptCount val="3"/>
                <c:pt idx="0">
                  <c:v>4.4999999999999999E-4</c:v>
                </c:pt>
                <c:pt idx="1">
                  <c:v>3.9999999999999998E-6</c:v>
                </c:pt>
                <c:pt idx="2" formatCode="0.00000000">
                  <c:v>3.5499999999999999E-7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820-44FF-B3BF-82963C1F56BA}"/>
            </c:ext>
          </c:extLst>
        </c:ser>
        <c:ser>
          <c:idx val="25"/>
          <c:order val="11"/>
          <c:spPr>
            <a:ln w="19050">
              <a:solidFill>
                <a:srgbClr val="0070C0"/>
              </a:solidFill>
              <a:prstDash val="solid"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P4_UB!$A$7:$A$126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P4_UB!$F$7:$F$126</c:f>
              <c:numCache>
                <c:formatCode>0.00E+00</c:formatCode>
                <c:ptCount val="120"/>
                <c:pt idx="0">
                  <c:v>3.2007874015748034E-8</c:v>
                </c:pt>
                <c:pt idx="1">
                  <c:v>1.3031496062992128E-7</c:v>
                </c:pt>
                <c:pt idx="2">
                  <c:v>2.9645669291338582E-7</c:v>
                </c:pt>
                <c:pt idx="3">
                  <c:v>5.3543307086614168E-7</c:v>
                </c:pt>
                <c:pt idx="4">
                  <c:v>8.5826771653543313E-7</c:v>
                </c:pt>
                <c:pt idx="5">
                  <c:v>1.2716535433070869E-6</c:v>
                </c:pt>
                <c:pt idx="6">
                  <c:v>1.7913385826771655E-6</c:v>
                </c:pt>
                <c:pt idx="7">
                  <c:v>2.4448818897637797E-6</c:v>
                </c:pt>
                <c:pt idx="8">
                  <c:v>3.2519685039370083E-6</c:v>
                </c:pt>
                <c:pt idx="9">
                  <c:v>4.2559055118110234E-6</c:v>
                </c:pt>
                <c:pt idx="10">
                  <c:v>5.4803149606299214E-6</c:v>
                </c:pt>
                <c:pt idx="11">
                  <c:v>6.9055118110236229E-6</c:v>
                </c:pt>
                <c:pt idx="12">
                  <c:v>8.4488188976377944E-6</c:v>
                </c:pt>
                <c:pt idx="13">
                  <c:v>9.8740157480314958E-6</c:v>
                </c:pt>
                <c:pt idx="14">
                  <c:v>1.0826771653543309E-5</c:v>
                </c:pt>
                <c:pt idx="15">
                  <c:v>1.1614173228346456E-5</c:v>
                </c:pt>
                <c:pt idx="16">
                  <c:v>1.2440944881889766E-5</c:v>
                </c:pt>
                <c:pt idx="17">
                  <c:v>1.3503937007874017E-5</c:v>
                </c:pt>
                <c:pt idx="18">
                  <c:v>1.4842519685039371E-5</c:v>
                </c:pt>
                <c:pt idx="19">
                  <c:v>1.6535433070866142E-5</c:v>
                </c:pt>
                <c:pt idx="20">
                  <c:v>1.8464566929133858E-5</c:v>
                </c:pt>
                <c:pt idx="21">
                  <c:v>2.0590551181102364E-5</c:v>
                </c:pt>
                <c:pt idx="22">
                  <c:v>2.2913385826771654E-5</c:v>
                </c:pt>
                <c:pt idx="23">
                  <c:v>2.5433070866141736E-5</c:v>
                </c:pt>
                <c:pt idx="24">
                  <c:v>2.8228346456692919E-5</c:v>
                </c:pt>
                <c:pt idx="25">
                  <c:v>3.1377952755905509E-5</c:v>
                </c:pt>
                <c:pt idx="26">
                  <c:v>3.4881889763779528E-5</c:v>
                </c:pt>
                <c:pt idx="27">
                  <c:v>3.8779527559055126E-5</c:v>
                </c:pt>
                <c:pt idx="28">
                  <c:v>4.3031496062992131E-5</c:v>
                </c:pt>
                <c:pt idx="29">
                  <c:v>4.7559055118110241E-5</c:v>
                </c:pt>
                <c:pt idx="30">
                  <c:v>5.2204724409448826E-5</c:v>
                </c:pt>
                <c:pt idx="31">
                  <c:v>5.6850393700787398E-5</c:v>
                </c:pt>
                <c:pt idx="32">
                  <c:v>6.1141732283464569E-5</c:v>
                </c:pt>
                <c:pt idx="33">
                  <c:v>6.4999999999999994E-5</c:v>
                </c:pt>
                <c:pt idx="34">
                  <c:v>6.8110236220472446E-5</c:v>
                </c:pt>
                <c:pt idx="35">
                  <c:v>6.964566929133858E-5</c:v>
                </c:pt>
                <c:pt idx="36">
                  <c:v>7.1181102362204726E-5</c:v>
                </c:pt>
                <c:pt idx="37">
                  <c:v>7.23228346456693E-5</c:v>
                </c:pt>
                <c:pt idx="38">
                  <c:v>7.3070866141732274E-5</c:v>
                </c:pt>
                <c:pt idx="39">
                  <c:v>7.3425196850393702E-5</c:v>
                </c:pt>
                <c:pt idx="40">
                  <c:v>7.3385826771653543E-5</c:v>
                </c:pt>
                <c:pt idx="41">
                  <c:v>7.3385826771653543E-5</c:v>
                </c:pt>
                <c:pt idx="42">
                  <c:v>7.3346456692913398E-5</c:v>
                </c:pt>
                <c:pt idx="43">
                  <c:v>7.2913385826771639E-5</c:v>
                </c:pt>
                <c:pt idx="44">
                  <c:v>7.251968503937008E-5</c:v>
                </c:pt>
                <c:pt idx="45">
                  <c:v>7.1732283464566934E-5</c:v>
                </c:pt>
                <c:pt idx="46">
                  <c:v>7.0905511811023629E-5</c:v>
                </c:pt>
                <c:pt idx="47">
                  <c:v>6.9685039370078752E-5</c:v>
                </c:pt>
                <c:pt idx="48">
                  <c:v>6.8110236220472446E-5</c:v>
                </c:pt>
                <c:pt idx="49">
                  <c:v>6.6889763779527569E-5</c:v>
                </c:pt>
                <c:pt idx="50">
                  <c:v>6.4881889763779532E-5</c:v>
                </c:pt>
                <c:pt idx="51">
                  <c:v>6.3267716535433068E-5</c:v>
                </c:pt>
                <c:pt idx="52">
                  <c:v>6.1220472440944886E-5</c:v>
                </c:pt>
                <c:pt idx="53">
                  <c:v>5.9212598425196849E-5</c:v>
                </c:pt>
                <c:pt idx="54">
                  <c:v>5.716535433070866E-5</c:v>
                </c:pt>
                <c:pt idx="55">
                  <c:v>5.5118110236220485E-5</c:v>
                </c:pt>
                <c:pt idx="56">
                  <c:v>5.3110236220472441E-5</c:v>
                </c:pt>
                <c:pt idx="57">
                  <c:v>5.1062992125984252E-5</c:v>
                </c:pt>
                <c:pt idx="58">
                  <c:v>4.9409448818897636E-5</c:v>
                </c:pt>
                <c:pt idx="59">
                  <c:v>4.7362204724409447E-5</c:v>
                </c:pt>
                <c:pt idx="60">
                  <c:v>4.5748031496062997E-5</c:v>
                </c:pt>
                <c:pt idx="61">
                  <c:v>4.4291338582677174E-5</c:v>
                </c:pt>
                <c:pt idx="62">
                  <c:v>4.2795275590551179E-5</c:v>
                </c:pt>
                <c:pt idx="63">
                  <c:v>4.1377952755905515E-5</c:v>
                </c:pt>
                <c:pt idx="64">
                  <c:v>4.0039370078740155E-5</c:v>
                </c:pt>
                <c:pt idx="65">
                  <c:v>3.8779527559055119E-5</c:v>
                </c:pt>
                <c:pt idx="66">
                  <c:v>3.7677165354330711E-5</c:v>
                </c:pt>
                <c:pt idx="67">
                  <c:v>3.6614173228346454E-5</c:v>
                </c:pt>
                <c:pt idx="68">
                  <c:v>3.559055118110237E-5</c:v>
                </c:pt>
                <c:pt idx="69">
                  <c:v>3.4685039370078741E-5</c:v>
                </c:pt>
                <c:pt idx="70">
                  <c:v>3.3740157480314961E-5</c:v>
                </c:pt>
                <c:pt idx="71">
                  <c:v>3.2755905511811028E-5</c:v>
                </c:pt>
                <c:pt idx="72">
                  <c:v>3.1889763779527558E-5</c:v>
                </c:pt>
                <c:pt idx="73">
                  <c:v>3.0984251968503937E-5</c:v>
                </c:pt>
                <c:pt idx="74">
                  <c:v>3.0196850393700787E-5</c:v>
                </c:pt>
                <c:pt idx="75">
                  <c:v>2.9409448818897641E-5</c:v>
                </c:pt>
                <c:pt idx="76">
                  <c:v>2.8661417322834647E-5</c:v>
                </c:pt>
                <c:pt idx="77">
                  <c:v>2.7992125984251971E-5</c:v>
                </c:pt>
                <c:pt idx="78">
                  <c:v>2.7362204724409449E-5</c:v>
                </c:pt>
                <c:pt idx="79">
                  <c:v>2.6732283464566934E-5</c:v>
                </c:pt>
                <c:pt idx="80">
                  <c:v>2.6102362204724413E-5</c:v>
                </c:pt>
                <c:pt idx="81">
                  <c:v>2.5472440944881891E-5</c:v>
                </c:pt>
                <c:pt idx="82">
                  <c:v>2.4921259842519687E-5</c:v>
                </c:pt>
                <c:pt idx="83">
                  <c:v>2.437007874015748E-5</c:v>
                </c:pt>
                <c:pt idx="84">
                  <c:v>2.377952755905512E-5</c:v>
                </c:pt>
                <c:pt idx="85">
                  <c:v>2.3267716535433071E-5</c:v>
                </c:pt>
                <c:pt idx="86">
                  <c:v>2.2716535433070864E-5</c:v>
                </c:pt>
                <c:pt idx="87">
                  <c:v>2.2283464566929136E-5</c:v>
                </c:pt>
                <c:pt idx="88">
                  <c:v>2.1771653543307087E-5</c:v>
                </c:pt>
                <c:pt idx="89">
                  <c:v>2.1338582677165355E-5</c:v>
                </c:pt>
                <c:pt idx="90">
                  <c:v>2.0905511811023623E-5</c:v>
                </c:pt>
                <c:pt idx="91">
                  <c:v>2.0511811023622047E-5</c:v>
                </c:pt>
                <c:pt idx="92">
                  <c:v>2.0118110236220471E-5</c:v>
                </c:pt>
                <c:pt idx="93">
                  <c:v>1.976377952755906E-5</c:v>
                </c:pt>
                <c:pt idx="94">
                  <c:v>1.9409448818897635E-5</c:v>
                </c:pt>
                <c:pt idx="95">
                  <c:v>1.909448818897638E-5</c:v>
                </c:pt>
                <c:pt idx="96">
                  <c:v>1.8779527559055121E-5</c:v>
                </c:pt>
                <c:pt idx="97">
                  <c:v>1.8503937007874017E-5</c:v>
                </c:pt>
                <c:pt idx="98">
                  <c:v>1.822834645669291E-5</c:v>
                </c:pt>
                <c:pt idx="99">
                  <c:v>1.7992125984251971E-5</c:v>
                </c:pt>
                <c:pt idx="100">
                  <c:v>1.7755905511811026E-5</c:v>
                </c:pt>
                <c:pt idx="101">
                  <c:v>1.7519685039370078E-5</c:v>
                </c:pt>
                <c:pt idx="102">
                  <c:v>1.7322834645669291E-5</c:v>
                </c:pt>
                <c:pt idx="103">
                  <c:v>1.7125984251968505E-5</c:v>
                </c:pt>
                <c:pt idx="104">
                  <c:v>1.6968503937007874E-5</c:v>
                </c:pt>
                <c:pt idx="105">
                  <c:v>1.6771653543307091E-5</c:v>
                </c:pt>
                <c:pt idx="106">
                  <c:v>1.6614173228346459E-5</c:v>
                </c:pt>
                <c:pt idx="107">
                  <c:v>1.6456692913385828E-5</c:v>
                </c:pt>
                <c:pt idx="108">
                  <c:v>1.6259842519685042E-5</c:v>
                </c:pt>
                <c:pt idx="109">
                  <c:v>1.610236220472441E-5</c:v>
                </c:pt>
                <c:pt idx="110">
                  <c:v>1.5984251968503938E-5</c:v>
                </c:pt>
                <c:pt idx="111">
                  <c:v>1.582677165354331E-5</c:v>
                </c:pt>
                <c:pt idx="112">
                  <c:v>1.5629921259842517E-5</c:v>
                </c:pt>
                <c:pt idx="113">
                  <c:v>1.5472440944881892E-5</c:v>
                </c:pt>
                <c:pt idx="114">
                  <c:v>1.5314960629921261E-5</c:v>
                </c:pt>
                <c:pt idx="115">
                  <c:v>1.5118110236220473E-5</c:v>
                </c:pt>
                <c:pt idx="116">
                  <c:v>1.4921259842519686E-5</c:v>
                </c:pt>
                <c:pt idx="117">
                  <c:v>1.4763779527559057E-5</c:v>
                </c:pt>
                <c:pt idx="118">
                  <c:v>1.452755905511811E-5</c:v>
                </c:pt>
                <c:pt idx="119">
                  <c:v>1.4330708661417324E-5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820-44FF-B3BF-82963C1F56BA}"/>
            </c:ext>
          </c:extLst>
        </c:ser>
        <c:ser>
          <c:idx val="26"/>
          <c:order val="12"/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triangle"/>
            <c:size val="3"/>
            <c:spPr>
              <a:noFill/>
              <a:ln w="9525">
                <a:noFill/>
              </a:ln>
            </c:spPr>
          </c:marker>
          <c:xVal>
            <c:numRef>
              <c:f>P4_UB!$A$7:$A$126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P4_UB!$G$7:$G$126</c:f>
              <c:numCache>
                <c:formatCode>0.00E+00</c:formatCode>
                <c:ptCount val="120"/>
                <c:pt idx="0">
                  <c:v>5.3740157480314962E-9</c:v>
                </c:pt>
                <c:pt idx="1">
                  <c:v>2.082677165354331E-8</c:v>
                </c:pt>
                <c:pt idx="2">
                  <c:v>4.6771653543307091E-8</c:v>
                </c:pt>
                <c:pt idx="3">
                  <c:v>8.5551181102362202E-8</c:v>
                </c:pt>
                <c:pt idx="4">
                  <c:v>1.3543307086614175E-7</c:v>
                </c:pt>
                <c:pt idx="5">
                  <c:v>1.9960629921259843E-7</c:v>
                </c:pt>
                <c:pt idx="6">
                  <c:v>2.7716535433070868E-7</c:v>
                </c:pt>
                <c:pt idx="7">
                  <c:v>3.7086614173228345E-7</c:v>
                </c:pt>
                <c:pt idx="8">
                  <c:v>4.8228346456692918E-7</c:v>
                </c:pt>
                <c:pt idx="9">
                  <c:v>6.1299212598425198E-7</c:v>
                </c:pt>
                <c:pt idx="10">
                  <c:v>7.614173228346458E-7</c:v>
                </c:pt>
                <c:pt idx="11">
                  <c:v>9.2637795275590554E-7</c:v>
                </c:pt>
                <c:pt idx="12">
                  <c:v>1.1062992125984252E-6</c:v>
                </c:pt>
                <c:pt idx="13">
                  <c:v>1.2834645669291338E-6</c:v>
                </c:pt>
                <c:pt idx="14">
                  <c:v>1.4645669291338584E-6</c:v>
                </c:pt>
                <c:pt idx="15">
                  <c:v>1.6732283464566931E-6</c:v>
                </c:pt>
                <c:pt idx="16">
                  <c:v>1.9212598425196851E-6</c:v>
                </c:pt>
                <c:pt idx="17">
                  <c:v>2.2165354330708661E-6</c:v>
                </c:pt>
                <c:pt idx="18">
                  <c:v>2.5511811023622049E-6</c:v>
                </c:pt>
                <c:pt idx="19">
                  <c:v>2.8976377952755906E-6</c:v>
                </c:pt>
                <c:pt idx="20">
                  <c:v>3.2362204724409452E-6</c:v>
                </c:pt>
                <c:pt idx="21">
                  <c:v>3.5472440944881889E-6</c:v>
                </c:pt>
                <c:pt idx="22">
                  <c:v>3.8188976377952765E-6</c:v>
                </c:pt>
                <c:pt idx="23">
                  <c:v>4.0590551181102361E-6</c:v>
                </c:pt>
                <c:pt idx="24">
                  <c:v>4.2795275590551181E-6</c:v>
                </c:pt>
                <c:pt idx="25">
                  <c:v>4.4763779527559054E-6</c:v>
                </c:pt>
                <c:pt idx="26">
                  <c:v>4.6574803149606296E-6</c:v>
                </c:pt>
                <c:pt idx="27">
                  <c:v>4.8188976377952771E-6</c:v>
                </c:pt>
                <c:pt idx="28">
                  <c:v>4.9685039370078742E-6</c:v>
                </c:pt>
                <c:pt idx="29">
                  <c:v>5.1062992125984261E-6</c:v>
                </c:pt>
                <c:pt idx="30">
                  <c:v>5.24015748031496E-6</c:v>
                </c:pt>
                <c:pt idx="31">
                  <c:v>5.3858267716535443E-6</c:v>
                </c:pt>
                <c:pt idx="32">
                  <c:v>5.5669291338582685E-6</c:v>
                </c:pt>
                <c:pt idx="33">
                  <c:v>5.8228346456692913E-6</c:v>
                </c:pt>
                <c:pt idx="34">
                  <c:v>6.1220472440944881E-6</c:v>
                </c:pt>
                <c:pt idx="35">
                  <c:v>6.6968503937007886E-6</c:v>
                </c:pt>
                <c:pt idx="36">
                  <c:v>7.2322834645669305E-6</c:v>
                </c:pt>
                <c:pt idx="37">
                  <c:v>7.9251968503937019E-6</c:v>
                </c:pt>
                <c:pt idx="38">
                  <c:v>8.6968503937007881E-6</c:v>
                </c:pt>
                <c:pt idx="39">
                  <c:v>9.5511811023622061E-6</c:v>
                </c:pt>
                <c:pt idx="40">
                  <c:v>1.0484251968503938E-5</c:v>
                </c:pt>
                <c:pt idx="41">
                  <c:v>1.1456692913385827E-5</c:v>
                </c:pt>
                <c:pt idx="42">
                  <c:v>1.2511811023622049E-5</c:v>
                </c:pt>
                <c:pt idx="43">
                  <c:v>1.356692913385827E-5</c:v>
                </c:pt>
                <c:pt idx="44">
                  <c:v>1.4657480314960631E-5</c:v>
                </c:pt>
                <c:pt idx="45">
                  <c:v>1.5708661417322834E-5</c:v>
                </c:pt>
                <c:pt idx="46">
                  <c:v>1.6720472440944885E-5</c:v>
                </c:pt>
                <c:pt idx="47">
                  <c:v>1.7732283464566929E-5</c:v>
                </c:pt>
                <c:pt idx="48">
                  <c:v>1.862204724409449E-5</c:v>
                </c:pt>
                <c:pt idx="49">
                  <c:v>1.9389763779527563E-5</c:v>
                </c:pt>
                <c:pt idx="50">
                  <c:v>2.0078740157480319E-5</c:v>
                </c:pt>
                <c:pt idx="51">
                  <c:v>2.0681102362204725E-5</c:v>
                </c:pt>
                <c:pt idx="52">
                  <c:v>2.1165354330708666E-5</c:v>
                </c:pt>
                <c:pt idx="53">
                  <c:v>2.1531496062992127E-5</c:v>
                </c:pt>
                <c:pt idx="54">
                  <c:v>2.181496062992126E-5</c:v>
                </c:pt>
                <c:pt idx="55">
                  <c:v>2.2019685039370082E-5</c:v>
                </c:pt>
                <c:pt idx="56">
                  <c:v>2.2145669291338587E-5</c:v>
                </c:pt>
                <c:pt idx="57">
                  <c:v>2.2196850393700789E-5</c:v>
                </c:pt>
                <c:pt idx="58">
                  <c:v>2.2216535433070869E-5</c:v>
                </c:pt>
                <c:pt idx="59">
                  <c:v>2.2236220472440945E-5</c:v>
                </c:pt>
                <c:pt idx="60">
                  <c:v>2.2185039370078746E-5</c:v>
                </c:pt>
                <c:pt idx="61">
                  <c:v>2.2133858267716537E-5</c:v>
                </c:pt>
                <c:pt idx="62">
                  <c:v>2.2047244094488194E-5</c:v>
                </c:pt>
                <c:pt idx="63">
                  <c:v>2.1952755905511812E-5</c:v>
                </c:pt>
                <c:pt idx="64">
                  <c:v>2.1850393700787404E-5</c:v>
                </c:pt>
                <c:pt idx="65">
                  <c:v>2.1736220472440943E-5</c:v>
                </c:pt>
                <c:pt idx="66">
                  <c:v>2.1614173228346455E-5</c:v>
                </c:pt>
                <c:pt idx="67">
                  <c:v>2.1460629921259842E-5</c:v>
                </c:pt>
                <c:pt idx="68">
                  <c:v>2.1374015748031499E-5</c:v>
                </c:pt>
                <c:pt idx="69">
                  <c:v>2.1314960629921261E-5</c:v>
                </c:pt>
                <c:pt idx="70">
                  <c:v>2.1240157480314958E-5</c:v>
                </c:pt>
                <c:pt idx="71">
                  <c:v>2.1181102362204727E-5</c:v>
                </c:pt>
                <c:pt idx="72">
                  <c:v>2.1161417322834648E-5</c:v>
                </c:pt>
                <c:pt idx="73">
                  <c:v>2.1094488188976381E-5</c:v>
                </c:pt>
                <c:pt idx="74">
                  <c:v>2.1055118110236226E-5</c:v>
                </c:pt>
                <c:pt idx="75">
                  <c:v>2.1011811023622049E-5</c:v>
                </c:pt>
                <c:pt idx="76">
                  <c:v>2.0964566929133858E-5</c:v>
                </c:pt>
                <c:pt idx="77">
                  <c:v>2.0909448818897638E-5</c:v>
                </c:pt>
                <c:pt idx="78">
                  <c:v>2.08503937007874E-5</c:v>
                </c:pt>
                <c:pt idx="79">
                  <c:v>2.082677165354331E-5</c:v>
                </c:pt>
                <c:pt idx="80">
                  <c:v>2.0763779527559054E-5</c:v>
                </c:pt>
                <c:pt idx="81">
                  <c:v>2.069685039370079E-5</c:v>
                </c:pt>
                <c:pt idx="82">
                  <c:v>2.066535433070866E-5</c:v>
                </c:pt>
                <c:pt idx="83">
                  <c:v>2.0590551181102364E-5</c:v>
                </c:pt>
                <c:pt idx="84">
                  <c:v>2.0551181102362206E-5</c:v>
                </c:pt>
                <c:pt idx="85">
                  <c:v>2.0476377952755906E-5</c:v>
                </c:pt>
                <c:pt idx="86">
                  <c:v>2.0397637795275589E-5</c:v>
                </c:pt>
                <c:pt idx="87">
                  <c:v>2.0354330708661419E-5</c:v>
                </c:pt>
                <c:pt idx="88">
                  <c:v>2.0275590551181105E-5</c:v>
                </c:pt>
                <c:pt idx="89">
                  <c:v>2.0232283464566929E-5</c:v>
                </c:pt>
                <c:pt idx="90">
                  <c:v>2.0153543307086615E-5</c:v>
                </c:pt>
                <c:pt idx="91">
                  <c:v>2.0110236220472438E-5</c:v>
                </c:pt>
                <c:pt idx="92">
                  <c:v>2.0070866141732283E-5</c:v>
                </c:pt>
                <c:pt idx="93">
                  <c:v>2.002755905511811E-5</c:v>
                </c:pt>
                <c:pt idx="94">
                  <c:v>1.9988188976377955E-5</c:v>
                </c:pt>
                <c:pt idx="95">
                  <c:v>1.9948818897637793E-5</c:v>
                </c:pt>
                <c:pt idx="96">
                  <c:v>1.990551181102362E-5</c:v>
                </c:pt>
                <c:pt idx="97">
                  <c:v>1.9866141732283468E-5</c:v>
                </c:pt>
                <c:pt idx="98">
                  <c:v>1.9866141732283468E-5</c:v>
                </c:pt>
                <c:pt idx="99">
                  <c:v>1.9826771653543309E-5</c:v>
                </c:pt>
                <c:pt idx="100">
                  <c:v>1.9783464566929132E-5</c:v>
                </c:pt>
                <c:pt idx="101">
                  <c:v>1.9783464566929132E-5</c:v>
                </c:pt>
                <c:pt idx="102">
                  <c:v>1.9740157480314959E-5</c:v>
                </c:pt>
                <c:pt idx="103">
                  <c:v>1.9740157480314959E-5</c:v>
                </c:pt>
                <c:pt idx="104">
                  <c:v>1.9740157480314959E-5</c:v>
                </c:pt>
                <c:pt idx="105">
                  <c:v>1.9696850393700786E-5</c:v>
                </c:pt>
                <c:pt idx="106">
                  <c:v>1.9692913385826775E-5</c:v>
                </c:pt>
                <c:pt idx="107">
                  <c:v>1.9692913385826775E-5</c:v>
                </c:pt>
                <c:pt idx="108">
                  <c:v>1.9649606299212602E-5</c:v>
                </c:pt>
                <c:pt idx="109">
                  <c:v>1.9645669291338584E-5</c:v>
                </c:pt>
                <c:pt idx="110">
                  <c:v>1.9606299212598429E-5</c:v>
                </c:pt>
                <c:pt idx="111">
                  <c:v>1.9602362204724411E-5</c:v>
                </c:pt>
                <c:pt idx="112">
                  <c:v>1.9559055118110234E-5</c:v>
                </c:pt>
                <c:pt idx="113">
                  <c:v>1.955511811023622E-5</c:v>
                </c:pt>
                <c:pt idx="114">
                  <c:v>1.951181102362205E-5</c:v>
                </c:pt>
                <c:pt idx="115">
                  <c:v>1.9468503937007877E-5</c:v>
                </c:pt>
                <c:pt idx="116">
                  <c:v>1.94251968503937E-5</c:v>
                </c:pt>
                <c:pt idx="117">
                  <c:v>1.9385826771653545E-5</c:v>
                </c:pt>
                <c:pt idx="118">
                  <c:v>1.9342519685039368E-5</c:v>
                </c:pt>
                <c:pt idx="119">
                  <c:v>1.925984251968504E-5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820-44FF-B3BF-82963C1F56BA}"/>
            </c:ext>
          </c:extLst>
        </c:ser>
        <c:ser>
          <c:idx val="27"/>
          <c:order val="13"/>
          <c:spPr>
            <a:ln w="19050">
              <a:solidFill>
                <a:srgbClr val="00B05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xVal>
            <c:numRef>
              <c:f>P4_UB!$A$7:$A$126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P4_UB!$H$7:$H$126</c:f>
              <c:numCache>
                <c:formatCode>0.00E+00</c:formatCode>
                <c:ptCount val="120"/>
                <c:pt idx="0">
                  <c:v>1.3299212598425199E-8</c:v>
                </c:pt>
                <c:pt idx="1">
                  <c:v>5.334645669291339E-8</c:v>
                </c:pt>
                <c:pt idx="2">
                  <c:v>1.2043307086614174E-7</c:v>
                </c:pt>
                <c:pt idx="3">
                  <c:v>2.1496062992125984E-7</c:v>
                </c:pt>
                <c:pt idx="4">
                  <c:v>3.3897637795275586E-7</c:v>
                </c:pt>
                <c:pt idx="5">
                  <c:v>4.9448818897637797E-7</c:v>
                </c:pt>
                <c:pt idx="6">
                  <c:v>6.8661417322834651E-7</c:v>
                </c:pt>
                <c:pt idx="7">
                  <c:v>9.1732283464566952E-7</c:v>
                </c:pt>
                <c:pt idx="8">
                  <c:v>1.1948818897637796E-6</c:v>
                </c:pt>
                <c:pt idx="9">
                  <c:v>1.5275590551181103E-6</c:v>
                </c:pt>
                <c:pt idx="10">
                  <c:v>1.9291338582677167E-6</c:v>
                </c:pt>
                <c:pt idx="11">
                  <c:v>2.4015748031496065E-6</c:v>
                </c:pt>
                <c:pt idx="12">
                  <c:v>2.9291338582677169E-6</c:v>
                </c:pt>
                <c:pt idx="13">
                  <c:v>3.4527559055118114E-6</c:v>
                </c:pt>
                <c:pt idx="14">
                  <c:v>3.9015748031496066E-6</c:v>
                </c:pt>
                <c:pt idx="15">
                  <c:v>4.3110236220472444E-6</c:v>
                </c:pt>
                <c:pt idx="16">
                  <c:v>4.7125984251968506E-6</c:v>
                </c:pt>
                <c:pt idx="17">
                  <c:v>5.1377952755905515E-6</c:v>
                </c:pt>
                <c:pt idx="18">
                  <c:v>5.6141732283464571E-6</c:v>
                </c:pt>
                <c:pt idx="19">
                  <c:v>6.1692913385826783E-6</c:v>
                </c:pt>
                <c:pt idx="20">
                  <c:v>6.7637795275590556E-6</c:v>
                </c:pt>
                <c:pt idx="21">
                  <c:v>7.4842519685039379E-6</c:v>
                </c:pt>
                <c:pt idx="22">
                  <c:v>8.2874015748031503E-6</c:v>
                </c:pt>
                <c:pt idx="23">
                  <c:v>9.2204724409448822E-6</c:v>
                </c:pt>
                <c:pt idx="24">
                  <c:v>1.0318897637795274E-5</c:v>
                </c:pt>
                <c:pt idx="25">
                  <c:v>1.1543307086614175E-5</c:v>
                </c:pt>
                <c:pt idx="26">
                  <c:v>1.2893700787401575E-5</c:v>
                </c:pt>
                <c:pt idx="27">
                  <c:v>1.4448818897637795E-5</c:v>
                </c:pt>
                <c:pt idx="28">
                  <c:v>1.6090551181102363E-5</c:v>
                </c:pt>
                <c:pt idx="29">
                  <c:v>1.7901574803149604E-5</c:v>
                </c:pt>
                <c:pt idx="30">
                  <c:v>1.9724409448818901E-5</c:v>
                </c:pt>
                <c:pt idx="31">
                  <c:v>2.1559055118110235E-5</c:v>
                </c:pt>
                <c:pt idx="32">
                  <c:v>2.3244094488188984E-5</c:v>
                </c:pt>
                <c:pt idx="33">
                  <c:v>2.4740157480314962E-5</c:v>
                </c:pt>
                <c:pt idx="34">
                  <c:v>2.5964566929133861E-5</c:v>
                </c:pt>
                <c:pt idx="35">
                  <c:v>2.6763779527559057E-5</c:v>
                </c:pt>
                <c:pt idx="36">
                  <c:v>2.7523622047244098E-5</c:v>
                </c:pt>
                <c:pt idx="37">
                  <c:v>2.8122047244094487E-5</c:v>
                </c:pt>
                <c:pt idx="38">
                  <c:v>2.8562992125984257E-5</c:v>
                </c:pt>
                <c:pt idx="39">
                  <c:v>2.8925196850393704E-5</c:v>
                </c:pt>
                <c:pt idx="40">
                  <c:v>2.9287401574803151E-5</c:v>
                </c:pt>
                <c:pt idx="41">
                  <c:v>2.9566929133858273E-5</c:v>
                </c:pt>
                <c:pt idx="42">
                  <c:v>2.9885826771653543E-5</c:v>
                </c:pt>
                <c:pt idx="43">
                  <c:v>3.0244094488188975E-5</c:v>
                </c:pt>
                <c:pt idx="44">
                  <c:v>3.0602362204724414E-5</c:v>
                </c:pt>
                <c:pt idx="45">
                  <c:v>3.1003937007874016E-5</c:v>
                </c:pt>
                <c:pt idx="46">
                  <c:v>3.1444881889763776E-5</c:v>
                </c:pt>
                <c:pt idx="47">
                  <c:v>3.1933070866141738E-5</c:v>
                </c:pt>
                <c:pt idx="48">
                  <c:v>3.2460629921259845E-5</c:v>
                </c:pt>
                <c:pt idx="49">
                  <c:v>3.3035433070866147E-5</c:v>
                </c:pt>
                <c:pt idx="50">
                  <c:v>3.3578740157480318E-5</c:v>
                </c:pt>
                <c:pt idx="51">
                  <c:v>3.4212598425196851E-5</c:v>
                </c:pt>
                <c:pt idx="52">
                  <c:v>3.4862204724409448E-5</c:v>
                </c:pt>
                <c:pt idx="53">
                  <c:v>3.553543307086614E-5</c:v>
                </c:pt>
                <c:pt idx="54">
                  <c:v>3.6232283464566932E-5</c:v>
                </c:pt>
                <c:pt idx="55">
                  <c:v>3.6952755905511817E-5</c:v>
                </c:pt>
                <c:pt idx="56">
                  <c:v>3.7732283464566927E-5</c:v>
                </c:pt>
                <c:pt idx="57">
                  <c:v>3.8539370078740159E-5</c:v>
                </c:pt>
                <c:pt idx="58">
                  <c:v>3.9318897637795276E-5</c:v>
                </c:pt>
                <c:pt idx="59">
                  <c:v>4.0106299212598429E-5</c:v>
                </c:pt>
                <c:pt idx="60">
                  <c:v>4.0826771653543308E-5</c:v>
                </c:pt>
                <c:pt idx="61">
                  <c:v>4.1385826771653544E-5</c:v>
                </c:pt>
                <c:pt idx="62">
                  <c:v>4.1783464566929132E-5</c:v>
                </c:pt>
                <c:pt idx="63">
                  <c:v>4.1807086614173226E-5</c:v>
                </c:pt>
                <c:pt idx="64">
                  <c:v>4.1736220472440951E-5</c:v>
                </c:pt>
                <c:pt idx="65">
                  <c:v>4.1066929133858267E-5</c:v>
                </c:pt>
                <c:pt idx="66">
                  <c:v>4.2440944881889765E-5</c:v>
                </c:pt>
                <c:pt idx="67">
                  <c:v>4.4614173228346459E-5</c:v>
                </c:pt>
                <c:pt idx="68">
                  <c:v>4.6716535433070864E-5</c:v>
                </c:pt>
                <c:pt idx="69">
                  <c:v>4.8188976377952759E-5</c:v>
                </c:pt>
                <c:pt idx="70">
                  <c:v>4.9803149606299216E-5</c:v>
                </c:pt>
                <c:pt idx="71">
                  <c:v>5.1102362204724418E-5</c:v>
                </c:pt>
                <c:pt idx="72">
                  <c:v>5.2204724409448819E-5</c:v>
                </c:pt>
                <c:pt idx="73">
                  <c:v>5.3110236220472441E-5</c:v>
                </c:pt>
                <c:pt idx="74">
                  <c:v>5.3503937007874021E-5</c:v>
                </c:pt>
                <c:pt idx="75">
                  <c:v>5.4291338582677167E-5</c:v>
                </c:pt>
                <c:pt idx="76">
                  <c:v>5.5000000000000016E-5</c:v>
                </c:pt>
                <c:pt idx="77">
                  <c:v>5.5708661417322837E-5</c:v>
                </c:pt>
                <c:pt idx="78">
                  <c:v>5.6377952755905521E-5</c:v>
                </c:pt>
                <c:pt idx="79">
                  <c:v>5.7086614173228343E-5</c:v>
                </c:pt>
                <c:pt idx="80">
                  <c:v>5.7795275590551178E-5</c:v>
                </c:pt>
                <c:pt idx="81">
                  <c:v>5.8503937007874027E-5</c:v>
                </c:pt>
                <c:pt idx="82">
                  <c:v>5.9212598425196849E-5</c:v>
                </c:pt>
                <c:pt idx="83">
                  <c:v>5.9921259842519684E-5</c:v>
                </c:pt>
                <c:pt idx="84">
                  <c:v>6.0236220472440947E-5</c:v>
                </c:pt>
                <c:pt idx="85">
                  <c:v>6.0944881889763782E-5</c:v>
                </c:pt>
                <c:pt idx="86">
                  <c:v>6.1692913385826776E-5</c:v>
                </c:pt>
                <c:pt idx="87">
                  <c:v>6.2440944881889763E-5</c:v>
                </c:pt>
                <c:pt idx="88">
                  <c:v>6.3149606299212605E-5</c:v>
                </c:pt>
                <c:pt idx="89">
                  <c:v>6.3897637795275593E-5</c:v>
                </c:pt>
                <c:pt idx="90">
                  <c:v>6.4645669291338594E-5</c:v>
                </c:pt>
                <c:pt idx="91">
                  <c:v>6.4999999999999994E-5</c:v>
                </c:pt>
                <c:pt idx="92">
                  <c:v>6.5748031496062995E-5</c:v>
                </c:pt>
                <c:pt idx="93">
                  <c:v>6.6496062992125982E-5</c:v>
                </c:pt>
                <c:pt idx="94">
                  <c:v>6.7244094488188983E-5</c:v>
                </c:pt>
                <c:pt idx="95">
                  <c:v>6.799212598425197E-5</c:v>
                </c:pt>
                <c:pt idx="96">
                  <c:v>6.8740157480314971E-5</c:v>
                </c:pt>
                <c:pt idx="97">
                  <c:v>6.94488188976378E-5</c:v>
                </c:pt>
                <c:pt idx="98">
                  <c:v>6.9803149606299214E-5</c:v>
                </c:pt>
                <c:pt idx="99">
                  <c:v>7.0511811023622043E-5</c:v>
                </c:pt>
                <c:pt idx="100">
                  <c:v>7.1259842519685044E-5</c:v>
                </c:pt>
                <c:pt idx="101">
                  <c:v>7.1968503937007886E-5</c:v>
                </c:pt>
                <c:pt idx="102">
                  <c:v>7.2677165354330714E-5</c:v>
                </c:pt>
                <c:pt idx="103">
                  <c:v>7.3425196850393715E-5</c:v>
                </c:pt>
                <c:pt idx="104">
                  <c:v>7.413385826771653E-5</c:v>
                </c:pt>
                <c:pt idx="105">
                  <c:v>7.4842519685039372E-5</c:v>
                </c:pt>
                <c:pt idx="106">
                  <c:v>7.5551181102362201E-5</c:v>
                </c:pt>
                <c:pt idx="107">
                  <c:v>7.6692913385826788E-5</c:v>
                </c:pt>
                <c:pt idx="108">
                  <c:v>7.7401574803149603E-5</c:v>
                </c:pt>
                <c:pt idx="109">
                  <c:v>7.8149606299212618E-5</c:v>
                </c:pt>
                <c:pt idx="110">
                  <c:v>7.9251968503937019E-5</c:v>
                </c:pt>
                <c:pt idx="111">
                  <c:v>8.0000000000000007E-5</c:v>
                </c:pt>
                <c:pt idx="112">
                  <c:v>8.1141732283464567E-5</c:v>
                </c:pt>
                <c:pt idx="113">
                  <c:v>8.2244094488188982E-5</c:v>
                </c:pt>
                <c:pt idx="114">
                  <c:v>8.2992125984251969E-5</c:v>
                </c:pt>
                <c:pt idx="115">
                  <c:v>8.4527559055118116E-5</c:v>
                </c:pt>
                <c:pt idx="116">
                  <c:v>8.5669291338582676E-5</c:v>
                </c:pt>
                <c:pt idx="117">
                  <c:v>8.6850393700787395E-5</c:v>
                </c:pt>
                <c:pt idx="118">
                  <c:v>8.8385826771653528E-5</c:v>
                </c:pt>
                <c:pt idx="119">
                  <c:v>8.9921259842519688E-5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820-44FF-B3BF-82963C1F5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232"/>
        <c:axId val="1"/>
      </c:scatterChart>
      <c:valAx>
        <c:axId val="1346360232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5991640750788504"/>
              <c:y val="0.9136711327940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3.3755265885881909E-2"/>
              <c:y val="0.2829743093047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360232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1.5" header="0.75" footer="0.75"/>
    <c:pageSetup orientation="landscape"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Human</a:t>
            </a:r>
            <a:r>
              <a:rPr lang="en-US" sz="1400" b="1" baseline="0"/>
              <a:t> Perception Curve</a:t>
            </a:r>
          </a:p>
          <a:p>
            <a:pPr>
              <a:defRPr/>
            </a:pPr>
            <a:endParaRPr lang="en-US" sz="600" b="1" baseline="0"/>
          </a:p>
          <a:p>
            <a:pPr>
              <a:defRPr/>
            </a:pPr>
            <a:r>
              <a:rPr lang="en-US" sz="1200" b="1" baseline="0">
                <a:solidFill>
                  <a:srgbClr val="FF0000"/>
                </a:solidFill>
              </a:rPr>
              <a:t>Point 4 - NW Corner</a:t>
            </a:r>
            <a:endParaRPr lang="en-US" sz="12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69036276798548"/>
          <c:y val="0.13311664149862262"/>
          <c:w val="0.79580356821014242"/>
          <c:h val="0.75242850741218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5FB-4AE4-BFC8-1FC0E5C054CA}"/>
              </c:ext>
            </c:extLst>
          </c:dPt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1.4784808479739018E-4</c:v>
                </c:pt>
                <c:pt idx="1">
                  <c:v>1.4784808479739018E-4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FB-4AE4-BFC8-1FC0E5C054CA}"/>
            </c:ext>
          </c:extLst>
        </c:ser>
        <c:ser>
          <c:idx val="10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1424</c:v>
                </c:pt>
                <c:pt idx="1">
                  <c:v>1424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FB-4AE4-BFC8-1FC0E5C054CA}"/>
            </c:ext>
          </c:extLst>
        </c:ser>
        <c:ser>
          <c:idx val="1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1780</c:v>
                </c:pt>
                <c:pt idx="1">
                  <c:v>1780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FB-4AE4-BFC8-1FC0E5C054CA}"/>
            </c:ext>
          </c:extLst>
        </c:ser>
        <c:ser>
          <c:idx val="1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2136</c:v>
                </c:pt>
                <c:pt idx="1">
                  <c:v>2136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5FB-4AE4-BFC8-1FC0E5C054CA}"/>
            </c:ext>
          </c:extLst>
        </c:ser>
        <c:ser>
          <c:idx val="7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limits!$A$9:$A$12</c:f>
              <c:numCache>
                <c:formatCode>General</c:formatCode>
                <c:ptCount val="4"/>
                <c:pt idx="0">
                  <c:v>100</c:v>
                </c:pt>
                <c:pt idx="1">
                  <c:v>2300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limits!$B$9:$B$12</c:f>
              <c:numCache>
                <c:formatCode>General</c:formatCode>
                <c:ptCount val="4"/>
                <c:pt idx="0">
                  <c:v>0.1</c:v>
                </c:pt>
                <c:pt idx="1">
                  <c:v>5.5000000000000003E-4</c:v>
                </c:pt>
                <c:pt idx="2">
                  <c:v>1.2999999999999999E-4</c:v>
                </c:pt>
                <c:pt idx="3">
                  <c:v>1.45E-5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5FB-4AE4-BFC8-1FC0E5C054CA}"/>
            </c:ext>
          </c:extLst>
        </c:ser>
        <c:ser>
          <c:idx val="3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limits!$B$4:$B$6</c:f>
              <c:numCache>
                <c:formatCode>General</c:formatCode>
                <c:ptCount val="3"/>
                <c:pt idx="0">
                  <c:v>9.2999999999999992E-3</c:v>
                </c:pt>
                <c:pt idx="1">
                  <c:v>1E-4</c:v>
                </c:pt>
                <c:pt idx="2">
                  <c:v>1.1E-5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5FB-4AE4-BFC8-1FC0E5C054CA}"/>
            </c:ext>
          </c:extLst>
        </c:ser>
        <c:ser>
          <c:idx val="5"/>
          <c:order val="6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limits!$C$4:$C$6</c:f>
              <c:numCache>
                <c:formatCode>General</c:formatCode>
                <c:ptCount val="3"/>
                <c:pt idx="0">
                  <c:v>3.3E-3</c:v>
                </c:pt>
                <c:pt idx="1">
                  <c:v>3.3000000000000003E-5</c:v>
                </c:pt>
                <c:pt idx="2">
                  <c:v>3.3299999999999999E-6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5FB-4AE4-BFC8-1FC0E5C054CA}"/>
            </c:ext>
          </c:extLst>
        </c:ser>
        <c:ser>
          <c:idx val="6"/>
          <c:order val="7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limits!$D$4:$D$6</c:f>
              <c:numCache>
                <c:formatCode>General</c:formatCode>
                <c:ptCount val="3"/>
                <c:pt idx="0">
                  <c:v>1.1999999999999999E-3</c:v>
                </c:pt>
                <c:pt idx="1">
                  <c:v>1.0000000000000001E-5</c:v>
                </c:pt>
                <c:pt idx="2">
                  <c:v>8.9999999999999996E-7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5FB-4AE4-BFC8-1FC0E5C054CA}"/>
            </c:ext>
          </c:extLst>
        </c:ser>
        <c:ser>
          <c:idx val="18"/>
          <c:order val="8"/>
          <c:tx>
            <c:v>X-Translation</c:v>
          </c:tx>
          <c:spPr>
            <a:ln w="1905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P4_UB!$A$7:$A$126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P4_UB!$F$7:$F$126</c:f>
              <c:numCache>
                <c:formatCode>0.00E+00</c:formatCode>
                <c:ptCount val="120"/>
                <c:pt idx="0">
                  <c:v>3.2007874015748034E-8</c:v>
                </c:pt>
                <c:pt idx="1">
                  <c:v>1.3031496062992128E-7</c:v>
                </c:pt>
                <c:pt idx="2">
                  <c:v>2.9645669291338582E-7</c:v>
                </c:pt>
                <c:pt idx="3">
                  <c:v>5.3543307086614168E-7</c:v>
                </c:pt>
                <c:pt idx="4">
                  <c:v>8.5826771653543313E-7</c:v>
                </c:pt>
                <c:pt idx="5">
                  <c:v>1.2716535433070869E-6</c:v>
                </c:pt>
                <c:pt idx="6">
                  <c:v>1.7913385826771655E-6</c:v>
                </c:pt>
                <c:pt idx="7">
                  <c:v>2.4448818897637797E-6</c:v>
                </c:pt>
                <c:pt idx="8">
                  <c:v>3.2519685039370083E-6</c:v>
                </c:pt>
                <c:pt idx="9">
                  <c:v>4.2559055118110234E-6</c:v>
                </c:pt>
                <c:pt idx="10">
                  <c:v>5.4803149606299214E-6</c:v>
                </c:pt>
                <c:pt idx="11">
                  <c:v>6.9055118110236229E-6</c:v>
                </c:pt>
                <c:pt idx="12">
                  <c:v>8.4488188976377944E-6</c:v>
                </c:pt>
                <c:pt idx="13">
                  <c:v>9.8740157480314958E-6</c:v>
                </c:pt>
                <c:pt idx="14">
                  <c:v>1.0826771653543309E-5</c:v>
                </c:pt>
                <c:pt idx="15">
                  <c:v>1.1614173228346456E-5</c:v>
                </c:pt>
                <c:pt idx="16">
                  <c:v>1.2440944881889766E-5</c:v>
                </c:pt>
                <c:pt idx="17">
                  <c:v>1.3503937007874017E-5</c:v>
                </c:pt>
                <c:pt idx="18">
                  <c:v>1.4842519685039371E-5</c:v>
                </c:pt>
                <c:pt idx="19">
                  <c:v>1.6535433070866142E-5</c:v>
                </c:pt>
                <c:pt idx="20">
                  <c:v>1.8464566929133858E-5</c:v>
                </c:pt>
                <c:pt idx="21">
                  <c:v>2.0590551181102364E-5</c:v>
                </c:pt>
                <c:pt idx="22">
                  <c:v>2.2913385826771654E-5</c:v>
                </c:pt>
                <c:pt idx="23">
                  <c:v>2.5433070866141736E-5</c:v>
                </c:pt>
                <c:pt idx="24">
                  <c:v>2.8228346456692919E-5</c:v>
                </c:pt>
                <c:pt idx="25">
                  <c:v>3.1377952755905509E-5</c:v>
                </c:pt>
                <c:pt idx="26">
                  <c:v>3.4881889763779528E-5</c:v>
                </c:pt>
                <c:pt idx="27">
                  <c:v>3.8779527559055126E-5</c:v>
                </c:pt>
                <c:pt idx="28">
                  <c:v>4.3031496062992131E-5</c:v>
                </c:pt>
                <c:pt idx="29">
                  <c:v>4.7559055118110241E-5</c:v>
                </c:pt>
                <c:pt idx="30">
                  <c:v>5.2204724409448826E-5</c:v>
                </c:pt>
                <c:pt idx="31">
                  <c:v>5.6850393700787398E-5</c:v>
                </c:pt>
                <c:pt idx="32">
                  <c:v>6.1141732283464569E-5</c:v>
                </c:pt>
                <c:pt idx="33">
                  <c:v>6.4999999999999994E-5</c:v>
                </c:pt>
                <c:pt idx="34">
                  <c:v>6.8110236220472446E-5</c:v>
                </c:pt>
                <c:pt idx="35">
                  <c:v>6.964566929133858E-5</c:v>
                </c:pt>
                <c:pt idx="36">
                  <c:v>7.1181102362204726E-5</c:v>
                </c:pt>
                <c:pt idx="37">
                  <c:v>7.23228346456693E-5</c:v>
                </c:pt>
                <c:pt idx="38">
                  <c:v>7.3070866141732274E-5</c:v>
                </c:pt>
                <c:pt idx="39">
                  <c:v>7.3425196850393702E-5</c:v>
                </c:pt>
                <c:pt idx="40">
                  <c:v>7.3385826771653543E-5</c:v>
                </c:pt>
                <c:pt idx="41">
                  <c:v>7.3385826771653543E-5</c:v>
                </c:pt>
                <c:pt idx="42">
                  <c:v>7.3346456692913398E-5</c:v>
                </c:pt>
                <c:pt idx="43">
                  <c:v>7.2913385826771639E-5</c:v>
                </c:pt>
                <c:pt idx="44">
                  <c:v>7.251968503937008E-5</c:v>
                </c:pt>
                <c:pt idx="45">
                  <c:v>7.1732283464566934E-5</c:v>
                </c:pt>
                <c:pt idx="46">
                  <c:v>7.0905511811023629E-5</c:v>
                </c:pt>
                <c:pt idx="47">
                  <c:v>6.9685039370078752E-5</c:v>
                </c:pt>
                <c:pt idx="48">
                  <c:v>6.8110236220472446E-5</c:v>
                </c:pt>
                <c:pt idx="49">
                  <c:v>6.6889763779527569E-5</c:v>
                </c:pt>
                <c:pt idx="50">
                  <c:v>6.4881889763779532E-5</c:v>
                </c:pt>
                <c:pt idx="51">
                  <c:v>6.3267716535433068E-5</c:v>
                </c:pt>
                <c:pt idx="52">
                  <c:v>6.1220472440944886E-5</c:v>
                </c:pt>
                <c:pt idx="53">
                  <c:v>5.9212598425196849E-5</c:v>
                </c:pt>
                <c:pt idx="54">
                  <c:v>5.716535433070866E-5</c:v>
                </c:pt>
                <c:pt idx="55">
                  <c:v>5.5118110236220485E-5</c:v>
                </c:pt>
                <c:pt idx="56">
                  <c:v>5.3110236220472441E-5</c:v>
                </c:pt>
                <c:pt idx="57">
                  <c:v>5.1062992125984252E-5</c:v>
                </c:pt>
                <c:pt idx="58">
                  <c:v>4.9409448818897636E-5</c:v>
                </c:pt>
                <c:pt idx="59">
                  <c:v>4.7362204724409447E-5</c:v>
                </c:pt>
                <c:pt idx="60">
                  <c:v>4.5748031496062997E-5</c:v>
                </c:pt>
                <c:pt idx="61">
                  <c:v>4.4291338582677174E-5</c:v>
                </c:pt>
                <c:pt idx="62">
                  <c:v>4.2795275590551179E-5</c:v>
                </c:pt>
                <c:pt idx="63">
                  <c:v>4.1377952755905515E-5</c:v>
                </c:pt>
                <c:pt idx="64">
                  <c:v>4.0039370078740155E-5</c:v>
                </c:pt>
                <c:pt idx="65">
                  <c:v>3.8779527559055119E-5</c:v>
                </c:pt>
                <c:pt idx="66">
                  <c:v>3.7677165354330711E-5</c:v>
                </c:pt>
                <c:pt idx="67">
                  <c:v>3.6614173228346454E-5</c:v>
                </c:pt>
                <c:pt idx="68">
                  <c:v>3.559055118110237E-5</c:v>
                </c:pt>
                <c:pt idx="69">
                  <c:v>3.4685039370078741E-5</c:v>
                </c:pt>
                <c:pt idx="70">
                  <c:v>3.3740157480314961E-5</c:v>
                </c:pt>
                <c:pt idx="71">
                  <c:v>3.2755905511811028E-5</c:v>
                </c:pt>
                <c:pt idx="72">
                  <c:v>3.1889763779527558E-5</c:v>
                </c:pt>
                <c:pt idx="73">
                  <c:v>3.0984251968503937E-5</c:v>
                </c:pt>
                <c:pt idx="74">
                  <c:v>3.0196850393700787E-5</c:v>
                </c:pt>
                <c:pt idx="75">
                  <c:v>2.9409448818897641E-5</c:v>
                </c:pt>
                <c:pt idx="76">
                  <c:v>2.8661417322834647E-5</c:v>
                </c:pt>
                <c:pt idx="77">
                  <c:v>2.7992125984251971E-5</c:v>
                </c:pt>
                <c:pt idx="78">
                  <c:v>2.7362204724409449E-5</c:v>
                </c:pt>
                <c:pt idx="79">
                  <c:v>2.6732283464566934E-5</c:v>
                </c:pt>
                <c:pt idx="80">
                  <c:v>2.6102362204724413E-5</c:v>
                </c:pt>
                <c:pt idx="81">
                  <c:v>2.5472440944881891E-5</c:v>
                </c:pt>
                <c:pt idx="82">
                  <c:v>2.4921259842519687E-5</c:v>
                </c:pt>
                <c:pt idx="83">
                  <c:v>2.437007874015748E-5</c:v>
                </c:pt>
                <c:pt idx="84">
                  <c:v>2.377952755905512E-5</c:v>
                </c:pt>
                <c:pt idx="85">
                  <c:v>2.3267716535433071E-5</c:v>
                </c:pt>
                <c:pt idx="86">
                  <c:v>2.2716535433070864E-5</c:v>
                </c:pt>
                <c:pt idx="87">
                  <c:v>2.2283464566929136E-5</c:v>
                </c:pt>
                <c:pt idx="88">
                  <c:v>2.1771653543307087E-5</c:v>
                </c:pt>
                <c:pt idx="89">
                  <c:v>2.1338582677165355E-5</c:v>
                </c:pt>
                <c:pt idx="90">
                  <c:v>2.0905511811023623E-5</c:v>
                </c:pt>
                <c:pt idx="91">
                  <c:v>2.0511811023622047E-5</c:v>
                </c:pt>
                <c:pt idx="92">
                  <c:v>2.0118110236220471E-5</c:v>
                </c:pt>
                <c:pt idx="93">
                  <c:v>1.976377952755906E-5</c:v>
                </c:pt>
                <c:pt idx="94">
                  <c:v>1.9409448818897635E-5</c:v>
                </c:pt>
                <c:pt idx="95">
                  <c:v>1.909448818897638E-5</c:v>
                </c:pt>
                <c:pt idx="96">
                  <c:v>1.8779527559055121E-5</c:v>
                </c:pt>
                <c:pt idx="97">
                  <c:v>1.8503937007874017E-5</c:v>
                </c:pt>
                <c:pt idx="98">
                  <c:v>1.822834645669291E-5</c:v>
                </c:pt>
                <c:pt idx="99">
                  <c:v>1.7992125984251971E-5</c:v>
                </c:pt>
                <c:pt idx="100">
                  <c:v>1.7755905511811026E-5</c:v>
                </c:pt>
                <c:pt idx="101">
                  <c:v>1.7519685039370078E-5</c:v>
                </c:pt>
                <c:pt idx="102">
                  <c:v>1.7322834645669291E-5</c:v>
                </c:pt>
                <c:pt idx="103">
                  <c:v>1.7125984251968505E-5</c:v>
                </c:pt>
                <c:pt idx="104">
                  <c:v>1.6968503937007874E-5</c:v>
                </c:pt>
                <c:pt idx="105">
                  <c:v>1.6771653543307091E-5</c:v>
                </c:pt>
                <c:pt idx="106">
                  <c:v>1.6614173228346459E-5</c:v>
                </c:pt>
                <c:pt idx="107">
                  <c:v>1.6456692913385828E-5</c:v>
                </c:pt>
                <c:pt idx="108">
                  <c:v>1.6259842519685042E-5</c:v>
                </c:pt>
                <c:pt idx="109">
                  <c:v>1.610236220472441E-5</c:v>
                </c:pt>
                <c:pt idx="110">
                  <c:v>1.5984251968503938E-5</c:v>
                </c:pt>
                <c:pt idx="111">
                  <c:v>1.582677165354331E-5</c:v>
                </c:pt>
                <c:pt idx="112">
                  <c:v>1.5629921259842517E-5</c:v>
                </c:pt>
                <c:pt idx="113">
                  <c:v>1.5472440944881892E-5</c:v>
                </c:pt>
                <c:pt idx="114">
                  <c:v>1.5314960629921261E-5</c:v>
                </c:pt>
                <c:pt idx="115">
                  <c:v>1.5118110236220473E-5</c:v>
                </c:pt>
                <c:pt idx="116">
                  <c:v>1.4921259842519686E-5</c:v>
                </c:pt>
                <c:pt idx="117">
                  <c:v>1.4763779527559057E-5</c:v>
                </c:pt>
                <c:pt idx="118">
                  <c:v>1.452755905511811E-5</c:v>
                </c:pt>
                <c:pt idx="119">
                  <c:v>1.4330708661417324E-5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5FB-4AE4-BFC8-1FC0E5C054CA}"/>
            </c:ext>
          </c:extLst>
        </c:ser>
        <c:ser>
          <c:idx val="21"/>
          <c:order val="9"/>
          <c:tx>
            <c:v>Y-Translation</c:v>
          </c:tx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P4_UB!$A$7:$A$126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P4_UB!$G$7:$G$126</c:f>
              <c:numCache>
                <c:formatCode>0.00E+00</c:formatCode>
                <c:ptCount val="120"/>
                <c:pt idx="0">
                  <c:v>5.3740157480314962E-9</c:v>
                </c:pt>
                <c:pt idx="1">
                  <c:v>2.082677165354331E-8</c:v>
                </c:pt>
                <c:pt idx="2">
                  <c:v>4.6771653543307091E-8</c:v>
                </c:pt>
                <c:pt idx="3">
                  <c:v>8.5551181102362202E-8</c:v>
                </c:pt>
                <c:pt idx="4">
                  <c:v>1.3543307086614175E-7</c:v>
                </c:pt>
                <c:pt idx="5">
                  <c:v>1.9960629921259843E-7</c:v>
                </c:pt>
                <c:pt idx="6">
                  <c:v>2.7716535433070868E-7</c:v>
                </c:pt>
                <c:pt idx="7">
                  <c:v>3.7086614173228345E-7</c:v>
                </c:pt>
                <c:pt idx="8">
                  <c:v>4.8228346456692918E-7</c:v>
                </c:pt>
                <c:pt idx="9">
                  <c:v>6.1299212598425198E-7</c:v>
                </c:pt>
                <c:pt idx="10">
                  <c:v>7.614173228346458E-7</c:v>
                </c:pt>
                <c:pt idx="11">
                  <c:v>9.2637795275590554E-7</c:v>
                </c:pt>
                <c:pt idx="12">
                  <c:v>1.1062992125984252E-6</c:v>
                </c:pt>
                <c:pt idx="13">
                  <c:v>1.2834645669291338E-6</c:v>
                </c:pt>
                <c:pt idx="14">
                  <c:v>1.4645669291338584E-6</c:v>
                </c:pt>
                <c:pt idx="15">
                  <c:v>1.6732283464566931E-6</c:v>
                </c:pt>
                <c:pt idx="16">
                  <c:v>1.9212598425196851E-6</c:v>
                </c:pt>
                <c:pt idx="17">
                  <c:v>2.2165354330708661E-6</c:v>
                </c:pt>
                <c:pt idx="18">
                  <c:v>2.5511811023622049E-6</c:v>
                </c:pt>
                <c:pt idx="19">
                  <c:v>2.8976377952755906E-6</c:v>
                </c:pt>
                <c:pt idx="20">
                  <c:v>3.2362204724409452E-6</c:v>
                </c:pt>
                <c:pt idx="21">
                  <c:v>3.5472440944881889E-6</c:v>
                </c:pt>
                <c:pt idx="22">
                  <c:v>3.8188976377952765E-6</c:v>
                </c:pt>
                <c:pt idx="23">
                  <c:v>4.0590551181102361E-6</c:v>
                </c:pt>
                <c:pt idx="24">
                  <c:v>4.2795275590551181E-6</c:v>
                </c:pt>
                <c:pt idx="25">
                  <c:v>4.4763779527559054E-6</c:v>
                </c:pt>
                <c:pt idx="26">
                  <c:v>4.6574803149606296E-6</c:v>
                </c:pt>
                <c:pt idx="27">
                  <c:v>4.8188976377952771E-6</c:v>
                </c:pt>
                <c:pt idx="28">
                  <c:v>4.9685039370078742E-6</c:v>
                </c:pt>
                <c:pt idx="29">
                  <c:v>5.1062992125984261E-6</c:v>
                </c:pt>
                <c:pt idx="30">
                  <c:v>5.24015748031496E-6</c:v>
                </c:pt>
                <c:pt idx="31">
                  <c:v>5.3858267716535443E-6</c:v>
                </c:pt>
                <c:pt idx="32">
                  <c:v>5.5669291338582685E-6</c:v>
                </c:pt>
                <c:pt idx="33">
                  <c:v>5.8228346456692913E-6</c:v>
                </c:pt>
                <c:pt idx="34">
                  <c:v>6.1220472440944881E-6</c:v>
                </c:pt>
                <c:pt idx="35">
                  <c:v>6.6968503937007886E-6</c:v>
                </c:pt>
                <c:pt idx="36">
                  <c:v>7.2322834645669305E-6</c:v>
                </c:pt>
                <c:pt idx="37">
                  <c:v>7.9251968503937019E-6</c:v>
                </c:pt>
                <c:pt idx="38">
                  <c:v>8.6968503937007881E-6</c:v>
                </c:pt>
                <c:pt idx="39">
                  <c:v>9.5511811023622061E-6</c:v>
                </c:pt>
                <c:pt idx="40">
                  <c:v>1.0484251968503938E-5</c:v>
                </c:pt>
                <c:pt idx="41">
                  <c:v>1.1456692913385827E-5</c:v>
                </c:pt>
                <c:pt idx="42">
                  <c:v>1.2511811023622049E-5</c:v>
                </c:pt>
                <c:pt idx="43">
                  <c:v>1.356692913385827E-5</c:v>
                </c:pt>
                <c:pt idx="44">
                  <c:v>1.4657480314960631E-5</c:v>
                </c:pt>
                <c:pt idx="45">
                  <c:v>1.5708661417322834E-5</c:v>
                </c:pt>
                <c:pt idx="46">
                  <c:v>1.6720472440944885E-5</c:v>
                </c:pt>
                <c:pt idx="47">
                  <c:v>1.7732283464566929E-5</c:v>
                </c:pt>
                <c:pt idx="48">
                  <c:v>1.862204724409449E-5</c:v>
                </c:pt>
                <c:pt idx="49">
                  <c:v>1.9389763779527563E-5</c:v>
                </c:pt>
                <c:pt idx="50">
                  <c:v>2.0078740157480319E-5</c:v>
                </c:pt>
                <c:pt idx="51">
                  <c:v>2.0681102362204725E-5</c:v>
                </c:pt>
                <c:pt idx="52">
                  <c:v>2.1165354330708666E-5</c:v>
                </c:pt>
                <c:pt idx="53">
                  <c:v>2.1531496062992127E-5</c:v>
                </c:pt>
                <c:pt idx="54">
                  <c:v>2.181496062992126E-5</c:v>
                </c:pt>
                <c:pt idx="55">
                  <c:v>2.2019685039370082E-5</c:v>
                </c:pt>
                <c:pt idx="56">
                  <c:v>2.2145669291338587E-5</c:v>
                </c:pt>
                <c:pt idx="57">
                  <c:v>2.2196850393700789E-5</c:v>
                </c:pt>
                <c:pt idx="58">
                  <c:v>2.2216535433070869E-5</c:v>
                </c:pt>
                <c:pt idx="59">
                  <c:v>2.2236220472440945E-5</c:v>
                </c:pt>
                <c:pt idx="60">
                  <c:v>2.2185039370078746E-5</c:v>
                </c:pt>
                <c:pt idx="61">
                  <c:v>2.2133858267716537E-5</c:v>
                </c:pt>
                <c:pt idx="62">
                  <c:v>2.2047244094488194E-5</c:v>
                </c:pt>
                <c:pt idx="63">
                  <c:v>2.1952755905511812E-5</c:v>
                </c:pt>
                <c:pt idx="64">
                  <c:v>2.1850393700787404E-5</c:v>
                </c:pt>
                <c:pt idx="65">
                  <c:v>2.1736220472440943E-5</c:v>
                </c:pt>
                <c:pt idx="66">
                  <c:v>2.1614173228346455E-5</c:v>
                </c:pt>
                <c:pt idx="67">
                  <c:v>2.1460629921259842E-5</c:v>
                </c:pt>
                <c:pt idx="68">
                  <c:v>2.1374015748031499E-5</c:v>
                </c:pt>
                <c:pt idx="69">
                  <c:v>2.1314960629921261E-5</c:v>
                </c:pt>
                <c:pt idx="70">
                  <c:v>2.1240157480314958E-5</c:v>
                </c:pt>
                <c:pt idx="71">
                  <c:v>2.1181102362204727E-5</c:v>
                </c:pt>
                <c:pt idx="72">
                  <c:v>2.1161417322834648E-5</c:v>
                </c:pt>
                <c:pt idx="73">
                  <c:v>2.1094488188976381E-5</c:v>
                </c:pt>
                <c:pt idx="74">
                  <c:v>2.1055118110236226E-5</c:v>
                </c:pt>
                <c:pt idx="75">
                  <c:v>2.1011811023622049E-5</c:v>
                </c:pt>
                <c:pt idx="76">
                  <c:v>2.0964566929133858E-5</c:v>
                </c:pt>
                <c:pt idx="77">
                  <c:v>2.0909448818897638E-5</c:v>
                </c:pt>
                <c:pt idx="78">
                  <c:v>2.08503937007874E-5</c:v>
                </c:pt>
                <c:pt idx="79">
                  <c:v>2.082677165354331E-5</c:v>
                </c:pt>
                <c:pt idx="80">
                  <c:v>2.0763779527559054E-5</c:v>
                </c:pt>
                <c:pt idx="81">
                  <c:v>2.069685039370079E-5</c:v>
                </c:pt>
                <c:pt idx="82">
                  <c:v>2.066535433070866E-5</c:v>
                </c:pt>
                <c:pt idx="83">
                  <c:v>2.0590551181102364E-5</c:v>
                </c:pt>
                <c:pt idx="84">
                  <c:v>2.0551181102362206E-5</c:v>
                </c:pt>
                <c:pt idx="85">
                  <c:v>2.0476377952755906E-5</c:v>
                </c:pt>
                <c:pt idx="86">
                  <c:v>2.0397637795275589E-5</c:v>
                </c:pt>
                <c:pt idx="87">
                  <c:v>2.0354330708661419E-5</c:v>
                </c:pt>
                <c:pt idx="88">
                  <c:v>2.0275590551181105E-5</c:v>
                </c:pt>
                <c:pt idx="89">
                  <c:v>2.0232283464566929E-5</c:v>
                </c:pt>
                <c:pt idx="90">
                  <c:v>2.0153543307086615E-5</c:v>
                </c:pt>
                <c:pt idx="91">
                  <c:v>2.0110236220472438E-5</c:v>
                </c:pt>
                <c:pt idx="92">
                  <c:v>2.0070866141732283E-5</c:v>
                </c:pt>
                <c:pt idx="93">
                  <c:v>2.002755905511811E-5</c:v>
                </c:pt>
                <c:pt idx="94">
                  <c:v>1.9988188976377955E-5</c:v>
                </c:pt>
                <c:pt idx="95">
                  <c:v>1.9948818897637793E-5</c:v>
                </c:pt>
                <c:pt idx="96">
                  <c:v>1.990551181102362E-5</c:v>
                </c:pt>
                <c:pt idx="97">
                  <c:v>1.9866141732283468E-5</c:v>
                </c:pt>
                <c:pt idx="98">
                  <c:v>1.9866141732283468E-5</c:v>
                </c:pt>
                <c:pt idx="99">
                  <c:v>1.9826771653543309E-5</c:v>
                </c:pt>
                <c:pt idx="100">
                  <c:v>1.9783464566929132E-5</c:v>
                </c:pt>
                <c:pt idx="101">
                  <c:v>1.9783464566929132E-5</c:v>
                </c:pt>
                <c:pt idx="102">
                  <c:v>1.9740157480314959E-5</c:v>
                </c:pt>
                <c:pt idx="103">
                  <c:v>1.9740157480314959E-5</c:v>
                </c:pt>
                <c:pt idx="104">
                  <c:v>1.9740157480314959E-5</c:v>
                </c:pt>
                <c:pt idx="105">
                  <c:v>1.9696850393700786E-5</c:v>
                </c:pt>
                <c:pt idx="106">
                  <c:v>1.9692913385826775E-5</c:v>
                </c:pt>
                <c:pt idx="107">
                  <c:v>1.9692913385826775E-5</c:v>
                </c:pt>
                <c:pt idx="108">
                  <c:v>1.9649606299212602E-5</c:v>
                </c:pt>
                <c:pt idx="109">
                  <c:v>1.9645669291338584E-5</c:v>
                </c:pt>
                <c:pt idx="110">
                  <c:v>1.9606299212598429E-5</c:v>
                </c:pt>
                <c:pt idx="111">
                  <c:v>1.9602362204724411E-5</c:v>
                </c:pt>
                <c:pt idx="112">
                  <c:v>1.9559055118110234E-5</c:v>
                </c:pt>
                <c:pt idx="113">
                  <c:v>1.955511811023622E-5</c:v>
                </c:pt>
                <c:pt idx="114">
                  <c:v>1.951181102362205E-5</c:v>
                </c:pt>
                <c:pt idx="115">
                  <c:v>1.9468503937007877E-5</c:v>
                </c:pt>
                <c:pt idx="116">
                  <c:v>1.94251968503937E-5</c:v>
                </c:pt>
                <c:pt idx="117">
                  <c:v>1.9385826771653545E-5</c:v>
                </c:pt>
                <c:pt idx="118">
                  <c:v>1.9342519685039368E-5</c:v>
                </c:pt>
                <c:pt idx="119">
                  <c:v>1.925984251968504E-5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5FB-4AE4-BFC8-1FC0E5C054CA}"/>
            </c:ext>
          </c:extLst>
        </c:ser>
        <c:ser>
          <c:idx val="22"/>
          <c:order val="10"/>
          <c:tx>
            <c:v>Z-Translation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P4_UB!$A$7:$A$126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P4_UB!$H$7:$H$126</c:f>
              <c:numCache>
                <c:formatCode>0.00E+00</c:formatCode>
                <c:ptCount val="120"/>
                <c:pt idx="0">
                  <c:v>1.3299212598425199E-8</c:v>
                </c:pt>
                <c:pt idx="1">
                  <c:v>5.334645669291339E-8</c:v>
                </c:pt>
                <c:pt idx="2">
                  <c:v>1.2043307086614174E-7</c:v>
                </c:pt>
                <c:pt idx="3">
                  <c:v>2.1496062992125984E-7</c:v>
                </c:pt>
                <c:pt idx="4">
                  <c:v>3.3897637795275586E-7</c:v>
                </c:pt>
                <c:pt idx="5">
                  <c:v>4.9448818897637797E-7</c:v>
                </c:pt>
                <c:pt idx="6">
                  <c:v>6.8661417322834651E-7</c:v>
                </c:pt>
                <c:pt idx="7">
                  <c:v>9.1732283464566952E-7</c:v>
                </c:pt>
                <c:pt idx="8">
                  <c:v>1.1948818897637796E-6</c:v>
                </c:pt>
                <c:pt idx="9">
                  <c:v>1.5275590551181103E-6</c:v>
                </c:pt>
                <c:pt idx="10">
                  <c:v>1.9291338582677167E-6</c:v>
                </c:pt>
                <c:pt idx="11">
                  <c:v>2.4015748031496065E-6</c:v>
                </c:pt>
                <c:pt idx="12">
                  <c:v>2.9291338582677169E-6</c:v>
                </c:pt>
                <c:pt idx="13">
                  <c:v>3.4527559055118114E-6</c:v>
                </c:pt>
                <c:pt idx="14">
                  <c:v>3.9015748031496066E-6</c:v>
                </c:pt>
                <c:pt idx="15">
                  <c:v>4.3110236220472444E-6</c:v>
                </c:pt>
                <c:pt idx="16">
                  <c:v>4.7125984251968506E-6</c:v>
                </c:pt>
                <c:pt idx="17">
                  <c:v>5.1377952755905515E-6</c:v>
                </c:pt>
                <c:pt idx="18">
                  <c:v>5.6141732283464571E-6</c:v>
                </c:pt>
                <c:pt idx="19">
                  <c:v>6.1692913385826783E-6</c:v>
                </c:pt>
                <c:pt idx="20">
                  <c:v>6.7637795275590556E-6</c:v>
                </c:pt>
                <c:pt idx="21">
                  <c:v>7.4842519685039379E-6</c:v>
                </c:pt>
                <c:pt idx="22">
                  <c:v>8.2874015748031503E-6</c:v>
                </c:pt>
                <c:pt idx="23">
                  <c:v>9.2204724409448822E-6</c:v>
                </c:pt>
                <c:pt idx="24">
                  <c:v>1.0318897637795274E-5</c:v>
                </c:pt>
                <c:pt idx="25">
                  <c:v>1.1543307086614175E-5</c:v>
                </c:pt>
                <c:pt idx="26">
                  <c:v>1.2893700787401575E-5</c:v>
                </c:pt>
                <c:pt idx="27">
                  <c:v>1.4448818897637795E-5</c:v>
                </c:pt>
                <c:pt idx="28">
                  <c:v>1.6090551181102363E-5</c:v>
                </c:pt>
                <c:pt idx="29">
                  <c:v>1.7901574803149604E-5</c:v>
                </c:pt>
                <c:pt idx="30">
                  <c:v>1.9724409448818901E-5</c:v>
                </c:pt>
                <c:pt idx="31">
                  <c:v>2.1559055118110235E-5</c:v>
                </c:pt>
                <c:pt idx="32">
                  <c:v>2.3244094488188984E-5</c:v>
                </c:pt>
                <c:pt idx="33">
                  <c:v>2.4740157480314962E-5</c:v>
                </c:pt>
                <c:pt idx="34">
                  <c:v>2.5964566929133861E-5</c:v>
                </c:pt>
                <c:pt idx="35">
                  <c:v>2.6763779527559057E-5</c:v>
                </c:pt>
                <c:pt idx="36">
                  <c:v>2.7523622047244098E-5</c:v>
                </c:pt>
                <c:pt idx="37">
                  <c:v>2.8122047244094487E-5</c:v>
                </c:pt>
                <c:pt idx="38">
                  <c:v>2.8562992125984257E-5</c:v>
                </c:pt>
                <c:pt idx="39">
                  <c:v>2.8925196850393704E-5</c:v>
                </c:pt>
                <c:pt idx="40">
                  <c:v>2.9287401574803151E-5</c:v>
                </c:pt>
                <c:pt idx="41">
                  <c:v>2.9566929133858273E-5</c:v>
                </c:pt>
                <c:pt idx="42">
                  <c:v>2.9885826771653543E-5</c:v>
                </c:pt>
                <c:pt idx="43">
                  <c:v>3.0244094488188975E-5</c:v>
                </c:pt>
                <c:pt idx="44">
                  <c:v>3.0602362204724414E-5</c:v>
                </c:pt>
                <c:pt idx="45">
                  <c:v>3.1003937007874016E-5</c:v>
                </c:pt>
                <c:pt idx="46">
                  <c:v>3.1444881889763776E-5</c:v>
                </c:pt>
                <c:pt idx="47">
                  <c:v>3.1933070866141738E-5</c:v>
                </c:pt>
                <c:pt idx="48">
                  <c:v>3.2460629921259845E-5</c:v>
                </c:pt>
                <c:pt idx="49">
                  <c:v>3.3035433070866147E-5</c:v>
                </c:pt>
                <c:pt idx="50">
                  <c:v>3.3578740157480318E-5</c:v>
                </c:pt>
                <c:pt idx="51">
                  <c:v>3.4212598425196851E-5</c:v>
                </c:pt>
                <c:pt idx="52">
                  <c:v>3.4862204724409448E-5</c:v>
                </c:pt>
                <c:pt idx="53">
                  <c:v>3.553543307086614E-5</c:v>
                </c:pt>
                <c:pt idx="54">
                  <c:v>3.6232283464566932E-5</c:v>
                </c:pt>
                <c:pt idx="55">
                  <c:v>3.6952755905511817E-5</c:v>
                </c:pt>
                <c:pt idx="56">
                  <c:v>3.7732283464566927E-5</c:v>
                </c:pt>
                <c:pt idx="57">
                  <c:v>3.8539370078740159E-5</c:v>
                </c:pt>
                <c:pt idx="58">
                  <c:v>3.9318897637795276E-5</c:v>
                </c:pt>
                <c:pt idx="59">
                  <c:v>4.0106299212598429E-5</c:v>
                </c:pt>
                <c:pt idx="60">
                  <c:v>4.0826771653543308E-5</c:v>
                </c:pt>
                <c:pt idx="61">
                  <c:v>4.1385826771653544E-5</c:v>
                </c:pt>
                <c:pt idx="62">
                  <c:v>4.1783464566929132E-5</c:v>
                </c:pt>
                <c:pt idx="63">
                  <c:v>4.1807086614173226E-5</c:v>
                </c:pt>
                <c:pt idx="64">
                  <c:v>4.1736220472440951E-5</c:v>
                </c:pt>
                <c:pt idx="65">
                  <c:v>4.1066929133858267E-5</c:v>
                </c:pt>
                <c:pt idx="66">
                  <c:v>4.2440944881889765E-5</c:v>
                </c:pt>
                <c:pt idx="67">
                  <c:v>4.4614173228346459E-5</c:v>
                </c:pt>
                <c:pt idx="68">
                  <c:v>4.6716535433070864E-5</c:v>
                </c:pt>
                <c:pt idx="69">
                  <c:v>4.8188976377952759E-5</c:v>
                </c:pt>
                <c:pt idx="70">
                  <c:v>4.9803149606299216E-5</c:v>
                </c:pt>
                <c:pt idx="71">
                  <c:v>5.1102362204724418E-5</c:v>
                </c:pt>
                <c:pt idx="72">
                  <c:v>5.2204724409448819E-5</c:v>
                </c:pt>
                <c:pt idx="73">
                  <c:v>5.3110236220472441E-5</c:v>
                </c:pt>
                <c:pt idx="74">
                  <c:v>5.3503937007874021E-5</c:v>
                </c:pt>
                <c:pt idx="75">
                  <c:v>5.4291338582677167E-5</c:v>
                </c:pt>
                <c:pt idx="76">
                  <c:v>5.5000000000000016E-5</c:v>
                </c:pt>
                <c:pt idx="77">
                  <c:v>5.5708661417322837E-5</c:v>
                </c:pt>
                <c:pt idx="78">
                  <c:v>5.6377952755905521E-5</c:v>
                </c:pt>
                <c:pt idx="79">
                  <c:v>5.7086614173228343E-5</c:v>
                </c:pt>
                <c:pt idx="80">
                  <c:v>5.7795275590551178E-5</c:v>
                </c:pt>
                <c:pt idx="81">
                  <c:v>5.8503937007874027E-5</c:v>
                </c:pt>
                <c:pt idx="82">
                  <c:v>5.9212598425196849E-5</c:v>
                </c:pt>
                <c:pt idx="83">
                  <c:v>5.9921259842519684E-5</c:v>
                </c:pt>
                <c:pt idx="84">
                  <c:v>6.0236220472440947E-5</c:v>
                </c:pt>
                <c:pt idx="85">
                  <c:v>6.0944881889763782E-5</c:v>
                </c:pt>
                <c:pt idx="86">
                  <c:v>6.1692913385826776E-5</c:v>
                </c:pt>
                <c:pt idx="87">
                  <c:v>6.2440944881889763E-5</c:v>
                </c:pt>
                <c:pt idx="88">
                  <c:v>6.3149606299212605E-5</c:v>
                </c:pt>
                <c:pt idx="89">
                  <c:v>6.3897637795275593E-5</c:v>
                </c:pt>
                <c:pt idx="90">
                  <c:v>6.4645669291338594E-5</c:v>
                </c:pt>
                <c:pt idx="91">
                  <c:v>6.4999999999999994E-5</c:v>
                </c:pt>
                <c:pt idx="92">
                  <c:v>6.5748031496062995E-5</c:v>
                </c:pt>
                <c:pt idx="93">
                  <c:v>6.6496062992125982E-5</c:v>
                </c:pt>
                <c:pt idx="94">
                  <c:v>6.7244094488188983E-5</c:v>
                </c:pt>
                <c:pt idx="95">
                  <c:v>6.799212598425197E-5</c:v>
                </c:pt>
                <c:pt idx="96">
                  <c:v>6.8740157480314971E-5</c:v>
                </c:pt>
                <c:pt idx="97">
                  <c:v>6.94488188976378E-5</c:v>
                </c:pt>
                <c:pt idx="98">
                  <c:v>6.9803149606299214E-5</c:v>
                </c:pt>
                <c:pt idx="99">
                  <c:v>7.0511811023622043E-5</c:v>
                </c:pt>
                <c:pt idx="100">
                  <c:v>7.1259842519685044E-5</c:v>
                </c:pt>
                <c:pt idx="101">
                  <c:v>7.1968503937007886E-5</c:v>
                </c:pt>
                <c:pt idx="102">
                  <c:v>7.2677165354330714E-5</c:v>
                </c:pt>
                <c:pt idx="103">
                  <c:v>7.3425196850393715E-5</c:v>
                </c:pt>
                <c:pt idx="104">
                  <c:v>7.413385826771653E-5</c:v>
                </c:pt>
                <c:pt idx="105">
                  <c:v>7.4842519685039372E-5</c:v>
                </c:pt>
                <c:pt idx="106">
                  <c:v>7.5551181102362201E-5</c:v>
                </c:pt>
                <c:pt idx="107">
                  <c:v>7.6692913385826788E-5</c:v>
                </c:pt>
                <c:pt idx="108">
                  <c:v>7.7401574803149603E-5</c:v>
                </c:pt>
                <c:pt idx="109">
                  <c:v>7.8149606299212618E-5</c:v>
                </c:pt>
                <c:pt idx="110">
                  <c:v>7.9251968503937019E-5</c:v>
                </c:pt>
                <c:pt idx="111">
                  <c:v>8.0000000000000007E-5</c:v>
                </c:pt>
                <c:pt idx="112">
                  <c:v>8.1141732283464567E-5</c:v>
                </c:pt>
                <c:pt idx="113">
                  <c:v>8.2244094488188982E-5</c:v>
                </c:pt>
                <c:pt idx="114">
                  <c:v>8.2992125984251969E-5</c:v>
                </c:pt>
                <c:pt idx="115">
                  <c:v>8.4527559055118116E-5</c:v>
                </c:pt>
                <c:pt idx="116">
                  <c:v>8.5669291338582676E-5</c:v>
                </c:pt>
                <c:pt idx="117">
                  <c:v>8.6850393700787395E-5</c:v>
                </c:pt>
                <c:pt idx="118">
                  <c:v>8.8385826771653528E-5</c:v>
                </c:pt>
                <c:pt idx="119">
                  <c:v>8.9921259842519688E-5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5FB-4AE4-BFC8-1FC0E5C054CA}"/>
            </c:ext>
          </c:extLst>
        </c:ser>
        <c:ser>
          <c:idx val="23"/>
          <c:order val="11"/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D5FB-4AE4-BFC8-1FC0E5C054CA}"/>
              </c:ext>
            </c:extLst>
          </c:dPt>
          <c:xVal>
            <c:numRef>
              <c:f>limits!$G$23:$G$24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limits!$H$23:$H$24</c:f>
              <c:numCache>
                <c:formatCode>0.000000</c:formatCode>
                <c:ptCount val="2"/>
                <c:pt idx="0">
                  <c:v>5.9999999999999995E-4</c:v>
                </c:pt>
                <c:pt idx="1">
                  <c:v>5.9999999999999995E-4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5FB-4AE4-BFC8-1FC0E5C05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10160"/>
        <c:axId val="1"/>
      </c:scatterChart>
      <c:valAx>
        <c:axId val="832210160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2482138870207053"/>
              <c:y val="0.9361926710380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.9999999999999995E-7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1.8357006017334653E-2"/>
              <c:y val="0.3193191221667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10160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1496496960137534"/>
          <c:y val="0.69083688649590724"/>
          <c:w val="0.22038214221632471"/>
          <c:h val="0.151102258462751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BD-4F4A-99DD-39D870605ACD}"/>
            </c:ext>
          </c:extLst>
        </c:ser>
        <c:ser>
          <c:idx val="3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</c:numCache>
            </c:numRef>
          </c:xVal>
          <c:yVal>
            <c:numRef>
              <c:f>limits!$B$17:$B$21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BD-4F4A-99DD-39D870605ACD}"/>
            </c:ext>
          </c:extLst>
        </c:ser>
        <c:ser>
          <c:idx val="4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limits!$D$17:$D$20</c:f>
              <c:numCache>
                <c:formatCode>General</c:formatCode>
                <c:ptCount val="4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</c:numCache>
            </c:numRef>
          </c:xVal>
          <c:yVal>
            <c:numRef>
              <c:f>limits!$E$17:$E$20</c:f>
              <c:numCache>
                <c:formatCode>General</c:formatCode>
                <c:ptCount val="4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BD-4F4A-99DD-39D870605ACD}"/>
            </c:ext>
          </c:extLst>
        </c:ser>
        <c:ser>
          <c:idx val="5"/>
          <c:order val="3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limits!$G$4:$G$5</c:f>
              <c:numCache>
                <c:formatCode>0</c:formatCode>
                <c:ptCount val="2"/>
                <c:pt idx="0">
                  <c:v>1424</c:v>
                </c:pt>
                <c:pt idx="1">
                  <c:v>1424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BD-4F4A-99DD-39D870605ACD}"/>
            </c:ext>
          </c:extLst>
        </c:ser>
        <c:ser>
          <c:idx val="6"/>
          <c:order val="4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limits!$H$4:$H$5</c:f>
              <c:numCache>
                <c:formatCode>General</c:formatCode>
                <c:ptCount val="2"/>
                <c:pt idx="0">
                  <c:v>1780</c:v>
                </c:pt>
                <c:pt idx="1">
                  <c:v>1780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BD-4F4A-99DD-39D870605ACD}"/>
            </c:ext>
          </c:extLst>
        </c:ser>
        <c:ser>
          <c:idx val="7"/>
          <c:order val="5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limits!$I$4:$I$5</c:f>
              <c:numCache>
                <c:formatCode>0</c:formatCode>
                <c:ptCount val="2"/>
                <c:pt idx="0">
                  <c:v>2136</c:v>
                </c:pt>
                <c:pt idx="1">
                  <c:v>2136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BD-4F4A-99DD-39D870605ACD}"/>
            </c:ext>
          </c:extLst>
        </c:ser>
        <c:ser>
          <c:idx val="8"/>
          <c:order val="6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limits!$J$4:$J$5</c:f>
              <c:numCache>
                <c:formatCode>General</c:formatCode>
                <c:ptCount val="2"/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8BD-4F4A-99DD-39D870605ACD}"/>
            </c:ext>
          </c:extLst>
        </c:ser>
        <c:ser>
          <c:idx val="10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limits!$H$17:$H$18</c:f>
              <c:numCache>
                <c:formatCode>General</c:formatCode>
                <c:ptCount val="2"/>
                <c:pt idx="0">
                  <c:v>4.4999999999999999E-4</c:v>
                </c:pt>
                <c:pt idx="1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8BD-4F4A-99DD-39D870605ACD}"/>
            </c:ext>
          </c:extLst>
        </c:ser>
        <c:ser>
          <c:idx val="11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limits!$I$17:$I$18</c:f>
              <c:numCache>
                <c:formatCode>General</c:formatCode>
                <c:ptCount val="2"/>
                <c:pt idx="0">
                  <c:v>9.5E-4</c:v>
                </c:pt>
                <c:pt idx="1">
                  <c:v>9.5000000000000005E-6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8BD-4F4A-99DD-39D870605ACD}"/>
            </c:ext>
          </c:extLst>
        </c:ser>
        <c:ser>
          <c:idx val="12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limits!$J$17:$J$18</c:f>
              <c:numCache>
                <c:formatCode>General</c:formatCode>
                <c:ptCount val="2"/>
                <c:pt idx="0">
                  <c:v>1.75E-3</c:v>
                </c:pt>
                <c:pt idx="1">
                  <c:v>1.6500000000000001E-5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8BD-4F4A-99DD-39D870605ACD}"/>
            </c:ext>
          </c:extLst>
        </c:ser>
        <c:ser>
          <c:idx val="13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limits!$K$17:$K$18</c:f>
              <c:numCache>
                <c:formatCode>General</c:formatCode>
                <c:ptCount val="2"/>
                <c:pt idx="0">
                  <c:v>3.7499999999999999E-3</c:v>
                </c:pt>
                <c:pt idx="1">
                  <c:v>3.5000000000000004E-5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8BD-4F4A-99DD-39D870605ACD}"/>
            </c:ext>
          </c:extLst>
        </c:ser>
        <c:ser>
          <c:idx val="14"/>
          <c:order val="1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limits!$L$17:$L$18</c:f>
              <c:numCache>
                <c:formatCode>General</c:formatCode>
                <c:ptCount val="2"/>
                <c:pt idx="0">
                  <c:v>7.4999999999999997E-3</c:v>
                </c:pt>
                <c:pt idx="1">
                  <c:v>6.5000000000000008E-5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8BD-4F4A-99DD-39D870605ACD}"/>
            </c:ext>
          </c:extLst>
        </c:ser>
        <c:ser>
          <c:idx val="20"/>
          <c:order val="12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8BD-4F4A-99DD-39D870605ACD}"/>
            </c:ext>
          </c:extLst>
        </c:ser>
        <c:ser>
          <c:idx val="21"/>
          <c:order val="1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8BD-4F4A-99DD-39D870605ACD}"/>
            </c:ext>
          </c:extLst>
        </c:ser>
        <c:ser>
          <c:idx val="0"/>
          <c:order val="1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1.4784808479739018E-4</c:v>
                </c:pt>
                <c:pt idx="1">
                  <c:v>1.4784808479739018E-4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8BD-4F4A-99DD-39D870605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76704"/>
        <c:axId val="1"/>
      </c:scatterChart>
      <c:valAx>
        <c:axId val="1347176704"/>
        <c:scaling>
          <c:logBase val="10"/>
          <c:orientation val="minMax"/>
          <c:max val="1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176704"/>
        <c:crosses val="autoZero"/>
        <c:crossBetween val="midCat"/>
        <c:majorUnit val="10"/>
        <c:minorUnit val="10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&amp;L&amp;F&amp;R&amp;D&amp;T</c:oddFooter>
    </c:headerFooter>
    <c:pageMargins b="1" l="0.75" r="0.75" t="1" header="0.5" footer="0.5"/>
    <c:pageSetup orientation="portrait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09322688642802"/>
          <c:y val="5.9952178769903067E-2"/>
          <c:w val="0.73417872778779292"/>
          <c:h val="0.82973815417545849"/>
        </c:manualLayout>
      </c:layout>
      <c:scatterChart>
        <c:scatterStyle val="lineMarker"/>
        <c:varyColors val="0"/>
        <c:ser>
          <c:idx val="15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1.4784808479739018E-4</c:v>
                </c:pt>
                <c:pt idx="1">
                  <c:v>1.4784808479739018E-4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F4-4C42-B954-2780ED3DC2A0}"/>
            </c:ext>
          </c:extLst>
        </c:ser>
        <c:ser>
          <c:idx val="17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1424</c:v>
                </c:pt>
                <c:pt idx="1">
                  <c:v>1424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F4-4C42-B954-2780ED3DC2A0}"/>
            </c:ext>
          </c:extLst>
        </c:ser>
        <c:ser>
          <c:idx val="18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1780</c:v>
                </c:pt>
                <c:pt idx="1">
                  <c:v>1780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F4-4C42-B954-2780ED3DC2A0}"/>
            </c:ext>
          </c:extLst>
        </c:ser>
        <c:ser>
          <c:idx val="19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2136</c:v>
                </c:pt>
                <c:pt idx="1">
                  <c:v>2136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F4-4C42-B954-2780ED3DC2A0}"/>
            </c:ext>
          </c:extLst>
        </c:ser>
        <c:ser>
          <c:idx val="3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limits!$A$17:$A$22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limits!$B$17:$B$22</c:f>
              <c:numCache>
                <c:formatCode>General</c:formatCode>
                <c:ptCount val="6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  <c:pt idx="5">
                  <c:v>9.3300000000000005E-6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F4-4C42-B954-2780ED3DC2A0}"/>
            </c:ext>
          </c:extLst>
        </c:ser>
        <c:ser>
          <c:idx val="4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limits!$E$17:$E$21</c:f>
              <c:numCache>
                <c:formatCode>General</c:formatCode>
                <c:ptCount val="5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  <c:pt idx="4">
                  <c:v>8.1799999999999996E-6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4F4-4C42-B954-2780ED3DC2A0}"/>
            </c:ext>
          </c:extLst>
        </c:ser>
        <c:ser>
          <c:idx val="14"/>
          <c:order val="6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limits!$L$17:$L$19</c:f>
              <c:numCache>
                <c:formatCode>General</c:formatCode>
                <c:ptCount val="3"/>
                <c:pt idx="0">
                  <c:v>7.4999999999999997E-3</c:v>
                </c:pt>
                <c:pt idx="1">
                  <c:v>6.5000000000000008E-5</c:v>
                </c:pt>
                <c:pt idx="2" formatCode="0.00000000">
                  <c:v>6.1999999999999999E-6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4F4-4C42-B954-2780ED3DC2A0}"/>
            </c:ext>
          </c:extLst>
        </c:ser>
        <c:ser>
          <c:idx val="13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limits!$K$17:$K$19</c:f>
              <c:numCache>
                <c:formatCode>General</c:formatCode>
                <c:ptCount val="3"/>
                <c:pt idx="0">
                  <c:v>3.7499999999999999E-3</c:v>
                </c:pt>
                <c:pt idx="1">
                  <c:v>3.5000000000000004E-5</c:v>
                </c:pt>
                <c:pt idx="2" formatCode="0.00000000">
                  <c:v>3.4400000000000001E-6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4F4-4C42-B954-2780ED3DC2A0}"/>
            </c:ext>
          </c:extLst>
        </c:ser>
        <c:ser>
          <c:idx val="12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limits!$J$17:$J$19</c:f>
              <c:numCache>
                <c:formatCode>General</c:formatCode>
                <c:ptCount val="3"/>
                <c:pt idx="0">
                  <c:v>1.75E-3</c:v>
                </c:pt>
                <c:pt idx="1">
                  <c:v>1.6500000000000001E-5</c:v>
                </c:pt>
                <c:pt idx="2" formatCode="0.00000000">
                  <c:v>1.64E-6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4F4-4C42-B954-2780ED3DC2A0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limits!$I$17:$I$19</c:f>
              <c:numCache>
                <c:formatCode>General</c:formatCode>
                <c:ptCount val="3"/>
                <c:pt idx="0">
                  <c:v>9.5E-4</c:v>
                </c:pt>
                <c:pt idx="1">
                  <c:v>9.5000000000000005E-6</c:v>
                </c:pt>
                <c:pt idx="2" formatCode="0.00000000">
                  <c:v>9.33E-7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4F4-4C42-B954-2780ED3DC2A0}"/>
            </c:ext>
          </c:extLst>
        </c:ser>
        <c:ser>
          <c:idx val="10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limits!$H$17:$H$19</c:f>
              <c:numCache>
                <c:formatCode>General</c:formatCode>
                <c:ptCount val="3"/>
                <c:pt idx="0">
                  <c:v>4.4999999999999999E-4</c:v>
                </c:pt>
                <c:pt idx="1">
                  <c:v>3.9999999999999998E-6</c:v>
                </c:pt>
                <c:pt idx="2" formatCode="0.00000000">
                  <c:v>3.5499999999999999E-7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4F4-4C42-B954-2780ED3DC2A0}"/>
            </c:ext>
          </c:extLst>
        </c:ser>
        <c:ser>
          <c:idx val="25"/>
          <c:order val="11"/>
          <c:spPr>
            <a:ln w="19050">
              <a:solidFill>
                <a:srgbClr val="0070C0"/>
              </a:solidFill>
              <a:prstDash val="solid"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P5_UB!$A$7:$A$126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P5_UB!$F$7:$F$126</c:f>
              <c:numCache>
                <c:formatCode>0.00E+00</c:formatCode>
                <c:ptCount val="120"/>
                <c:pt idx="0">
                  <c:v>3.2007874015748034E-8</c:v>
                </c:pt>
                <c:pt idx="1">
                  <c:v>1.3031496062992128E-7</c:v>
                </c:pt>
                <c:pt idx="2">
                  <c:v>2.9645669291338582E-7</c:v>
                </c:pt>
                <c:pt idx="3">
                  <c:v>5.3543307086614168E-7</c:v>
                </c:pt>
                <c:pt idx="4">
                  <c:v>8.5826771653543313E-7</c:v>
                </c:pt>
                <c:pt idx="5">
                  <c:v>1.2716535433070869E-6</c:v>
                </c:pt>
                <c:pt idx="6">
                  <c:v>1.7913385826771655E-6</c:v>
                </c:pt>
                <c:pt idx="7">
                  <c:v>2.4448818897637797E-6</c:v>
                </c:pt>
                <c:pt idx="8">
                  <c:v>3.2519685039370083E-6</c:v>
                </c:pt>
                <c:pt idx="9">
                  <c:v>4.2559055118110234E-6</c:v>
                </c:pt>
                <c:pt idx="10">
                  <c:v>5.4803149606299214E-6</c:v>
                </c:pt>
                <c:pt idx="11">
                  <c:v>6.9055118110236229E-6</c:v>
                </c:pt>
                <c:pt idx="12">
                  <c:v>8.4488188976377944E-6</c:v>
                </c:pt>
                <c:pt idx="13">
                  <c:v>9.8740157480314958E-6</c:v>
                </c:pt>
                <c:pt idx="14">
                  <c:v>1.0826771653543309E-5</c:v>
                </c:pt>
                <c:pt idx="15">
                  <c:v>1.1614173228346456E-5</c:v>
                </c:pt>
                <c:pt idx="16">
                  <c:v>1.2440944881889766E-5</c:v>
                </c:pt>
                <c:pt idx="17">
                  <c:v>1.3503937007874017E-5</c:v>
                </c:pt>
                <c:pt idx="18">
                  <c:v>1.4842519685039371E-5</c:v>
                </c:pt>
                <c:pt idx="19">
                  <c:v>1.6535433070866142E-5</c:v>
                </c:pt>
                <c:pt idx="20">
                  <c:v>1.8464566929133858E-5</c:v>
                </c:pt>
                <c:pt idx="21">
                  <c:v>2.0590551181102364E-5</c:v>
                </c:pt>
                <c:pt idx="22">
                  <c:v>2.2913385826771654E-5</c:v>
                </c:pt>
                <c:pt idx="23">
                  <c:v>2.5433070866141736E-5</c:v>
                </c:pt>
                <c:pt idx="24">
                  <c:v>2.8228346456692919E-5</c:v>
                </c:pt>
                <c:pt idx="25">
                  <c:v>3.1377952755905509E-5</c:v>
                </c:pt>
                <c:pt idx="26">
                  <c:v>3.4881889763779528E-5</c:v>
                </c:pt>
                <c:pt idx="27">
                  <c:v>3.8779527559055126E-5</c:v>
                </c:pt>
                <c:pt idx="28">
                  <c:v>4.3031496062992131E-5</c:v>
                </c:pt>
                <c:pt idx="29">
                  <c:v>4.7559055118110241E-5</c:v>
                </c:pt>
                <c:pt idx="30">
                  <c:v>5.2204724409448826E-5</c:v>
                </c:pt>
                <c:pt idx="31">
                  <c:v>5.6850393700787398E-5</c:v>
                </c:pt>
                <c:pt idx="32">
                  <c:v>6.1141732283464569E-5</c:v>
                </c:pt>
                <c:pt idx="33">
                  <c:v>6.4999999999999994E-5</c:v>
                </c:pt>
                <c:pt idx="34">
                  <c:v>6.8110236220472446E-5</c:v>
                </c:pt>
                <c:pt idx="35">
                  <c:v>6.964566929133858E-5</c:v>
                </c:pt>
                <c:pt idx="36">
                  <c:v>7.1181102362204726E-5</c:v>
                </c:pt>
                <c:pt idx="37">
                  <c:v>7.23228346456693E-5</c:v>
                </c:pt>
                <c:pt idx="38">
                  <c:v>7.3070866141732274E-5</c:v>
                </c:pt>
                <c:pt idx="39">
                  <c:v>7.3425196850393702E-5</c:v>
                </c:pt>
                <c:pt idx="40">
                  <c:v>7.3385826771653543E-5</c:v>
                </c:pt>
                <c:pt idx="41">
                  <c:v>7.3385826771653543E-5</c:v>
                </c:pt>
                <c:pt idx="42">
                  <c:v>7.3346456692913398E-5</c:v>
                </c:pt>
                <c:pt idx="43">
                  <c:v>7.2913385826771639E-5</c:v>
                </c:pt>
                <c:pt idx="44">
                  <c:v>7.251968503937008E-5</c:v>
                </c:pt>
                <c:pt idx="45">
                  <c:v>7.1732283464566934E-5</c:v>
                </c:pt>
                <c:pt idx="46">
                  <c:v>7.0905511811023629E-5</c:v>
                </c:pt>
                <c:pt idx="47">
                  <c:v>6.9685039370078752E-5</c:v>
                </c:pt>
                <c:pt idx="48">
                  <c:v>6.8110236220472446E-5</c:v>
                </c:pt>
                <c:pt idx="49">
                  <c:v>6.6889763779527569E-5</c:v>
                </c:pt>
                <c:pt idx="50">
                  <c:v>6.4881889763779532E-5</c:v>
                </c:pt>
                <c:pt idx="51">
                  <c:v>6.3267716535433068E-5</c:v>
                </c:pt>
                <c:pt idx="52">
                  <c:v>6.1220472440944886E-5</c:v>
                </c:pt>
                <c:pt idx="53">
                  <c:v>5.9212598425196849E-5</c:v>
                </c:pt>
                <c:pt idx="54">
                  <c:v>5.716535433070866E-5</c:v>
                </c:pt>
                <c:pt idx="55">
                  <c:v>5.5118110236220485E-5</c:v>
                </c:pt>
                <c:pt idx="56">
                  <c:v>5.3110236220472441E-5</c:v>
                </c:pt>
                <c:pt idx="57">
                  <c:v>5.1062992125984252E-5</c:v>
                </c:pt>
                <c:pt idx="58">
                  <c:v>4.9409448818897636E-5</c:v>
                </c:pt>
                <c:pt idx="59">
                  <c:v>4.7362204724409447E-5</c:v>
                </c:pt>
                <c:pt idx="60">
                  <c:v>4.5748031496062997E-5</c:v>
                </c:pt>
                <c:pt idx="61">
                  <c:v>4.4291338582677174E-5</c:v>
                </c:pt>
                <c:pt idx="62">
                  <c:v>4.2795275590551179E-5</c:v>
                </c:pt>
                <c:pt idx="63">
                  <c:v>4.1377952755905515E-5</c:v>
                </c:pt>
                <c:pt idx="64">
                  <c:v>4.0039370078740155E-5</c:v>
                </c:pt>
                <c:pt idx="65">
                  <c:v>3.8779527559055119E-5</c:v>
                </c:pt>
                <c:pt idx="66">
                  <c:v>3.7677165354330711E-5</c:v>
                </c:pt>
                <c:pt idx="67">
                  <c:v>3.6614173228346454E-5</c:v>
                </c:pt>
                <c:pt idx="68">
                  <c:v>3.559055118110237E-5</c:v>
                </c:pt>
                <c:pt idx="69">
                  <c:v>3.4685039370078741E-5</c:v>
                </c:pt>
                <c:pt idx="70">
                  <c:v>3.3740157480314961E-5</c:v>
                </c:pt>
                <c:pt idx="71">
                  <c:v>3.2755905511811028E-5</c:v>
                </c:pt>
                <c:pt idx="72">
                  <c:v>3.1889763779527558E-5</c:v>
                </c:pt>
                <c:pt idx="73">
                  <c:v>3.0984251968503937E-5</c:v>
                </c:pt>
                <c:pt idx="74">
                  <c:v>3.0196850393700787E-5</c:v>
                </c:pt>
                <c:pt idx="75">
                  <c:v>2.9409448818897641E-5</c:v>
                </c:pt>
                <c:pt idx="76">
                  <c:v>2.8661417322834647E-5</c:v>
                </c:pt>
                <c:pt idx="77">
                  <c:v>2.7992125984251971E-5</c:v>
                </c:pt>
                <c:pt idx="78">
                  <c:v>2.7362204724409449E-5</c:v>
                </c:pt>
                <c:pt idx="79">
                  <c:v>2.6732283464566934E-5</c:v>
                </c:pt>
                <c:pt idx="80">
                  <c:v>2.6102362204724413E-5</c:v>
                </c:pt>
                <c:pt idx="81">
                  <c:v>2.5472440944881891E-5</c:v>
                </c:pt>
                <c:pt idx="82">
                  <c:v>2.4921259842519687E-5</c:v>
                </c:pt>
                <c:pt idx="83">
                  <c:v>2.437007874015748E-5</c:v>
                </c:pt>
                <c:pt idx="84">
                  <c:v>2.377952755905512E-5</c:v>
                </c:pt>
                <c:pt idx="85">
                  <c:v>2.3267716535433071E-5</c:v>
                </c:pt>
                <c:pt idx="86">
                  <c:v>2.2716535433070864E-5</c:v>
                </c:pt>
                <c:pt idx="87">
                  <c:v>2.2283464566929136E-5</c:v>
                </c:pt>
                <c:pt idx="88">
                  <c:v>2.1771653543307087E-5</c:v>
                </c:pt>
                <c:pt idx="89">
                  <c:v>2.1338582677165355E-5</c:v>
                </c:pt>
                <c:pt idx="90">
                  <c:v>2.0905511811023623E-5</c:v>
                </c:pt>
                <c:pt idx="91">
                  <c:v>2.0511811023622047E-5</c:v>
                </c:pt>
                <c:pt idx="92">
                  <c:v>2.0118110236220471E-5</c:v>
                </c:pt>
                <c:pt idx="93">
                  <c:v>1.976377952755906E-5</c:v>
                </c:pt>
                <c:pt idx="94">
                  <c:v>1.9409448818897635E-5</c:v>
                </c:pt>
                <c:pt idx="95">
                  <c:v>1.909448818897638E-5</c:v>
                </c:pt>
                <c:pt idx="96">
                  <c:v>1.8779527559055121E-5</c:v>
                </c:pt>
                <c:pt idx="97">
                  <c:v>1.8503937007874017E-5</c:v>
                </c:pt>
                <c:pt idx="98">
                  <c:v>1.822834645669291E-5</c:v>
                </c:pt>
                <c:pt idx="99">
                  <c:v>1.7992125984251971E-5</c:v>
                </c:pt>
                <c:pt idx="100">
                  <c:v>1.7755905511811026E-5</c:v>
                </c:pt>
                <c:pt idx="101">
                  <c:v>1.7519685039370078E-5</c:v>
                </c:pt>
                <c:pt idx="102">
                  <c:v>1.7322834645669291E-5</c:v>
                </c:pt>
                <c:pt idx="103">
                  <c:v>1.7125984251968505E-5</c:v>
                </c:pt>
                <c:pt idx="104">
                  <c:v>1.6968503937007874E-5</c:v>
                </c:pt>
                <c:pt idx="105">
                  <c:v>1.6771653543307091E-5</c:v>
                </c:pt>
                <c:pt idx="106">
                  <c:v>1.6614173228346459E-5</c:v>
                </c:pt>
                <c:pt idx="107">
                  <c:v>1.6456692913385828E-5</c:v>
                </c:pt>
                <c:pt idx="108">
                  <c:v>1.6259842519685042E-5</c:v>
                </c:pt>
                <c:pt idx="109">
                  <c:v>1.610236220472441E-5</c:v>
                </c:pt>
                <c:pt idx="110">
                  <c:v>1.5984251968503938E-5</c:v>
                </c:pt>
                <c:pt idx="111">
                  <c:v>1.582677165354331E-5</c:v>
                </c:pt>
                <c:pt idx="112">
                  <c:v>1.5629921259842517E-5</c:v>
                </c:pt>
                <c:pt idx="113">
                  <c:v>1.5472440944881892E-5</c:v>
                </c:pt>
                <c:pt idx="114">
                  <c:v>1.5314960629921261E-5</c:v>
                </c:pt>
                <c:pt idx="115">
                  <c:v>1.5118110236220473E-5</c:v>
                </c:pt>
                <c:pt idx="116">
                  <c:v>1.4921259842519686E-5</c:v>
                </c:pt>
                <c:pt idx="117">
                  <c:v>1.4763779527559057E-5</c:v>
                </c:pt>
                <c:pt idx="118">
                  <c:v>1.452755905511811E-5</c:v>
                </c:pt>
                <c:pt idx="119">
                  <c:v>1.4330708661417324E-5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4F4-4C42-B954-2780ED3DC2A0}"/>
            </c:ext>
          </c:extLst>
        </c:ser>
        <c:ser>
          <c:idx val="26"/>
          <c:order val="12"/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triangle"/>
            <c:size val="3"/>
            <c:spPr>
              <a:noFill/>
              <a:ln w="9525">
                <a:noFill/>
              </a:ln>
            </c:spPr>
          </c:marker>
          <c:xVal>
            <c:numRef>
              <c:f>P5_UB!$A$7:$A$126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P5_UB!$G$7:$G$126</c:f>
              <c:numCache>
                <c:formatCode>0.00E+00</c:formatCode>
                <c:ptCount val="120"/>
                <c:pt idx="0">
                  <c:v>5.3818897637795281E-9</c:v>
                </c:pt>
                <c:pt idx="1">
                  <c:v>2.0905511811023623E-8</c:v>
                </c:pt>
                <c:pt idx="2">
                  <c:v>4.696850393700787E-8</c:v>
                </c:pt>
                <c:pt idx="3">
                  <c:v>8.6220472440944897E-8</c:v>
                </c:pt>
                <c:pt idx="4">
                  <c:v>1.3661417322834645E-7</c:v>
                </c:pt>
                <c:pt idx="5">
                  <c:v>2.0196850393700788E-7</c:v>
                </c:pt>
                <c:pt idx="6">
                  <c:v>2.8188976377952758E-7</c:v>
                </c:pt>
                <c:pt idx="7">
                  <c:v>3.7952755905511813E-7</c:v>
                </c:pt>
                <c:pt idx="8">
                  <c:v>4.9881889763779531E-7</c:v>
                </c:pt>
                <c:pt idx="9">
                  <c:v>6.4291338582677179E-7</c:v>
                </c:pt>
                <c:pt idx="10">
                  <c:v>8.1535433070866132E-7</c:v>
                </c:pt>
                <c:pt idx="11">
                  <c:v>1.0196850393700789E-6</c:v>
                </c:pt>
                <c:pt idx="12">
                  <c:v>1.251968503937008E-6</c:v>
                </c:pt>
                <c:pt idx="13">
                  <c:v>1.5039370078740158E-6</c:v>
                </c:pt>
                <c:pt idx="14">
                  <c:v>1.7834645669291341E-6</c:v>
                </c:pt>
                <c:pt idx="15">
                  <c:v>2.0826771653543309E-6</c:v>
                </c:pt>
                <c:pt idx="16">
                  <c:v>2.4133858267716535E-6</c:v>
                </c:pt>
                <c:pt idx="17">
                  <c:v>2.7716535433070865E-6</c:v>
                </c:pt>
                <c:pt idx="18">
                  <c:v>3.1496062992125989E-6</c:v>
                </c:pt>
                <c:pt idx="19">
                  <c:v>3.535433070866142E-6</c:v>
                </c:pt>
                <c:pt idx="20">
                  <c:v>3.9094488188976381E-6</c:v>
                </c:pt>
                <c:pt idx="21">
                  <c:v>4.2677165354330712E-6</c:v>
                </c:pt>
                <c:pt idx="22">
                  <c:v>4.6181102362204727E-6</c:v>
                </c:pt>
                <c:pt idx="23">
                  <c:v>4.9763779527559049E-6</c:v>
                </c:pt>
                <c:pt idx="24">
                  <c:v>5.3622047244094497E-6</c:v>
                </c:pt>
                <c:pt idx="25">
                  <c:v>5.7913385826771668E-6</c:v>
                </c:pt>
                <c:pt idx="26">
                  <c:v>6.2834645669291346E-6</c:v>
                </c:pt>
                <c:pt idx="27">
                  <c:v>6.8385826771653542E-6</c:v>
                </c:pt>
                <c:pt idx="28">
                  <c:v>7.4685039370078731E-6</c:v>
                </c:pt>
                <c:pt idx="29">
                  <c:v>8.1811023622047247E-6</c:v>
                </c:pt>
                <c:pt idx="30">
                  <c:v>8.9724409448818902E-6</c:v>
                </c:pt>
                <c:pt idx="31">
                  <c:v>9.8385826771653568E-6</c:v>
                </c:pt>
                <c:pt idx="32">
                  <c:v>1.0751968503937009E-5</c:v>
                </c:pt>
                <c:pt idx="33">
                  <c:v>1.1783464566929135E-5</c:v>
                </c:pt>
                <c:pt idx="34">
                  <c:v>1.281496062992126E-5</c:v>
                </c:pt>
                <c:pt idx="35">
                  <c:v>1.3929133858267717E-5</c:v>
                </c:pt>
                <c:pt idx="36">
                  <c:v>1.5047244094488191E-5</c:v>
                </c:pt>
                <c:pt idx="37">
                  <c:v>1.6125984251968508E-5</c:v>
                </c:pt>
                <c:pt idx="38">
                  <c:v>1.7244094488188977E-5</c:v>
                </c:pt>
                <c:pt idx="39">
                  <c:v>1.8366141732283465E-5</c:v>
                </c:pt>
                <c:pt idx="40">
                  <c:v>1.9492125984251971E-5</c:v>
                </c:pt>
                <c:pt idx="41">
                  <c:v>2.0582677165354332E-5</c:v>
                </c:pt>
                <c:pt idx="42">
                  <c:v>2.1673228346456697E-5</c:v>
                </c:pt>
                <c:pt idx="43">
                  <c:v>2.2767716535433073E-5</c:v>
                </c:pt>
                <c:pt idx="44">
                  <c:v>2.3787401574803149E-5</c:v>
                </c:pt>
                <c:pt idx="45">
                  <c:v>2.4771653543307088E-5</c:v>
                </c:pt>
                <c:pt idx="46">
                  <c:v>2.5673228346456692E-5</c:v>
                </c:pt>
                <c:pt idx="47">
                  <c:v>2.65E-5</c:v>
                </c:pt>
                <c:pt idx="48">
                  <c:v>2.7208661417322839E-5</c:v>
                </c:pt>
                <c:pt idx="49">
                  <c:v>2.7755905511811025E-5</c:v>
                </c:pt>
                <c:pt idx="50">
                  <c:v>2.8220472440944883E-5</c:v>
                </c:pt>
                <c:pt idx="51">
                  <c:v>2.8562992125984257E-5</c:v>
                </c:pt>
                <c:pt idx="52">
                  <c:v>2.8748031496062994E-5</c:v>
                </c:pt>
                <c:pt idx="53">
                  <c:v>2.888976377952756E-5</c:v>
                </c:pt>
                <c:pt idx="54">
                  <c:v>2.8913385826771654E-5</c:v>
                </c:pt>
                <c:pt idx="55">
                  <c:v>2.8858267716535437E-5</c:v>
                </c:pt>
                <c:pt idx="56">
                  <c:v>2.8720472440944885E-5</c:v>
                </c:pt>
                <c:pt idx="57">
                  <c:v>2.858267716535433E-5</c:v>
                </c:pt>
                <c:pt idx="58">
                  <c:v>2.8409448818897637E-5</c:v>
                </c:pt>
                <c:pt idx="59">
                  <c:v>2.8204724409448822E-5</c:v>
                </c:pt>
                <c:pt idx="60">
                  <c:v>2.8007874015748032E-5</c:v>
                </c:pt>
                <c:pt idx="61">
                  <c:v>2.7791338582677166E-5</c:v>
                </c:pt>
                <c:pt idx="62">
                  <c:v>2.7598425196850398E-5</c:v>
                </c:pt>
                <c:pt idx="63">
                  <c:v>2.7476377952755907E-5</c:v>
                </c:pt>
                <c:pt idx="64">
                  <c:v>2.7338582677165355E-5</c:v>
                </c:pt>
                <c:pt idx="65">
                  <c:v>2.7224409448818897E-5</c:v>
                </c:pt>
                <c:pt idx="66">
                  <c:v>2.7149606299212601E-5</c:v>
                </c:pt>
                <c:pt idx="67">
                  <c:v>2.7011811023622049E-5</c:v>
                </c:pt>
                <c:pt idx="68">
                  <c:v>2.6877952755905512E-5</c:v>
                </c:pt>
                <c:pt idx="69">
                  <c:v>2.6665354330708664E-5</c:v>
                </c:pt>
                <c:pt idx="70">
                  <c:v>2.6452755905511813E-5</c:v>
                </c:pt>
                <c:pt idx="71">
                  <c:v>2.6181102362204727E-5</c:v>
                </c:pt>
                <c:pt idx="72">
                  <c:v>2.5897637795275594E-5</c:v>
                </c:pt>
                <c:pt idx="73">
                  <c:v>2.5614173228346458E-5</c:v>
                </c:pt>
                <c:pt idx="74">
                  <c:v>2.5374015748031498E-5</c:v>
                </c:pt>
                <c:pt idx="75">
                  <c:v>2.5098425196850398E-5</c:v>
                </c:pt>
                <c:pt idx="76">
                  <c:v>2.4870078740157478E-5</c:v>
                </c:pt>
                <c:pt idx="77">
                  <c:v>2.4649606299212598E-5</c:v>
                </c:pt>
                <c:pt idx="78">
                  <c:v>2.4429133858267718E-5</c:v>
                </c:pt>
                <c:pt idx="79">
                  <c:v>2.4212598425196855E-5</c:v>
                </c:pt>
                <c:pt idx="80">
                  <c:v>2.4039370078740159E-5</c:v>
                </c:pt>
                <c:pt idx="81">
                  <c:v>2.3826771653543308E-5</c:v>
                </c:pt>
                <c:pt idx="82">
                  <c:v>2.3614173228346457E-5</c:v>
                </c:pt>
                <c:pt idx="83">
                  <c:v>2.3440944881889767E-5</c:v>
                </c:pt>
                <c:pt idx="84">
                  <c:v>2.3228346456692913E-5</c:v>
                </c:pt>
                <c:pt idx="85">
                  <c:v>2.3051181102362206E-5</c:v>
                </c:pt>
                <c:pt idx="86">
                  <c:v>2.2877952755905516E-5</c:v>
                </c:pt>
                <c:pt idx="87">
                  <c:v>2.274803149606299E-5</c:v>
                </c:pt>
                <c:pt idx="88">
                  <c:v>2.2574803149606297E-5</c:v>
                </c:pt>
                <c:pt idx="89">
                  <c:v>2.2401574803149605E-5</c:v>
                </c:pt>
                <c:pt idx="90">
                  <c:v>2.2271653543307089E-5</c:v>
                </c:pt>
                <c:pt idx="91">
                  <c:v>2.2141732283464569E-5</c:v>
                </c:pt>
                <c:pt idx="92">
                  <c:v>2.2015748031496061E-5</c:v>
                </c:pt>
                <c:pt idx="93">
                  <c:v>2.1885826771653541E-5</c:v>
                </c:pt>
                <c:pt idx="94">
                  <c:v>2.1759842519685036E-5</c:v>
                </c:pt>
                <c:pt idx="95">
                  <c:v>2.1673228346456697E-5</c:v>
                </c:pt>
                <c:pt idx="96">
                  <c:v>2.1586614173228351E-5</c:v>
                </c:pt>
                <c:pt idx="97">
                  <c:v>2.146456692913386E-5</c:v>
                </c:pt>
                <c:pt idx="98">
                  <c:v>2.1417322834645669E-5</c:v>
                </c:pt>
                <c:pt idx="99">
                  <c:v>2.1334645669291344E-5</c:v>
                </c:pt>
                <c:pt idx="100">
                  <c:v>2.128740157480315E-5</c:v>
                </c:pt>
                <c:pt idx="101">
                  <c:v>2.1244094488188976E-5</c:v>
                </c:pt>
                <c:pt idx="102">
                  <c:v>2.1200787401574807E-5</c:v>
                </c:pt>
                <c:pt idx="103">
                  <c:v>2.1153543307086612E-5</c:v>
                </c:pt>
                <c:pt idx="104">
                  <c:v>2.1149606299212598E-5</c:v>
                </c:pt>
                <c:pt idx="105">
                  <c:v>2.114566929133858E-5</c:v>
                </c:pt>
                <c:pt idx="106">
                  <c:v>2.1137795275590551E-5</c:v>
                </c:pt>
                <c:pt idx="107">
                  <c:v>2.113385826771654E-5</c:v>
                </c:pt>
                <c:pt idx="108">
                  <c:v>2.1169291338582677E-5</c:v>
                </c:pt>
                <c:pt idx="109">
                  <c:v>2.1204724409448818E-5</c:v>
                </c:pt>
                <c:pt idx="110">
                  <c:v>2.1240157480314958E-5</c:v>
                </c:pt>
                <c:pt idx="111">
                  <c:v>2.1271653543307091E-5</c:v>
                </c:pt>
                <c:pt idx="112">
                  <c:v>2.1307086614173232E-5</c:v>
                </c:pt>
                <c:pt idx="113">
                  <c:v>2.1342519685039373E-5</c:v>
                </c:pt>
                <c:pt idx="114">
                  <c:v>2.137795275590551E-5</c:v>
                </c:pt>
                <c:pt idx="115">
                  <c:v>2.145275590551181E-5</c:v>
                </c:pt>
                <c:pt idx="116">
                  <c:v>2.1488188976377951E-5</c:v>
                </c:pt>
                <c:pt idx="117">
                  <c:v>2.1562992125984253E-5</c:v>
                </c:pt>
                <c:pt idx="118">
                  <c:v>2.159448818897638E-5</c:v>
                </c:pt>
                <c:pt idx="119">
                  <c:v>2.162992125984252E-5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4F4-4C42-B954-2780ED3DC2A0}"/>
            </c:ext>
          </c:extLst>
        </c:ser>
        <c:ser>
          <c:idx val="27"/>
          <c:order val="13"/>
          <c:spPr>
            <a:ln w="19050">
              <a:solidFill>
                <a:srgbClr val="00B05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xVal>
            <c:numRef>
              <c:f>P5_UB!$A$7:$A$126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P5_UB!$H$7:$H$126</c:f>
              <c:numCache>
                <c:formatCode>0.00E+00</c:formatCode>
                <c:ptCount val="120"/>
                <c:pt idx="0">
                  <c:v>1.3476377952755906E-8</c:v>
                </c:pt>
                <c:pt idx="1">
                  <c:v>5.4527559055118107E-8</c:v>
                </c:pt>
                <c:pt idx="2">
                  <c:v>1.2456692913385827E-7</c:v>
                </c:pt>
                <c:pt idx="3">
                  <c:v>2.2440944881889763E-7</c:v>
                </c:pt>
                <c:pt idx="4">
                  <c:v>3.5708661417322833E-7</c:v>
                </c:pt>
                <c:pt idx="5">
                  <c:v>5.2559055118110234E-7</c:v>
                </c:pt>
                <c:pt idx="6">
                  <c:v>7.3228346456692922E-7</c:v>
                </c:pt>
                <c:pt idx="7">
                  <c:v>9.8700787401574805E-7</c:v>
                </c:pt>
                <c:pt idx="8">
                  <c:v>1.2874015748031498E-6</c:v>
                </c:pt>
                <c:pt idx="9">
                  <c:v>1.6496062992125984E-6</c:v>
                </c:pt>
                <c:pt idx="10">
                  <c:v>2.0748031496062993E-6</c:v>
                </c:pt>
                <c:pt idx="11">
                  <c:v>2.5708661417322838E-6</c:v>
                </c:pt>
                <c:pt idx="12">
                  <c:v>3.1102362204724415E-6</c:v>
                </c:pt>
                <c:pt idx="13">
                  <c:v>3.6259842519685049E-6</c:v>
                </c:pt>
                <c:pt idx="14">
                  <c:v>4.0590551181102361E-6</c:v>
                </c:pt>
                <c:pt idx="15">
                  <c:v>4.4527559055118116E-6</c:v>
                </c:pt>
                <c:pt idx="16">
                  <c:v>4.8425196850393709E-6</c:v>
                </c:pt>
                <c:pt idx="17">
                  <c:v>5.2677165354330709E-6</c:v>
                </c:pt>
                <c:pt idx="18">
                  <c:v>5.6968503937007889E-6</c:v>
                </c:pt>
                <c:pt idx="19">
                  <c:v>6.2519685039370076E-6</c:v>
                </c:pt>
                <c:pt idx="20">
                  <c:v>6.8188976377952748E-6</c:v>
                </c:pt>
                <c:pt idx="21">
                  <c:v>7.4803149606299217E-6</c:v>
                </c:pt>
                <c:pt idx="22">
                  <c:v>8.1968503937007878E-6</c:v>
                </c:pt>
                <c:pt idx="23">
                  <c:v>8.9724409448818902E-6</c:v>
                </c:pt>
                <c:pt idx="24">
                  <c:v>9.7992125984251981E-6</c:v>
                </c:pt>
                <c:pt idx="25">
                  <c:v>1.0720472440944883E-5</c:v>
                </c:pt>
                <c:pt idx="26">
                  <c:v>1.1649606299212599E-5</c:v>
                </c:pt>
                <c:pt idx="27">
                  <c:v>1.2551181102362204E-5</c:v>
                </c:pt>
                <c:pt idx="28">
                  <c:v>1.3452755905511814E-5</c:v>
                </c:pt>
                <c:pt idx="29">
                  <c:v>1.4244094488188977E-5</c:v>
                </c:pt>
                <c:pt idx="30">
                  <c:v>1.4877952755905512E-5</c:v>
                </c:pt>
                <c:pt idx="31">
                  <c:v>1.527952755905512E-5</c:v>
                </c:pt>
                <c:pt idx="32">
                  <c:v>1.5393700787401575E-5</c:v>
                </c:pt>
                <c:pt idx="33">
                  <c:v>1.5232283464566931E-5</c:v>
                </c:pt>
                <c:pt idx="34">
                  <c:v>1.4791338582677167E-5</c:v>
                </c:pt>
                <c:pt idx="35">
                  <c:v>1.4070866141732285E-5</c:v>
                </c:pt>
                <c:pt idx="36">
                  <c:v>1.3338582677165357E-5</c:v>
                </c:pt>
                <c:pt idx="37">
                  <c:v>1.2523622047244096E-5</c:v>
                </c:pt>
                <c:pt idx="38">
                  <c:v>1.1700787401574804E-5</c:v>
                </c:pt>
                <c:pt idx="39">
                  <c:v>1.095275590551181E-5</c:v>
                </c:pt>
                <c:pt idx="40">
                  <c:v>1.0279527559055119E-5</c:v>
                </c:pt>
                <c:pt idx="41">
                  <c:v>9.7204724409448842E-6</c:v>
                </c:pt>
                <c:pt idx="42">
                  <c:v>9.2716535433070878E-6</c:v>
                </c:pt>
                <c:pt idx="43">
                  <c:v>8.9842519685039371E-6</c:v>
                </c:pt>
                <c:pt idx="44">
                  <c:v>8.8503937007874014E-6</c:v>
                </c:pt>
                <c:pt idx="45">
                  <c:v>8.8425196850393707E-6</c:v>
                </c:pt>
                <c:pt idx="46">
                  <c:v>8.9212598425196863E-6</c:v>
                </c:pt>
                <c:pt idx="47">
                  <c:v>9.1338582677165342E-6</c:v>
                </c:pt>
                <c:pt idx="48">
                  <c:v>9.4448818897637788E-6</c:v>
                </c:pt>
                <c:pt idx="49">
                  <c:v>9.8307086614173227E-6</c:v>
                </c:pt>
                <c:pt idx="50">
                  <c:v>1.0291338582677166E-5</c:v>
                </c:pt>
                <c:pt idx="51">
                  <c:v>1.0877952755905513E-5</c:v>
                </c:pt>
                <c:pt idx="52">
                  <c:v>1.155511811023622E-5</c:v>
                </c:pt>
                <c:pt idx="53">
                  <c:v>1.2283464566929135E-5</c:v>
                </c:pt>
                <c:pt idx="54">
                  <c:v>1.3153543307086614E-5</c:v>
                </c:pt>
                <c:pt idx="55">
                  <c:v>1.4090551181102362E-5</c:v>
                </c:pt>
                <c:pt idx="56">
                  <c:v>1.5181102362204725E-5</c:v>
                </c:pt>
                <c:pt idx="57">
                  <c:v>1.6334645669291341E-5</c:v>
                </c:pt>
                <c:pt idx="58">
                  <c:v>1.7677165354330709E-5</c:v>
                </c:pt>
                <c:pt idx="59">
                  <c:v>1.9173228346456694E-5</c:v>
                </c:pt>
                <c:pt idx="60">
                  <c:v>2.0826771653543306E-5</c:v>
                </c:pt>
                <c:pt idx="61">
                  <c:v>2.2755905511811026E-5</c:v>
                </c:pt>
                <c:pt idx="62">
                  <c:v>2.5000000000000005E-5</c:v>
                </c:pt>
                <c:pt idx="63">
                  <c:v>2.7401574803149608E-5</c:v>
                </c:pt>
                <c:pt idx="64">
                  <c:v>2.9842519685039373E-5</c:v>
                </c:pt>
                <c:pt idx="65">
                  <c:v>3.2007874015748034E-5</c:v>
                </c:pt>
                <c:pt idx="66">
                  <c:v>3.3779527559055119E-5</c:v>
                </c:pt>
                <c:pt idx="67">
                  <c:v>3.5039370078740156E-5</c:v>
                </c:pt>
                <c:pt idx="68">
                  <c:v>3.5708661417322839E-5</c:v>
                </c:pt>
                <c:pt idx="69">
                  <c:v>3.586614173228346E-5</c:v>
                </c:pt>
                <c:pt idx="70">
                  <c:v>3.566929133858268E-5</c:v>
                </c:pt>
                <c:pt idx="71">
                  <c:v>3.5393700787401577E-5</c:v>
                </c:pt>
                <c:pt idx="72">
                  <c:v>3.5157480314960632E-5</c:v>
                </c:pt>
                <c:pt idx="73">
                  <c:v>3.4960629921259845E-5</c:v>
                </c:pt>
                <c:pt idx="74">
                  <c:v>3.4960629921259845E-5</c:v>
                </c:pt>
                <c:pt idx="75">
                  <c:v>3.5039370078740156E-5</c:v>
                </c:pt>
                <c:pt idx="76">
                  <c:v>3.5275590551181101E-5</c:v>
                </c:pt>
                <c:pt idx="77">
                  <c:v>3.5511811023622053E-5</c:v>
                </c:pt>
                <c:pt idx="78">
                  <c:v>3.586614173228346E-5</c:v>
                </c:pt>
                <c:pt idx="79">
                  <c:v>3.6220472440944888E-5</c:v>
                </c:pt>
                <c:pt idx="80">
                  <c:v>3.6692913385826771E-5</c:v>
                </c:pt>
                <c:pt idx="81">
                  <c:v>3.7165354330708662E-5</c:v>
                </c:pt>
                <c:pt idx="82">
                  <c:v>3.7637795275590552E-5</c:v>
                </c:pt>
                <c:pt idx="83">
                  <c:v>3.8149606299212594E-5</c:v>
                </c:pt>
                <c:pt idx="84">
                  <c:v>3.8622047244094491E-5</c:v>
                </c:pt>
                <c:pt idx="85">
                  <c:v>3.9094488188976381E-5</c:v>
                </c:pt>
                <c:pt idx="86">
                  <c:v>3.9645669291338589E-5</c:v>
                </c:pt>
                <c:pt idx="87">
                  <c:v>4.0118110236220472E-5</c:v>
                </c:pt>
                <c:pt idx="88">
                  <c:v>4.0669291338582673E-5</c:v>
                </c:pt>
                <c:pt idx="89">
                  <c:v>4.1181102362204729E-5</c:v>
                </c:pt>
                <c:pt idx="90">
                  <c:v>4.1692913385826778E-5</c:v>
                </c:pt>
                <c:pt idx="91">
                  <c:v>4.2244094488188979E-5</c:v>
                </c:pt>
                <c:pt idx="92">
                  <c:v>4.2795275590551179E-5</c:v>
                </c:pt>
                <c:pt idx="93">
                  <c:v>4.3307086614173235E-5</c:v>
                </c:pt>
                <c:pt idx="94">
                  <c:v>4.3858267716535436E-5</c:v>
                </c:pt>
                <c:pt idx="95">
                  <c:v>4.4409448818897643E-5</c:v>
                </c:pt>
                <c:pt idx="96">
                  <c:v>4.4960629921259837E-5</c:v>
                </c:pt>
                <c:pt idx="97">
                  <c:v>4.5472440944881893E-5</c:v>
                </c:pt>
                <c:pt idx="98">
                  <c:v>4.6220472440944887E-5</c:v>
                </c:pt>
                <c:pt idx="99">
                  <c:v>4.6574803149606301E-5</c:v>
                </c:pt>
                <c:pt idx="100">
                  <c:v>4.7283464566929137E-5</c:v>
                </c:pt>
                <c:pt idx="101">
                  <c:v>4.8031496062992124E-5</c:v>
                </c:pt>
                <c:pt idx="102">
                  <c:v>4.8385826771653545E-5</c:v>
                </c:pt>
                <c:pt idx="103">
                  <c:v>4.9094488188976374E-5</c:v>
                </c:pt>
                <c:pt idx="104">
                  <c:v>4.9842519685039375E-5</c:v>
                </c:pt>
                <c:pt idx="105">
                  <c:v>5.055118110236221E-5</c:v>
                </c:pt>
                <c:pt idx="106">
                  <c:v>5.1299212598425204E-5</c:v>
                </c:pt>
                <c:pt idx="107">
                  <c:v>5.2007874015748039E-5</c:v>
                </c:pt>
                <c:pt idx="108">
                  <c:v>5.2755905511811027E-5</c:v>
                </c:pt>
                <c:pt idx="109">
                  <c:v>5.3858267716535442E-5</c:v>
                </c:pt>
                <c:pt idx="110">
                  <c:v>5.4606299212598429E-5</c:v>
                </c:pt>
                <c:pt idx="111">
                  <c:v>5.5708661417322837E-5</c:v>
                </c:pt>
                <c:pt idx="112">
                  <c:v>5.6850393700787404E-5</c:v>
                </c:pt>
                <c:pt idx="113">
                  <c:v>5.7952755905511813E-5</c:v>
                </c:pt>
                <c:pt idx="114">
                  <c:v>5.909448818897638E-5</c:v>
                </c:pt>
                <c:pt idx="115">
                  <c:v>6.0236220472440947E-5</c:v>
                </c:pt>
                <c:pt idx="116">
                  <c:v>6.1771653543307093E-5</c:v>
                </c:pt>
                <c:pt idx="117">
                  <c:v>6.2874015748031508E-5</c:v>
                </c:pt>
                <c:pt idx="118">
                  <c:v>6.4803149606299215E-5</c:v>
                </c:pt>
                <c:pt idx="119">
                  <c:v>6.6338582677165348E-5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4F4-4C42-B954-2780ED3DC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232"/>
        <c:axId val="1"/>
      </c:scatterChart>
      <c:valAx>
        <c:axId val="1346360232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5991640750788504"/>
              <c:y val="0.9136711327940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3.3755265885881909E-2"/>
              <c:y val="0.2829743093047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360232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1.5" header="0.75" footer="0.75"/>
    <c:pageSetup orientation="landscape"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Human</a:t>
            </a:r>
            <a:r>
              <a:rPr lang="en-US" sz="1400" b="1" baseline="0"/>
              <a:t> Perception Curve</a:t>
            </a:r>
          </a:p>
          <a:p>
            <a:pPr>
              <a:defRPr/>
            </a:pPr>
            <a:endParaRPr lang="en-US" sz="600" b="1" baseline="0"/>
          </a:p>
          <a:p>
            <a:pPr>
              <a:defRPr/>
            </a:pPr>
            <a:r>
              <a:rPr lang="en-US" sz="1200" b="1" baseline="0">
                <a:solidFill>
                  <a:srgbClr val="FF0000"/>
                </a:solidFill>
              </a:rPr>
              <a:t>Point 5 - NE Corner</a:t>
            </a:r>
            <a:endParaRPr lang="en-US" sz="12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69036276798548"/>
          <c:y val="0.13311664149862262"/>
          <c:w val="0.79580356821014242"/>
          <c:h val="0.75242850741218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4EB-4BF3-84FE-65FBA4AC184E}"/>
              </c:ext>
            </c:extLst>
          </c:dPt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1.4784808479739018E-4</c:v>
                </c:pt>
                <c:pt idx="1">
                  <c:v>1.4784808479739018E-4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EB-4BF3-84FE-65FBA4AC184E}"/>
            </c:ext>
          </c:extLst>
        </c:ser>
        <c:ser>
          <c:idx val="10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1424</c:v>
                </c:pt>
                <c:pt idx="1">
                  <c:v>1424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EB-4BF3-84FE-65FBA4AC184E}"/>
            </c:ext>
          </c:extLst>
        </c:ser>
        <c:ser>
          <c:idx val="1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1780</c:v>
                </c:pt>
                <c:pt idx="1">
                  <c:v>1780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EB-4BF3-84FE-65FBA4AC184E}"/>
            </c:ext>
          </c:extLst>
        </c:ser>
        <c:ser>
          <c:idx val="1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2136</c:v>
                </c:pt>
                <c:pt idx="1">
                  <c:v>2136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EB-4BF3-84FE-65FBA4AC184E}"/>
            </c:ext>
          </c:extLst>
        </c:ser>
        <c:ser>
          <c:idx val="7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limits!$A$9:$A$12</c:f>
              <c:numCache>
                <c:formatCode>General</c:formatCode>
                <c:ptCount val="4"/>
                <c:pt idx="0">
                  <c:v>100</c:v>
                </c:pt>
                <c:pt idx="1">
                  <c:v>2300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limits!$B$9:$B$12</c:f>
              <c:numCache>
                <c:formatCode>General</c:formatCode>
                <c:ptCount val="4"/>
                <c:pt idx="0">
                  <c:v>0.1</c:v>
                </c:pt>
                <c:pt idx="1">
                  <c:v>5.5000000000000003E-4</c:v>
                </c:pt>
                <c:pt idx="2">
                  <c:v>1.2999999999999999E-4</c:v>
                </c:pt>
                <c:pt idx="3">
                  <c:v>1.45E-5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EB-4BF3-84FE-65FBA4AC184E}"/>
            </c:ext>
          </c:extLst>
        </c:ser>
        <c:ser>
          <c:idx val="3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limits!$B$4:$B$6</c:f>
              <c:numCache>
                <c:formatCode>General</c:formatCode>
                <c:ptCount val="3"/>
                <c:pt idx="0">
                  <c:v>9.2999999999999992E-3</c:v>
                </c:pt>
                <c:pt idx="1">
                  <c:v>1E-4</c:v>
                </c:pt>
                <c:pt idx="2">
                  <c:v>1.1E-5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EB-4BF3-84FE-65FBA4AC184E}"/>
            </c:ext>
          </c:extLst>
        </c:ser>
        <c:ser>
          <c:idx val="5"/>
          <c:order val="6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limits!$C$4:$C$6</c:f>
              <c:numCache>
                <c:formatCode>General</c:formatCode>
                <c:ptCount val="3"/>
                <c:pt idx="0">
                  <c:v>3.3E-3</c:v>
                </c:pt>
                <c:pt idx="1">
                  <c:v>3.3000000000000003E-5</c:v>
                </c:pt>
                <c:pt idx="2">
                  <c:v>3.3299999999999999E-6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EB-4BF3-84FE-65FBA4AC184E}"/>
            </c:ext>
          </c:extLst>
        </c:ser>
        <c:ser>
          <c:idx val="6"/>
          <c:order val="7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limits!$D$4:$D$6</c:f>
              <c:numCache>
                <c:formatCode>General</c:formatCode>
                <c:ptCount val="3"/>
                <c:pt idx="0">
                  <c:v>1.1999999999999999E-3</c:v>
                </c:pt>
                <c:pt idx="1">
                  <c:v>1.0000000000000001E-5</c:v>
                </c:pt>
                <c:pt idx="2">
                  <c:v>8.9999999999999996E-7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EB-4BF3-84FE-65FBA4AC184E}"/>
            </c:ext>
          </c:extLst>
        </c:ser>
        <c:ser>
          <c:idx val="18"/>
          <c:order val="8"/>
          <c:tx>
            <c:v>X-Translation</c:v>
          </c:tx>
          <c:spPr>
            <a:ln w="1905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P5_UB!$A$7:$A$126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P5_UB!$F$7:$F$126</c:f>
              <c:numCache>
                <c:formatCode>0.00E+00</c:formatCode>
                <c:ptCount val="120"/>
                <c:pt idx="0">
                  <c:v>3.2007874015748034E-8</c:v>
                </c:pt>
                <c:pt idx="1">
                  <c:v>1.3031496062992128E-7</c:v>
                </c:pt>
                <c:pt idx="2">
                  <c:v>2.9645669291338582E-7</c:v>
                </c:pt>
                <c:pt idx="3">
                  <c:v>5.3543307086614168E-7</c:v>
                </c:pt>
                <c:pt idx="4">
                  <c:v>8.5826771653543313E-7</c:v>
                </c:pt>
                <c:pt idx="5">
                  <c:v>1.2716535433070869E-6</c:v>
                </c:pt>
                <c:pt idx="6">
                  <c:v>1.7913385826771655E-6</c:v>
                </c:pt>
                <c:pt idx="7">
                  <c:v>2.4448818897637797E-6</c:v>
                </c:pt>
                <c:pt idx="8">
                  <c:v>3.2519685039370083E-6</c:v>
                </c:pt>
                <c:pt idx="9">
                  <c:v>4.2559055118110234E-6</c:v>
                </c:pt>
                <c:pt idx="10">
                  <c:v>5.4803149606299214E-6</c:v>
                </c:pt>
                <c:pt idx="11">
                  <c:v>6.9055118110236229E-6</c:v>
                </c:pt>
                <c:pt idx="12">
                  <c:v>8.4488188976377944E-6</c:v>
                </c:pt>
                <c:pt idx="13">
                  <c:v>9.8740157480314958E-6</c:v>
                </c:pt>
                <c:pt idx="14">
                  <c:v>1.0826771653543309E-5</c:v>
                </c:pt>
                <c:pt idx="15">
                  <c:v>1.1614173228346456E-5</c:v>
                </c:pt>
                <c:pt idx="16">
                  <c:v>1.2440944881889766E-5</c:v>
                </c:pt>
                <c:pt idx="17">
                  <c:v>1.3503937007874017E-5</c:v>
                </c:pt>
                <c:pt idx="18">
                  <c:v>1.4842519685039371E-5</c:v>
                </c:pt>
                <c:pt idx="19">
                  <c:v>1.6535433070866142E-5</c:v>
                </c:pt>
                <c:pt idx="20">
                  <c:v>1.8464566929133858E-5</c:v>
                </c:pt>
                <c:pt idx="21">
                  <c:v>2.0590551181102364E-5</c:v>
                </c:pt>
                <c:pt idx="22">
                  <c:v>2.2913385826771654E-5</c:v>
                </c:pt>
                <c:pt idx="23">
                  <c:v>2.5433070866141736E-5</c:v>
                </c:pt>
                <c:pt idx="24">
                  <c:v>2.8228346456692919E-5</c:v>
                </c:pt>
                <c:pt idx="25">
                  <c:v>3.1377952755905509E-5</c:v>
                </c:pt>
                <c:pt idx="26">
                  <c:v>3.4881889763779528E-5</c:v>
                </c:pt>
                <c:pt idx="27">
                  <c:v>3.8779527559055126E-5</c:v>
                </c:pt>
                <c:pt idx="28">
                  <c:v>4.3031496062992131E-5</c:v>
                </c:pt>
                <c:pt idx="29">
                  <c:v>4.7559055118110241E-5</c:v>
                </c:pt>
                <c:pt idx="30">
                  <c:v>5.2204724409448826E-5</c:v>
                </c:pt>
                <c:pt idx="31">
                  <c:v>5.6850393700787398E-5</c:v>
                </c:pt>
                <c:pt idx="32">
                  <c:v>6.1141732283464569E-5</c:v>
                </c:pt>
                <c:pt idx="33">
                  <c:v>6.4999999999999994E-5</c:v>
                </c:pt>
                <c:pt idx="34">
                  <c:v>6.8110236220472446E-5</c:v>
                </c:pt>
                <c:pt idx="35">
                  <c:v>6.964566929133858E-5</c:v>
                </c:pt>
                <c:pt idx="36">
                  <c:v>7.1181102362204726E-5</c:v>
                </c:pt>
                <c:pt idx="37">
                  <c:v>7.23228346456693E-5</c:v>
                </c:pt>
                <c:pt idx="38">
                  <c:v>7.3070866141732274E-5</c:v>
                </c:pt>
                <c:pt idx="39">
                  <c:v>7.3425196850393702E-5</c:v>
                </c:pt>
                <c:pt idx="40">
                  <c:v>7.3385826771653543E-5</c:v>
                </c:pt>
                <c:pt idx="41">
                  <c:v>7.3385826771653543E-5</c:v>
                </c:pt>
                <c:pt idx="42">
                  <c:v>7.3346456692913398E-5</c:v>
                </c:pt>
                <c:pt idx="43">
                  <c:v>7.2913385826771639E-5</c:v>
                </c:pt>
                <c:pt idx="44">
                  <c:v>7.251968503937008E-5</c:v>
                </c:pt>
                <c:pt idx="45">
                  <c:v>7.1732283464566934E-5</c:v>
                </c:pt>
                <c:pt idx="46">
                  <c:v>7.0905511811023629E-5</c:v>
                </c:pt>
                <c:pt idx="47">
                  <c:v>6.9685039370078752E-5</c:v>
                </c:pt>
                <c:pt idx="48">
                  <c:v>6.8110236220472446E-5</c:v>
                </c:pt>
                <c:pt idx="49">
                  <c:v>6.6889763779527569E-5</c:v>
                </c:pt>
                <c:pt idx="50">
                  <c:v>6.4881889763779532E-5</c:v>
                </c:pt>
                <c:pt idx="51">
                  <c:v>6.3267716535433068E-5</c:v>
                </c:pt>
                <c:pt idx="52">
                  <c:v>6.1220472440944886E-5</c:v>
                </c:pt>
                <c:pt idx="53">
                  <c:v>5.9212598425196849E-5</c:v>
                </c:pt>
                <c:pt idx="54">
                  <c:v>5.716535433070866E-5</c:v>
                </c:pt>
                <c:pt idx="55">
                  <c:v>5.5118110236220485E-5</c:v>
                </c:pt>
                <c:pt idx="56">
                  <c:v>5.3110236220472441E-5</c:v>
                </c:pt>
                <c:pt idx="57">
                  <c:v>5.1062992125984252E-5</c:v>
                </c:pt>
                <c:pt idx="58">
                  <c:v>4.9409448818897636E-5</c:v>
                </c:pt>
                <c:pt idx="59">
                  <c:v>4.7362204724409447E-5</c:v>
                </c:pt>
                <c:pt idx="60">
                  <c:v>4.5748031496062997E-5</c:v>
                </c:pt>
                <c:pt idx="61">
                  <c:v>4.4291338582677174E-5</c:v>
                </c:pt>
                <c:pt idx="62">
                  <c:v>4.2795275590551179E-5</c:v>
                </c:pt>
                <c:pt idx="63">
                  <c:v>4.1377952755905515E-5</c:v>
                </c:pt>
                <c:pt idx="64">
                  <c:v>4.0039370078740155E-5</c:v>
                </c:pt>
                <c:pt idx="65">
                  <c:v>3.8779527559055119E-5</c:v>
                </c:pt>
                <c:pt idx="66">
                  <c:v>3.7677165354330711E-5</c:v>
                </c:pt>
                <c:pt idx="67">
                  <c:v>3.6614173228346454E-5</c:v>
                </c:pt>
                <c:pt idx="68">
                  <c:v>3.559055118110237E-5</c:v>
                </c:pt>
                <c:pt idx="69">
                  <c:v>3.4685039370078741E-5</c:v>
                </c:pt>
                <c:pt idx="70">
                  <c:v>3.3740157480314961E-5</c:v>
                </c:pt>
                <c:pt idx="71">
                  <c:v>3.2755905511811028E-5</c:v>
                </c:pt>
                <c:pt idx="72">
                  <c:v>3.1889763779527558E-5</c:v>
                </c:pt>
                <c:pt idx="73">
                  <c:v>3.0984251968503937E-5</c:v>
                </c:pt>
                <c:pt idx="74">
                  <c:v>3.0196850393700787E-5</c:v>
                </c:pt>
                <c:pt idx="75">
                  <c:v>2.9409448818897641E-5</c:v>
                </c:pt>
                <c:pt idx="76">
                  <c:v>2.8661417322834647E-5</c:v>
                </c:pt>
                <c:pt idx="77">
                  <c:v>2.7992125984251971E-5</c:v>
                </c:pt>
                <c:pt idx="78">
                  <c:v>2.7362204724409449E-5</c:v>
                </c:pt>
                <c:pt idx="79">
                  <c:v>2.6732283464566934E-5</c:v>
                </c:pt>
                <c:pt idx="80">
                  <c:v>2.6102362204724413E-5</c:v>
                </c:pt>
                <c:pt idx="81">
                  <c:v>2.5472440944881891E-5</c:v>
                </c:pt>
                <c:pt idx="82">
                  <c:v>2.4921259842519687E-5</c:v>
                </c:pt>
                <c:pt idx="83">
                  <c:v>2.437007874015748E-5</c:v>
                </c:pt>
                <c:pt idx="84">
                  <c:v>2.377952755905512E-5</c:v>
                </c:pt>
                <c:pt idx="85">
                  <c:v>2.3267716535433071E-5</c:v>
                </c:pt>
                <c:pt idx="86">
                  <c:v>2.2716535433070864E-5</c:v>
                </c:pt>
                <c:pt idx="87">
                  <c:v>2.2283464566929136E-5</c:v>
                </c:pt>
                <c:pt idx="88">
                  <c:v>2.1771653543307087E-5</c:v>
                </c:pt>
                <c:pt idx="89">
                  <c:v>2.1338582677165355E-5</c:v>
                </c:pt>
                <c:pt idx="90">
                  <c:v>2.0905511811023623E-5</c:v>
                </c:pt>
                <c:pt idx="91">
                  <c:v>2.0511811023622047E-5</c:v>
                </c:pt>
                <c:pt idx="92">
                  <c:v>2.0118110236220471E-5</c:v>
                </c:pt>
                <c:pt idx="93">
                  <c:v>1.976377952755906E-5</c:v>
                </c:pt>
                <c:pt idx="94">
                  <c:v>1.9409448818897635E-5</c:v>
                </c:pt>
                <c:pt idx="95">
                  <c:v>1.909448818897638E-5</c:v>
                </c:pt>
                <c:pt idx="96">
                  <c:v>1.8779527559055121E-5</c:v>
                </c:pt>
                <c:pt idx="97">
                  <c:v>1.8503937007874017E-5</c:v>
                </c:pt>
                <c:pt idx="98">
                  <c:v>1.822834645669291E-5</c:v>
                </c:pt>
                <c:pt idx="99">
                  <c:v>1.7992125984251971E-5</c:v>
                </c:pt>
                <c:pt idx="100">
                  <c:v>1.7755905511811026E-5</c:v>
                </c:pt>
                <c:pt idx="101">
                  <c:v>1.7519685039370078E-5</c:v>
                </c:pt>
                <c:pt idx="102">
                  <c:v>1.7322834645669291E-5</c:v>
                </c:pt>
                <c:pt idx="103">
                  <c:v>1.7125984251968505E-5</c:v>
                </c:pt>
                <c:pt idx="104">
                  <c:v>1.6968503937007874E-5</c:v>
                </c:pt>
                <c:pt idx="105">
                  <c:v>1.6771653543307091E-5</c:v>
                </c:pt>
                <c:pt idx="106">
                  <c:v>1.6614173228346459E-5</c:v>
                </c:pt>
                <c:pt idx="107">
                  <c:v>1.6456692913385828E-5</c:v>
                </c:pt>
                <c:pt idx="108">
                  <c:v>1.6259842519685042E-5</c:v>
                </c:pt>
                <c:pt idx="109">
                  <c:v>1.610236220472441E-5</c:v>
                </c:pt>
                <c:pt idx="110">
                  <c:v>1.5984251968503938E-5</c:v>
                </c:pt>
                <c:pt idx="111">
                  <c:v>1.582677165354331E-5</c:v>
                </c:pt>
                <c:pt idx="112">
                  <c:v>1.5629921259842517E-5</c:v>
                </c:pt>
                <c:pt idx="113">
                  <c:v>1.5472440944881892E-5</c:v>
                </c:pt>
                <c:pt idx="114">
                  <c:v>1.5314960629921261E-5</c:v>
                </c:pt>
                <c:pt idx="115">
                  <c:v>1.5118110236220473E-5</c:v>
                </c:pt>
                <c:pt idx="116">
                  <c:v>1.4921259842519686E-5</c:v>
                </c:pt>
                <c:pt idx="117">
                  <c:v>1.4763779527559057E-5</c:v>
                </c:pt>
                <c:pt idx="118">
                  <c:v>1.452755905511811E-5</c:v>
                </c:pt>
                <c:pt idx="119">
                  <c:v>1.4330708661417324E-5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EB-4BF3-84FE-65FBA4AC184E}"/>
            </c:ext>
          </c:extLst>
        </c:ser>
        <c:ser>
          <c:idx val="21"/>
          <c:order val="9"/>
          <c:tx>
            <c:v>Y-Translation</c:v>
          </c:tx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P5_UB!$A$7:$A$126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P5_UB!$G$7:$G$126</c:f>
              <c:numCache>
                <c:formatCode>0.00E+00</c:formatCode>
                <c:ptCount val="120"/>
                <c:pt idx="0">
                  <c:v>5.3818897637795281E-9</c:v>
                </c:pt>
                <c:pt idx="1">
                  <c:v>2.0905511811023623E-8</c:v>
                </c:pt>
                <c:pt idx="2">
                  <c:v>4.696850393700787E-8</c:v>
                </c:pt>
                <c:pt idx="3">
                  <c:v>8.6220472440944897E-8</c:v>
                </c:pt>
                <c:pt idx="4">
                  <c:v>1.3661417322834645E-7</c:v>
                </c:pt>
                <c:pt idx="5">
                  <c:v>2.0196850393700788E-7</c:v>
                </c:pt>
                <c:pt idx="6">
                  <c:v>2.8188976377952758E-7</c:v>
                </c:pt>
                <c:pt idx="7">
                  <c:v>3.7952755905511813E-7</c:v>
                </c:pt>
                <c:pt idx="8">
                  <c:v>4.9881889763779531E-7</c:v>
                </c:pt>
                <c:pt idx="9">
                  <c:v>6.4291338582677179E-7</c:v>
                </c:pt>
                <c:pt idx="10">
                  <c:v>8.1535433070866132E-7</c:v>
                </c:pt>
                <c:pt idx="11">
                  <c:v>1.0196850393700789E-6</c:v>
                </c:pt>
                <c:pt idx="12">
                  <c:v>1.251968503937008E-6</c:v>
                </c:pt>
                <c:pt idx="13">
                  <c:v>1.5039370078740158E-6</c:v>
                </c:pt>
                <c:pt idx="14">
                  <c:v>1.7834645669291341E-6</c:v>
                </c:pt>
                <c:pt idx="15">
                  <c:v>2.0826771653543309E-6</c:v>
                </c:pt>
                <c:pt idx="16">
                  <c:v>2.4133858267716535E-6</c:v>
                </c:pt>
                <c:pt idx="17">
                  <c:v>2.7716535433070865E-6</c:v>
                </c:pt>
                <c:pt idx="18">
                  <c:v>3.1496062992125989E-6</c:v>
                </c:pt>
                <c:pt idx="19">
                  <c:v>3.535433070866142E-6</c:v>
                </c:pt>
                <c:pt idx="20">
                  <c:v>3.9094488188976381E-6</c:v>
                </c:pt>
                <c:pt idx="21">
                  <c:v>4.2677165354330712E-6</c:v>
                </c:pt>
                <c:pt idx="22">
                  <c:v>4.6181102362204727E-6</c:v>
                </c:pt>
                <c:pt idx="23">
                  <c:v>4.9763779527559049E-6</c:v>
                </c:pt>
                <c:pt idx="24">
                  <c:v>5.3622047244094497E-6</c:v>
                </c:pt>
                <c:pt idx="25">
                  <c:v>5.7913385826771668E-6</c:v>
                </c:pt>
                <c:pt idx="26">
                  <c:v>6.2834645669291346E-6</c:v>
                </c:pt>
                <c:pt idx="27">
                  <c:v>6.8385826771653542E-6</c:v>
                </c:pt>
                <c:pt idx="28">
                  <c:v>7.4685039370078731E-6</c:v>
                </c:pt>
                <c:pt idx="29">
                  <c:v>8.1811023622047247E-6</c:v>
                </c:pt>
                <c:pt idx="30">
                  <c:v>8.9724409448818902E-6</c:v>
                </c:pt>
                <c:pt idx="31">
                  <c:v>9.8385826771653568E-6</c:v>
                </c:pt>
                <c:pt idx="32">
                  <c:v>1.0751968503937009E-5</c:v>
                </c:pt>
                <c:pt idx="33">
                  <c:v>1.1783464566929135E-5</c:v>
                </c:pt>
                <c:pt idx="34">
                  <c:v>1.281496062992126E-5</c:v>
                </c:pt>
                <c:pt idx="35">
                  <c:v>1.3929133858267717E-5</c:v>
                </c:pt>
                <c:pt idx="36">
                  <c:v>1.5047244094488191E-5</c:v>
                </c:pt>
                <c:pt idx="37">
                  <c:v>1.6125984251968508E-5</c:v>
                </c:pt>
                <c:pt idx="38">
                  <c:v>1.7244094488188977E-5</c:v>
                </c:pt>
                <c:pt idx="39">
                  <c:v>1.8366141732283465E-5</c:v>
                </c:pt>
                <c:pt idx="40">
                  <c:v>1.9492125984251971E-5</c:v>
                </c:pt>
                <c:pt idx="41">
                  <c:v>2.0582677165354332E-5</c:v>
                </c:pt>
                <c:pt idx="42">
                  <c:v>2.1673228346456697E-5</c:v>
                </c:pt>
                <c:pt idx="43">
                  <c:v>2.2767716535433073E-5</c:v>
                </c:pt>
                <c:pt idx="44">
                  <c:v>2.3787401574803149E-5</c:v>
                </c:pt>
                <c:pt idx="45">
                  <c:v>2.4771653543307088E-5</c:v>
                </c:pt>
                <c:pt idx="46">
                  <c:v>2.5673228346456692E-5</c:v>
                </c:pt>
                <c:pt idx="47">
                  <c:v>2.65E-5</c:v>
                </c:pt>
                <c:pt idx="48">
                  <c:v>2.7208661417322839E-5</c:v>
                </c:pt>
                <c:pt idx="49">
                  <c:v>2.7755905511811025E-5</c:v>
                </c:pt>
                <c:pt idx="50">
                  <c:v>2.8220472440944883E-5</c:v>
                </c:pt>
                <c:pt idx="51">
                  <c:v>2.8562992125984257E-5</c:v>
                </c:pt>
                <c:pt idx="52">
                  <c:v>2.8748031496062994E-5</c:v>
                </c:pt>
                <c:pt idx="53">
                  <c:v>2.888976377952756E-5</c:v>
                </c:pt>
                <c:pt idx="54">
                  <c:v>2.8913385826771654E-5</c:v>
                </c:pt>
                <c:pt idx="55">
                  <c:v>2.8858267716535437E-5</c:v>
                </c:pt>
                <c:pt idx="56">
                  <c:v>2.8720472440944885E-5</c:v>
                </c:pt>
                <c:pt idx="57">
                  <c:v>2.858267716535433E-5</c:v>
                </c:pt>
                <c:pt idx="58">
                  <c:v>2.8409448818897637E-5</c:v>
                </c:pt>
                <c:pt idx="59">
                  <c:v>2.8204724409448822E-5</c:v>
                </c:pt>
                <c:pt idx="60">
                  <c:v>2.8007874015748032E-5</c:v>
                </c:pt>
                <c:pt idx="61">
                  <c:v>2.7791338582677166E-5</c:v>
                </c:pt>
                <c:pt idx="62">
                  <c:v>2.7598425196850398E-5</c:v>
                </c:pt>
                <c:pt idx="63">
                  <c:v>2.7476377952755907E-5</c:v>
                </c:pt>
                <c:pt idx="64">
                  <c:v>2.7338582677165355E-5</c:v>
                </c:pt>
                <c:pt idx="65">
                  <c:v>2.7224409448818897E-5</c:v>
                </c:pt>
                <c:pt idx="66">
                  <c:v>2.7149606299212601E-5</c:v>
                </c:pt>
                <c:pt idx="67">
                  <c:v>2.7011811023622049E-5</c:v>
                </c:pt>
                <c:pt idx="68">
                  <c:v>2.6877952755905512E-5</c:v>
                </c:pt>
                <c:pt idx="69">
                  <c:v>2.6665354330708664E-5</c:v>
                </c:pt>
                <c:pt idx="70">
                  <c:v>2.6452755905511813E-5</c:v>
                </c:pt>
                <c:pt idx="71">
                  <c:v>2.6181102362204727E-5</c:v>
                </c:pt>
                <c:pt idx="72">
                  <c:v>2.5897637795275594E-5</c:v>
                </c:pt>
                <c:pt idx="73">
                  <c:v>2.5614173228346458E-5</c:v>
                </c:pt>
                <c:pt idx="74">
                  <c:v>2.5374015748031498E-5</c:v>
                </c:pt>
                <c:pt idx="75">
                  <c:v>2.5098425196850398E-5</c:v>
                </c:pt>
                <c:pt idx="76">
                  <c:v>2.4870078740157478E-5</c:v>
                </c:pt>
                <c:pt idx="77">
                  <c:v>2.4649606299212598E-5</c:v>
                </c:pt>
                <c:pt idx="78">
                  <c:v>2.4429133858267718E-5</c:v>
                </c:pt>
                <c:pt idx="79">
                  <c:v>2.4212598425196855E-5</c:v>
                </c:pt>
                <c:pt idx="80">
                  <c:v>2.4039370078740159E-5</c:v>
                </c:pt>
                <c:pt idx="81">
                  <c:v>2.3826771653543308E-5</c:v>
                </c:pt>
                <c:pt idx="82">
                  <c:v>2.3614173228346457E-5</c:v>
                </c:pt>
                <c:pt idx="83">
                  <c:v>2.3440944881889767E-5</c:v>
                </c:pt>
                <c:pt idx="84">
                  <c:v>2.3228346456692913E-5</c:v>
                </c:pt>
                <c:pt idx="85">
                  <c:v>2.3051181102362206E-5</c:v>
                </c:pt>
                <c:pt idx="86">
                  <c:v>2.2877952755905516E-5</c:v>
                </c:pt>
                <c:pt idx="87">
                  <c:v>2.274803149606299E-5</c:v>
                </c:pt>
                <c:pt idx="88">
                  <c:v>2.2574803149606297E-5</c:v>
                </c:pt>
                <c:pt idx="89">
                  <c:v>2.2401574803149605E-5</c:v>
                </c:pt>
                <c:pt idx="90">
                  <c:v>2.2271653543307089E-5</c:v>
                </c:pt>
                <c:pt idx="91">
                  <c:v>2.2141732283464569E-5</c:v>
                </c:pt>
                <c:pt idx="92">
                  <c:v>2.2015748031496061E-5</c:v>
                </c:pt>
                <c:pt idx="93">
                  <c:v>2.1885826771653541E-5</c:v>
                </c:pt>
                <c:pt idx="94">
                  <c:v>2.1759842519685036E-5</c:v>
                </c:pt>
                <c:pt idx="95">
                  <c:v>2.1673228346456697E-5</c:v>
                </c:pt>
                <c:pt idx="96">
                  <c:v>2.1586614173228351E-5</c:v>
                </c:pt>
                <c:pt idx="97">
                  <c:v>2.146456692913386E-5</c:v>
                </c:pt>
                <c:pt idx="98">
                  <c:v>2.1417322834645669E-5</c:v>
                </c:pt>
                <c:pt idx="99">
                  <c:v>2.1334645669291344E-5</c:v>
                </c:pt>
                <c:pt idx="100">
                  <c:v>2.128740157480315E-5</c:v>
                </c:pt>
                <c:pt idx="101">
                  <c:v>2.1244094488188976E-5</c:v>
                </c:pt>
                <c:pt idx="102">
                  <c:v>2.1200787401574807E-5</c:v>
                </c:pt>
                <c:pt idx="103">
                  <c:v>2.1153543307086612E-5</c:v>
                </c:pt>
                <c:pt idx="104">
                  <c:v>2.1149606299212598E-5</c:v>
                </c:pt>
                <c:pt idx="105">
                  <c:v>2.114566929133858E-5</c:v>
                </c:pt>
                <c:pt idx="106">
                  <c:v>2.1137795275590551E-5</c:v>
                </c:pt>
                <c:pt idx="107">
                  <c:v>2.113385826771654E-5</c:v>
                </c:pt>
                <c:pt idx="108">
                  <c:v>2.1169291338582677E-5</c:v>
                </c:pt>
                <c:pt idx="109">
                  <c:v>2.1204724409448818E-5</c:v>
                </c:pt>
                <c:pt idx="110">
                  <c:v>2.1240157480314958E-5</c:v>
                </c:pt>
                <c:pt idx="111">
                  <c:v>2.1271653543307091E-5</c:v>
                </c:pt>
                <c:pt idx="112">
                  <c:v>2.1307086614173232E-5</c:v>
                </c:pt>
                <c:pt idx="113">
                  <c:v>2.1342519685039373E-5</c:v>
                </c:pt>
                <c:pt idx="114">
                  <c:v>2.137795275590551E-5</c:v>
                </c:pt>
                <c:pt idx="115">
                  <c:v>2.145275590551181E-5</c:v>
                </c:pt>
                <c:pt idx="116">
                  <c:v>2.1488188976377951E-5</c:v>
                </c:pt>
                <c:pt idx="117">
                  <c:v>2.1562992125984253E-5</c:v>
                </c:pt>
                <c:pt idx="118">
                  <c:v>2.159448818897638E-5</c:v>
                </c:pt>
                <c:pt idx="119">
                  <c:v>2.162992125984252E-5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EB-4BF3-84FE-65FBA4AC184E}"/>
            </c:ext>
          </c:extLst>
        </c:ser>
        <c:ser>
          <c:idx val="22"/>
          <c:order val="10"/>
          <c:tx>
            <c:v>Z-Translation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P5_UB!$A$7:$A$126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P5_UB!$H$7:$H$126</c:f>
              <c:numCache>
                <c:formatCode>0.00E+00</c:formatCode>
                <c:ptCount val="120"/>
                <c:pt idx="0">
                  <c:v>1.3476377952755906E-8</c:v>
                </c:pt>
                <c:pt idx="1">
                  <c:v>5.4527559055118107E-8</c:v>
                </c:pt>
                <c:pt idx="2">
                  <c:v>1.2456692913385827E-7</c:v>
                </c:pt>
                <c:pt idx="3">
                  <c:v>2.2440944881889763E-7</c:v>
                </c:pt>
                <c:pt idx="4">
                  <c:v>3.5708661417322833E-7</c:v>
                </c:pt>
                <c:pt idx="5">
                  <c:v>5.2559055118110234E-7</c:v>
                </c:pt>
                <c:pt idx="6">
                  <c:v>7.3228346456692922E-7</c:v>
                </c:pt>
                <c:pt idx="7">
                  <c:v>9.8700787401574805E-7</c:v>
                </c:pt>
                <c:pt idx="8">
                  <c:v>1.2874015748031498E-6</c:v>
                </c:pt>
                <c:pt idx="9">
                  <c:v>1.6496062992125984E-6</c:v>
                </c:pt>
                <c:pt idx="10">
                  <c:v>2.0748031496062993E-6</c:v>
                </c:pt>
                <c:pt idx="11">
                  <c:v>2.5708661417322838E-6</c:v>
                </c:pt>
                <c:pt idx="12">
                  <c:v>3.1102362204724415E-6</c:v>
                </c:pt>
                <c:pt idx="13">
                  <c:v>3.6259842519685049E-6</c:v>
                </c:pt>
                <c:pt idx="14">
                  <c:v>4.0590551181102361E-6</c:v>
                </c:pt>
                <c:pt idx="15">
                  <c:v>4.4527559055118116E-6</c:v>
                </c:pt>
                <c:pt idx="16">
                  <c:v>4.8425196850393709E-6</c:v>
                </c:pt>
                <c:pt idx="17">
                  <c:v>5.2677165354330709E-6</c:v>
                </c:pt>
                <c:pt idx="18">
                  <c:v>5.6968503937007889E-6</c:v>
                </c:pt>
                <c:pt idx="19">
                  <c:v>6.2519685039370076E-6</c:v>
                </c:pt>
                <c:pt idx="20">
                  <c:v>6.8188976377952748E-6</c:v>
                </c:pt>
                <c:pt idx="21">
                  <c:v>7.4803149606299217E-6</c:v>
                </c:pt>
                <c:pt idx="22">
                  <c:v>8.1968503937007878E-6</c:v>
                </c:pt>
                <c:pt idx="23">
                  <c:v>8.9724409448818902E-6</c:v>
                </c:pt>
                <c:pt idx="24">
                  <c:v>9.7992125984251981E-6</c:v>
                </c:pt>
                <c:pt idx="25">
                  <c:v>1.0720472440944883E-5</c:v>
                </c:pt>
                <c:pt idx="26">
                  <c:v>1.1649606299212599E-5</c:v>
                </c:pt>
                <c:pt idx="27">
                  <c:v>1.2551181102362204E-5</c:v>
                </c:pt>
                <c:pt idx="28">
                  <c:v>1.3452755905511814E-5</c:v>
                </c:pt>
                <c:pt idx="29">
                  <c:v>1.4244094488188977E-5</c:v>
                </c:pt>
                <c:pt idx="30">
                  <c:v>1.4877952755905512E-5</c:v>
                </c:pt>
                <c:pt idx="31">
                  <c:v>1.527952755905512E-5</c:v>
                </c:pt>
                <c:pt idx="32">
                  <c:v>1.5393700787401575E-5</c:v>
                </c:pt>
                <c:pt idx="33">
                  <c:v>1.5232283464566931E-5</c:v>
                </c:pt>
                <c:pt idx="34">
                  <c:v>1.4791338582677167E-5</c:v>
                </c:pt>
                <c:pt idx="35">
                  <c:v>1.4070866141732285E-5</c:v>
                </c:pt>
                <c:pt idx="36">
                  <c:v>1.3338582677165357E-5</c:v>
                </c:pt>
                <c:pt idx="37">
                  <c:v>1.2523622047244096E-5</c:v>
                </c:pt>
                <c:pt idx="38">
                  <c:v>1.1700787401574804E-5</c:v>
                </c:pt>
                <c:pt idx="39">
                  <c:v>1.095275590551181E-5</c:v>
                </c:pt>
                <c:pt idx="40">
                  <c:v>1.0279527559055119E-5</c:v>
                </c:pt>
                <c:pt idx="41">
                  <c:v>9.7204724409448842E-6</c:v>
                </c:pt>
                <c:pt idx="42">
                  <c:v>9.2716535433070878E-6</c:v>
                </c:pt>
                <c:pt idx="43">
                  <c:v>8.9842519685039371E-6</c:v>
                </c:pt>
                <c:pt idx="44">
                  <c:v>8.8503937007874014E-6</c:v>
                </c:pt>
                <c:pt idx="45">
                  <c:v>8.8425196850393707E-6</c:v>
                </c:pt>
                <c:pt idx="46">
                  <c:v>8.9212598425196863E-6</c:v>
                </c:pt>
                <c:pt idx="47">
                  <c:v>9.1338582677165342E-6</c:v>
                </c:pt>
                <c:pt idx="48">
                  <c:v>9.4448818897637788E-6</c:v>
                </c:pt>
                <c:pt idx="49">
                  <c:v>9.8307086614173227E-6</c:v>
                </c:pt>
                <c:pt idx="50">
                  <c:v>1.0291338582677166E-5</c:v>
                </c:pt>
                <c:pt idx="51">
                  <c:v>1.0877952755905513E-5</c:v>
                </c:pt>
                <c:pt idx="52">
                  <c:v>1.155511811023622E-5</c:v>
                </c:pt>
                <c:pt idx="53">
                  <c:v>1.2283464566929135E-5</c:v>
                </c:pt>
                <c:pt idx="54">
                  <c:v>1.3153543307086614E-5</c:v>
                </c:pt>
                <c:pt idx="55">
                  <c:v>1.4090551181102362E-5</c:v>
                </c:pt>
                <c:pt idx="56">
                  <c:v>1.5181102362204725E-5</c:v>
                </c:pt>
                <c:pt idx="57">
                  <c:v>1.6334645669291341E-5</c:v>
                </c:pt>
                <c:pt idx="58">
                  <c:v>1.7677165354330709E-5</c:v>
                </c:pt>
                <c:pt idx="59">
                  <c:v>1.9173228346456694E-5</c:v>
                </c:pt>
                <c:pt idx="60">
                  <c:v>2.0826771653543306E-5</c:v>
                </c:pt>
                <c:pt idx="61">
                  <c:v>2.2755905511811026E-5</c:v>
                </c:pt>
                <c:pt idx="62">
                  <c:v>2.5000000000000005E-5</c:v>
                </c:pt>
                <c:pt idx="63">
                  <c:v>2.7401574803149608E-5</c:v>
                </c:pt>
                <c:pt idx="64">
                  <c:v>2.9842519685039373E-5</c:v>
                </c:pt>
                <c:pt idx="65">
                  <c:v>3.2007874015748034E-5</c:v>
                </c:pt>
                <c:pt idx="66">
                  <c:v>3.3779527559055119E-5</c:v>
                </c:pt>
                <c:pt idx="67">
                  <c:v>3.5039370078740156E-5</c:v>
                </c:pt>
                <c:pt idx="68">
                  <c:v>3.5708661417322839E-5</c:v>
                </c:pt>
                <c:pt idx="69">
                  <c:v>3.586614173228346E-5</c:v>
                </c:pt>
                <c:pt idx="70">
                  <c:v>3.566929133858268E-5</c:v>
                </c:pt>
                <c:pt idx="71">
                  <c:v>3.5393700787401577E-5</c:v>
                </c:pt>
                <c:pt idx="72">
                  <c:v>3.5157480314960632E-5</c:v>
                </c:pt>
                <c:pt idx="73">
                  <c:v>3.4960629921259845E-5</c:v>
                </c:pt>
                <c:pt idx="74">
                  <c:v>3.4960629921259845E-5</c:v>
                </c:pt>
                <c:pt idx="75">
                  <c:v>3.5039370078740156E-5</c:v>
                </c:pt>
                <c:pt idx="76">
                  <c:v>3.5275590551181101E-5</c:v>
                </c:pt>
                <c:pt idx="77">
                  <c:v>3.5511811023622053E-5</c:v>
                </c:pt>
                <c:pt idx="78">
                  <c:v>3.586614173228346E-5</c:v>
                </c:pt>
                <c:pt idx="79">
                  <c:v>3.6220472440944888E-5</c:v>
                </c:pt>
                <c:pt idx="80">
                  <c:v>3.6692913385826771E-5</c:v>
                </c:pt>
                <c:pt idx="81">
                  <c:v>3.7165354330708662E-5</c:v>
                </c:pt>
                <c:pt idx="82">
                  <c:v>3.7637795275590552E-5</c:v>
                </c:pt>
                <c:pt idx="83">
                  <c:v>3.8149606299212594E-5</c:v>
                </c:pt>
                <c:pt idx="84">
                  <c:v>3.8622047244094491E-5</c:v>
                </c:pt>
                <c:pt idx="85">
                  <c:v>3.9094488188976381E-5</c:v>
                </c:pt>
                <c:pt idx="86">
                  <c:v>3.9645669291338589E-5</c:v>
                </c:pt>
                <c:pt idx="87">
                  <c:v>4.0118110236220472E-5</c:v>
                </c:pt>
                <c:pt idx="88">
                  <c:v>4.0669291338582673E-5</c:v>
                </c:pt>
                <c:pt idx="89">
                  <c:v>4.1181102362204729E-5</c:v>
                </c:pt>
                <c:pt idx="90">
                  <c:v>4.1692913385826778E-5</c:v>
                </c:pt>
                <c:pt idx="91">
                  <c:v>4.2244094488188979E-5</c:v>
                </c:pt>
                <c:pt idx="92">
                  <c:v>4.2795275590551179E-5</c:v>
                </c:pt>
                <c:pt idx="93">
                  <c:v>4.3307086614173235E-5</c:v>
                </c:pt>
                <c:pt idx="94">
                  <c:v>4.3858267716535436E-5</c:v>
                </c:pt>
                <c:pt idx="95">
                  <c:v>4.4409448818897643E-5</c:v>
                </c:pt>
                <c:pt idx="96">
                  <c:v>4.4960629921259837E-5</c:v>
                </c:pt>
                <c:pt idx="97">
                  <c:v>4.5472440944881893E-5</c:v>
                </c:pt>
                <c:pt idx="98">
                  <c:v>4.6220472440944887E-5</c:v>
                </c:pt>
                <c:pt idx="99">
                  <c:v>4.6574803149606301E-5</c:v>
                </c:pt>
                <c:pt idx="100">
                  <c:v>4.7283464566929137E-5</c:v>
                </c:pt>
                <c:pt idx="101">
                  <c:v>4.8031496062992124E-5</c:v>
                </c:pt>
                <c:pt idx="102">
                  <c:v>4.8385826771653545E-5</c:v>
                </c:pt>
                <c:pt idx="103">
                  <c:v>4.9094488188976374E-5</c:v>
                </c:pt>
                <c:pt idx="104">
                  <c:v>4.9842519685039375E-5</c:v>
                </c:pt>
                <c:pt idx="105">
                  <c:v>5.055118110236221E-5</c:v>
                </c:pt>
                <c:pt idx="106">
                  <c:v>5.1299212598425204E-5</c:v>
                </c:pt>
                <c:pt idx="107">
                  <c:v>5.2007874015748039E-5</c:v>
                </c:pt>
                <c:pt idx="108">
                  <c:v>5.2755905511811027E-5</c:v>
                </c:pt>
                <c:pt idx="109">
                  <c:v>5.3858267716535442E-5</c:v>
                </c:pt>
                <c:pt idx="110">
                  <c:v>5.4606299212598429E-5</c:v>
                </c:pt>
                <c:pt idx="111">
                  <c:v>5.5708661417322837E-5</c:v>
                </c:pt>
                <c:pt idx="112">
                  <c:v>5.6850393700787404E-5</c:v>
                </c:pt>
                <c:pt idx="113">
                  <c:v>5.7952755905511813E-5</c:v>
                </c:pt>
                <c:pt idx="114">
                  <c:v>5.909448818897638E-5</c:v>
                </c:pt>
                <c:pt idx="115">
                  <c:v>6.0236220472440947E-5</c:v>
                </c:pt>
                <c:pt idx="116">
                  <c:v>6.1771653543307093E-5</c:v>
                </c:pt>
                <c:pt idx="117">
                  <c:v>6.2874015748031508E-5</c:v>
                </c:pt>
                <c:pt idx="118">
                  <c:v>6.4803149606299215E-5</c:v>
                </c:pt>
                <c:pt idx="119">
                  <c:v>6.6338582677165348E-5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EB-4BF3-84FE-65FBA4AC184E}"/>
            </c:ext>
          </c:extLst>
        </c:ser>
        <c:ser>
          <c:idx val="23"/>
          <c:order val="11"/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94EB-4BF3-84FE-65FBA4AC184E}"/>
              </c:ext>
            </c:extLst>
          </c:dPt>
          <c:xVal>
            <c:numRef>
              <c:f>limits!$G$23:$G$24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limits!$H$23:$H$24</c:f>
              <c:numCache>
                <c:formatCode>0.000000</c:formatCode>
                <c:ptCount val="2"/>
                <c:pt idx="0">
                  <c:v>5.9999999999999995E-4</c:v>
                </c:pt>
                <c:pt idx="1">
                  <c:v>5.9999999999999995E-4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EB-4BF3-84FE-65FBA4AC1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10160"/>
        <c:axId val="1"/>
      </c:scatterChart>
      <c:valAx>
        <c:axId val="832210160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2482138870207053"/>
              <c:y val="0.9361926710380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.9999999999999995E-7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1.8357006017334653E-2"/>
              <c:y val="0.3193191221667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10160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1496496960137534"/>
          <c:y val="0.69083688649590724"/>
          <c:w val="0.22038214221632471"/>
          <c:h val="0.151102258462751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20-4796-99D5-606F6041D184}"/>
            </c:ext>
          </c:extLst>
        </c:ser>
        <c:ser>
          <c:idx val="3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</c:numCache>
            </c:numRef>
          </c:xVal>
          <c:yVal>
            <c:numRef>
              <c:f>limits!$B$17:$B$21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20-4796-99D5-606F6041D184}"/>
            </c:ext>
          </c:extLst>
        </c:ser>
        <c:ser>
          <c:idx val="4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limits!$D$17:$D$20</c:f>
              <c:numCache>
                <c:formatCode>General</c:formatCode>
                <c:ptCount val="4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</c:numCache>
            </c:numRef>
          </c:xVal>
          <c:yVal>
            <c:numRef>
              <c:f>limits!$E$17:$E$20</c:f>
              <c:numCache>
                <c:formatCode>General</c:formatCode>
                <c:ptCount val="4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20-4796-99D5-606F6041D184}"/>
            </c:ext>
          </c:extLst>
        </c:ser>
        <c:ser>
          <c:idx val="5"/>
          <c:order val="3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limits!$G$4:$G$5</c:f>
              <c:numCache>
                <c:formatCode>0</c:formatCode>
                <c:ptCount val="2"/>
                <c:pt idx="0">
                  <c:v>1424</c:v>
                </c:pt>
                <c:pt idx="1">
                  <c:v>1424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20-4796-99D5-606F6041D184}"/>
            </c:ext>
          </c:extLst>
        </c:ser>
        <c:ser>
          <c:idx val="6"/>
          <c:order val="4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limits!$H$4:$H$5</c:f>
              <c:numCache>
                <c:formatCode>General</c:formatCode>
                <c:ptCount val="2"/>
                <c:pt idx="0">
                  <c:v>1780</c:v>
                </c:pt>
                <c:pt idx="1">
                  <c:v>1780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120-4796-99D5-606F6041D184}"/>
            </c:ext>
          </c:extLst>
        </c:ser>
        <c:ser>
          <c:idx val="7"/>
          <c:order val="5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limits!$I$4:$I$5</c:f>
              <c:numCache>
                <c:formatCode>0</c:formatCode>
                <c:ptCount val="2"/>
                <c:pt idx="0">
                  <c:v>2136</c:v>
                </c:pt>
                <c:pt idx="1">
                  <c:v>2136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120-4796-99D5-606F6041D184}"/>
            </c:ext>
          </c:extLst>
        </c:ser>
        <c:ser>
          <c:idx val="8"/>
          <c:order val="6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limits!$J$4:$J$5</c:f>
              <c:numCache>
                <c:formatCode>General</c:formatCode>
                <c:ptCount val="2"/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120-4796-99D5-606F6041D184}"/>
            </c:ext>
          </c:extLst>
        </c:ser>
        <c:ser>
          <c:idx val="10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limits!$H$17:$H$18</c:f>
              <c:numCache>
                <c:formatCode>General</c:formatCode>
                <c:ptCount val="2"/>
                <c:pt idx="0">
                  <c:v>4.4999999999999999E-4</c:v>
                </c:pt>
                <c:pt idx="1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120-4796-99D5-606F6041D184}"/>
            </c:ext>
          </c:extLst>
        </c:ser>
        <c:ser>
          <c:idx val="11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limits!$I$17:$I$18</c:f>
              <c:numCache>
                <c:formatCode>General</c:formatCode>
                <c:ptCount val="2"/>
                <c:pt idx="0">
                  <c:v>9.5E-4</c:v>
                </c:pt>
                <c:pt idx="1">
                  <c:v>9.5000000000000005E-6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120-4796-99D5-606F6041D184}"/>
            </c:ext>
          </c:extLst>
        </c:ser>
        <c:ser>
          <c:idx val="12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limits!$J$17:$J$18</c:f>
              <c:numCache>
                <c:formatCode>General</c:formatCode>
                <c:ptCount val="2"/>
                <c:pt idx="0">
                  <c:v>1.75E-3</c:v>
                </c:pt>
                <c:pt idx="1">
                  <c:v>1.6500000000000001E-5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120-4796-99D5-606F6041D184}"/>
            </c:ext>
          </c:extLst>
        </c:ser>
        <c:ser>
          <c:idx val="13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limits!$K$17:$K$18</c:f>
              <c:numCache>
                <c:formatCode>General</c:formatCode>
                <c:ptCount val="2"/>
                <c:pt idx="0">
                  <c:v>3.7499999999999999E-3</c:v>
                </c:pt>
                <c:pt idx="1">
                  <c:v>3.5000000000000004E-5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120-4796-99D5-606F6041D184}"/>
            </c:ext>
          </c:extLst>
        </c:ser>
        <c:ser>
          <c:idx val="14"/>
          <c:order val="1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limits!$L$17:$L$18</c:f>
              <c:numCache>
                <c:formatCode>General</c:formatCode>
                <c:ptCount val="2"/>
                <c:pt idx="0">
                  <c:v>7.4999999999999997E-3</c:v>
                </c:pt>
                <c:pt idx="1">
                  <c:v>6.5000000000000008E-5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120-4796-99D5-606F6041D184}"/>
            </c:ext>
          </c:extLst>
        </c:ser>
        <c:ser>
          <c:idx val="20"/>
          <c:order val="12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120-4796-99D5-606F6041D184}"/>
            </c:ext>
          </c:extLst>
        </c:ser>
        <c:ser>
          <c:idx val="21"/>
          <c:order val="1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120-4796-99D5-606F6041D184}"/>
            </c:ext>
          </c:extLst>
        </c:ser>
        <c:ser>
          <c:idx val="0"/>
          <c:order val="1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1.4784808479739018E-4</c:v>
                </c:pt>
                <c:pt idx="1">
                  <c:v>1.4784808479739018E-4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120-4796-99D5-606F6041D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76704"/>
        <c:axId val="1"/>
      </c:scatterChart>
      <c:valAx>
        <c:axId val="1347176704"/>
        <c:scaling>
          <c:logBase val="10"/>
          <c:orientation val="minMax"/>
          <c:max val="1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176704"/>
        <c:crosses val="autoZero"/>
        <c:crossBetween val="midCat"/>
        <c:majorUnit val="10"/>
        <c:minorUnit val="10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&amp;L&amp;F&amp;R&amp;D&amp;T</c:oddFooter>
    </c:headerFooter>
    <c:pageMargins b="1" l="0.75" r="0.75" t="1" header="0.5" footer="0.5"/>
    <c:pageSetup orientation="portrait"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09322688642802"/>
          <c:y val="5.9952178769903067E-2"/>
          <c:w val="0.73417872778779292"/>
          <c:h val="0.82973815417545849"/>
        </c:manualLayout>
      </c:layout>
      <c:scatterChart>
        <c:scatterStyle val="lineMarker"/>
        <c:varyColors val="0"/>
        <c:ser>
          <c:idx val="15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1.4784808479739018E-4</c:v>
                </c:pt>
                <c:pt idx="1">
                  <c:v>1.4784808479739018E-4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03-4AA8-9412-7CCE203A4750}"/>
            </c:ext>
          </c:extLst>
        </c:ser>
        <c:ser>
          <c:idx val="17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1424</c:v>
                </c:pt>
                <c:pt idx="1">
                  <c:v>1424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03-4AA8-9412-7CCE203A4750}"/>
            </c:ext>
          </c:extLst>
        </c:ser>
        <c:ser>
          <c:idx val="18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1780</c:v>
                </c:pt>
                <c:pt idx="1">
                  <c:v>1780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03-4AA8-9412-7CCE203A4750}"/>
            </c:ext>
          </c:extLst>
        </c:ser>
        <c:ser>
          <c:idx val="19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2136</c:v>
                </c:pt>
                <c:pt idx="1">
                  <c:v>2136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03-4AA8-9412-7CCE203A4750}"/>
            </c:ext>
          </c:extLst>
        </c:ser>
        <c:ser>
          <c:idx val="3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limits!$A$17:$A$22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limits!$B$17:$B$22</c:f>
              <c:numCache>
                <c:formatCode>General</c:formatCode>
                <c:ptCount val="6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  <c:pt idx="5">
                  <c:v>9.3300000000000005E-6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03-4AA8-9412-7CCE203A4750}"/>
            </c:ext>
          </c:extLst>
        </c:ser>
        <c:ser>
          <c:idx val="4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limits!$E$17:$E$21</c:f>
              <c:numCache>
                <c:formatCode>General</c:formatCode>
                <c:ptCount val="5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  <c:pt idx="4">
                  <c:v>8.1799999999999996E-6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03-4AA8-9412-7CCE203A4750}"/>
            </c:ext>
          </c:extLst>
        </c:ser>
        <c:ser>
          <c:idx val="14"/>
          <c:order val="6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limits!$L$17:$L$19</c:f>
              <c:numCache>
                <c:formatCode>General</c:formatCode>
                <c:ptCount val="3"/>
                <c:pt idx="0">
                  <c:v>7.4999999999999997E-3</c:v>
                </c:pt>
                <c:pt idx="1">
                  <c:v>6.5000000000000008E-5</c:v>
                </c:pt>
                <c:pt idx="2" formatCode="0.00000000">
                  <c:v>6.1999999999999999E-6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603-4AA8-9412-7CCE203A4750}"/>
            </c:ext>
          </c:extLst>
        </c:ser>
        <c:ser>
          <c:idx val="13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limits!$K$17:$K$19</c:f>
              <c:numCache>
                <c:formatCode>General</c:formatCode>
                <c:ptCount val="3"/>
                <c:pt idx="0">
                  <c:v>3.7499999999999999E-3</c:v>
                </c:pt>
                <c:pt idx="1">
                  <c:v>3.5000000000000004E-5</c:v>
                </c:pt>
                <c:pt idx="2" formatCode="0.00000000">
                  <c:v>3.4400000000000001E-6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03-4AA8-9412-7CCE203A4750}"/>
            </c:ext>
          </c:extLst>
        </c:ser>
        <c:ser>
          <c:idx val="12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limits!$J$17:$J$19</c:f>
              <c:numCache>
                <c:formatCode>General</c:formatCode>
                <c:ptCount val="3"/>
                <c:pt idx="0">
                  <c:v>1.75E-3</c:v>
                </c:pt>
                <c:pt idx="1">
                  <c:v>1.6500000000000001E-5</c:v>
                </c:pt>
                <c:pt idx="2" formatCode="0.00000000">
                  <c:v>1.64E-6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603-4AA8-9412-7CCE203A4750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limits!$I$17:$I$19</c:f>
              <c:numCache>
                <c:formatCode>General</c:formatCode>
                <c:ptCount val="3"/>
                <c:pt idx="0">
                  <c:v>9.5E-4</c:v>
                </c:pt>
                <c:pt idx="1">
                  <c:v>9.5000000000000005E-6</c:v>
                </c:pt>
                <c:pt idx="2" formatCode="0.00000000">
                  <c:v>9.33E-7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603-4AA8-9412-7CCE203A4750}"/>
            </c:ext>
          </c:extLst>
        </c:ser>
        <c:ser>
          <c:idx val="10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limits!$H$17:$H$19</c:f>
              <c:numCache>
                <c:formatCode>General</c:formatCode>
                <c:ptCount val="3"/>
                <c:pt idx="0">
                  <c:v>4.4999999999999999E-4</c:v>
                </c:pt>
                <c:pt idx="1">
                  <c:v>3.9999999999999998E-6</c:v>
                </c:pt>
                <c:pt idx="2" formatCode="0.00000000">
                  <c:v>3.5499999999999999E-7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603-4AA8-9412-7CCE203A4750}"/>
            </c:ext>
          </c:extLst>
        </c:ser>
        <c:ser>
          <c:idx val="25"/>
          <c:order val="11"/>
          <c:spPr>
            <a:ln w="19050">
              <a:solidFill>
                <a:srgbClr val="0070C0"/>
              </a:solidFill>
              <a:prstDash val="solid"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P6_UB!$A$7:$A$126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P6_UB!$F$7:$F$126</c:f>
              <c:numCache>
                <c:formatCode>0.00E+00</c:formatCode>
                <c:ptCount val="120"/>
                <c:pt idx="0">
                  <c:v>4.094488188976378E-8</c:v>
                </c:pt>
                <c:pt idx="1">
                  <c:v>1.5893700787401575E-7</c:v>
                </c:pt>
                <c:pt idx="2">
                  <c:v>3.5708661417322843E-7</c:v>
                </c:pt>
                <c:pt idx="3">
                  <c:v>6.5078740157480314E-7</c:v>
                </c:pt>
                <c:pt idx="4">
                  <c:v>1.0255905511811023E-6</c:v>
                </c:pt>
                <c:pt idx="5">
                  <c:v>1.5062992125984254E-6</c:v>
                </c:pt>
                <c:pt idx="6">
                  <c:v>2.098425196850394E-6</c:v>
                </c:pt>
                <c:pt idx="7">
                  <c:v>2.8228346456692912E-6</c:v>
                </c:pt>
                <c:pt idx="8">
                  <c:v>3.7007874015748031E-6</c:v>
                </c:pt>
                <c:pt idx="9">
                  <c:v>4.775590551181103E-6</c:v>
                </c:pt>
                <c:pt idx="10">
                  <c:v>6.0708661417322834E-6</c:v>
                </c:pt>
                <c:pt idx="11">
                  <c:v>7.665354330708663E-6</c:v>
                </c:pt>
                <c:pt idx="12">
                  <c:v>9.468503937007876E-6</c:v>
                </c:pt>
                <c:pt idx="13">
                  <c:v>1.1393700787401578E-5</c:v>
                </c:pt>
                <c:pt idx="14">
                  <c:v>1.3267716535433072E-5</c:v>
                </c:pt>
                <c:pt idx="15">
                  <c:v>1.4960629921259842E-5</c:v>
                </c:pt>
                <c:pt idx="16">
                  <c:v>1.6771653543307087E-5</c:v>
                </c:pt>
                <c:pt idx="17">
                  <c:v>1.8582677165354331E-5</c:v>
                </c:pt>
                <c:pt idx="18">
                  <c:v>2.0551181102362206E-5</c:v>
                </c:pt>
                <c:pt idx="19">
                  <c:v>2.2716535433070864E-5</c:v>
                </c:pt>
                <c:pt idx="20">
                  <c:v>2.4999999999999998E-5</c:v>
                </c:pt>
                <c:pt idx="21">
                  <c:v>2.7480314960629925E-5</c:v>
                </c:pt>
                <c:pt idx="22">
                  <c:v>3.0196850393700787E-5</c:v>
                </c:pt>
                <c:pt idx="23">
                  <c:v>3.3216535433070868E-5</c:v>
                </c:pt>
                <c:pt idx="24">
                  <c:v>3.6570866141732288E-5</c:v>
                </c:pt>
                <c:pt idx="25">
                  <c:v>4.0267716535433071E-5</c:v>
                </c:pt>
                <c:pt idx="26">
                  <c:v>4.4196850393700785E-5</c:v>
                </c:pt>
                <c:pt idx="27">
                  <c:v>4.8708661417322837E-5</c:v>
                </c:pt>
                <c:pt idx="28">
                  <c:v>5.324015748031496E-5</c:v>
                </c:pt>
                <c:pt idx="29">
                  <c:v>5.7401574803149605E-5</c:v>
                </c:pt>
                <c:pt idx="30">
                  <c:v>6.1960629921259844E-5</c:v>
                </c:pt>
                <c:pt idx="31">
                  <c:v>6.5358267716535443E-5</c:v>
                </c:pt>
                <c:pt idx="32">
                  <c:v>6.8385826771653543E-5</c:v>
                </c:pt>
                <c:pt idx="33">
                  <c:v>7.0637795275590548E-5</c:v>
                </c:pt>
                <c:pt idx="34">
                  <c:v>7.1716535433070862E-5</c:v>
                </c:pt>
                <c:pt idx="35">
                  <c:v>7.1228346456692914E-5</c:v>
                </c:pt>
                <c:pt idx="36">
                  <c:v>7.1145669291338589E-5</c:v>
                </c:pt>
                <c:pt idx="37">
                  <c:v>7.067716535433072E-5</c:v>
                </c:pt>
                <c:pt idx="38">
                  <c:v>7.0614173228346461E-5</c:v>
                </c:pt>
                <c:pt idx="39">
                  <c:v>7.0559055118110244E-5</c:v>
                </c:pt>
                <c:pt idx="40">
                  <c:v>7.0905511811023629E-5</c:v>
                </c:pt>
                <c:pt idx="41">
                  <c:v>7.2047244094488189E-5</c:v>
                </c:pt>
                <c:pt idx="42">
                  <c:v>7.3196850393700792E-5</c:v>
                </c:pt>
                <c:pt idx="43">
                  <c:v>7.5133858267716527E-5</c:v>
                </c:pt>
                <c:pt idx="44">
                  <c:v>7.7472440944881892E-5</c:v>
                </c:pt>
                <c:pt idx="45">
                  <c:v>8.0204724409448815E-5</c:v>
                </c:pt>
                <c:pt idx="46">
                  <c:v>8.2937007874015739E-5</c:v>
                </c:pt>
                <c:pt idx="47">
                  <c:v>8.5669291338582676E-5</c:v>
                </c:pt>
                <c:pt idx="48">
                  <c:v>8.84015748031496E-5</c:v>
                </c:pt>
                <c:pt idx="49">
                  <c:v>9.113385826771655E-5</c:v>
                </c:pt>
                <c:pt idx="50">
                  <c:v>9.3472440944881888E-5</c:v>
                </c:pt>
                <c:pt idx="51">
                  <c:v>9.5814960629921246E-5</c:v>
                </c:pt>
                <c:pt idx="52">
                  <c:v>9.7377952755905501E-5</c:v>
                </c:pt>
                <c:pt idx="53">
                  <c:v>9.8952755905511806E-5</c:v>
                </c:pt>
                <c:pt idx="54">
                  <c:v>1.0015354330708662E-4</c:v>
                </c:pt>
                <c:pt idx="55">
                  <c:v>1.0098031496062992E-4</c:v>
                </c:pt>
                <c:pt idx="56">
                  <c:v>1.0182677165354331E-4</c:v>
                </c:pt>
                <c:pt idx="57">
                  <c:v>1.022992125984252E-4</c:v>
                </c:pt>
                <c:pt idx="58">
                  <c:v>1.0239763779527558E-4</c:v>
                </c:pt>
                <c:pt idx="59">
                  <c:v>1.0251181102362205E-4</c:v>
                </c:pt>
                <c:pt idx="60">
                  <c:v>1.0263385826771655E-4</c:v>
                </c:pt>
                <c:pt idx="61">
                  <c:v>1.027716535433071E-4</c:v>
                </c:pt>
                <c:pt idx="62">
                  <c:v>1.0252755905511812E-4</c:v>
                </c:pt>
                <c:pt idx="63">
                  <c:v>1.0229133858267718E-4</c:v>
                </c:pt>
                <c:pt idx="64">
                  <c:v>1.0244881889763782E-4</c:v>
                </c:pt>
                <c:pt idx="65">
                  <c:v>1.022007874015748E-4</c:v>
                </c:pt>
                <c:pt idx="66">
                  <c:v>1.0192913385826772E-4</c:v>
                </c:pt>
                <c:pt idx="67">
                  <c:v>1.0161023622047245E-4</c:v>
                </c:pt>
                <c:pt idx="68">
                  <c:v>1.01244094488189E-4</c:v>
                </c:pt>
                <c:pt idx="69">
                  <c:v>1.0083070866141733E-4</c:v>
                </c:pt>
                <c:pt idx="70">
                  <c:v>1.0038188976377953E-4</c:v>
                </c:pt>
                <c:pt idx="71">
                  <c:v>9.991732283464568E-5</c:v>
                </c:pt>
                <c:pt idx="72">
                  <c:v>9.944488188976379E-5</c:v>
                </c:pt>
                <c:pt idx="73">
                  <c:v>9.8972440944881913E-5</c:v>
                </c:pt>
                <c:pt idx="74">
                  <c:v>9.8511811023622059E-5</c:v>
                </c:pt>
                <c:pt idx="75">
                  <c:v>9.8055118110236227E-5</c:v>
                </c:pt>
                <c:pt idx="76">
                  <c:v>9.7610236220472459E-5</c:v>
                </c:pt>
                <c:pt idx="77">
                  <c:v>9.7173228346456692E-5</c:v>
                </c:pt>
                <c:pt idx="78">
                  <c:v>9.7137795275590555E-5</c:v>
                </c:pt>
                <c:pt idx="79">
                  <c:v>9.6708661417322845E-5</c:v>
                </c:pt>
                <c:pt idx="80">
                  <c:v>9.6283464566929142E-5</c:v>
                </c:pt>
                <c:pt idx="81">
                  <c:v>9.5862204724409461E-5</c:v>
                </c:pt>
                <c:pt idx="82">
                  <c:v>9.5830708661417331E-5</c:v>
                </c:pt>
                <c:pt idx="83">
                  <c:v>9.5401574803149607E-5</c:v>
                </c:pt>
                <c:pt idx="84">
                  <c:v>9.4976377952755905E-5</c:v>
                </c:pt>
                <c:pt idx="85">
                  <c:v>9.4551181102362202E-5</c:v>
                </c:pt>
                <c:pt idx="86">
                  <c:v>9.4519685039370072E-5</c:v>
                </c:pt>
                <c:pt idx="87">
                  <c:v>9.4094488188976397E-5</c:v>
                </c:pt>
                <c:pt idx="88">
                  <c:v>9.3673228346456716E-5</c:v>
                </c:pt>
                <c:pt idx="89">
                  <c:v>9.3649606299212601E-5</c:v>
                </c:pt>
                <c:pt idx="90">
                  <c:v>9.3232283464566941E-5</c:v>
                </c:pt>
                <c:pt idx="91">
                  <c:v>9.3216535433070883E-5</c:v>
                </c:pt>
                <c:pt idx="92">
                  <c:v>9.2807086614173225E-5</c:v>
                </c:pt>
                <c:pt idx="93">
                  <c:v>9.2791338582677167E-5</c:v>
                </c:pt>
                <c:pt idx="94">
                  <c:v>9.2385826771653544E-5</c:v>
                </c:pt>
                <c:pt idx="95">
                  <c:v>9.2377952755905529E-5</c:v>
                </c:pt>
                <c:pt idx="96">
                  <c:v>9.1976377952755913E-5</c:v>
                </c:pt>
                <c:pt idx="97">
                  <c:v>9.1964566929133863E-5</c:v>
                </c:pt>
                <c:pt idx="98">
                  <c:v>9.1956692913385834E-5</c:v>
                </c:pt>
                <c:pt idx="99">
                  <c:v>9.155118110236221E-5</c:v>
                </c:pt>
                <c:pt idx="100">
                  <c:v>9.1543307086614195E-5</c:v>
                </c:pt>
                <c:pt idx="101">
                  <c:v>9.1531496062992131E-5</c:v>
                </c:pt>
                <c:pt idx="102">
                  <c:v>9.1125984251968521E-5</c:v>
                </c:pt>
                <c:pt idx="103">
                  <c:v>9.1114173228346458E-5</c:v>
                </c:pt>
                <c:pt idx="104">
                  <c:v>9.1102362204724421E-5</c:v>
                </c:pt>
                <c:pt idx="105">
                  <c:v>9.1090551181102384E-5</c:v>
                </c:pt>
                <c:pt idx="106">
                  <c:v>9.1074803149606312E-5</c:v>
                </c:pt>
                <c:pt idx="107">
                  <c:v>9.1062992125984249E-5</c:v>
                </c:pt>
                <c:pt idx="108">
                  <c:v>9.0657480314960639E-5</c:v>
                </c:pt>
                <c:pt idx="109">
                  <c:v>9.0645669291338575E-5</c:v>
                </c:pt>
                <c:pt idx="110">
                  <c:v>9.0629921259842517E-5</c:v>
                </c:pt>
                <c:pt idx="111">
                  <c:v>9.0618110236220467E-5</c:v>
                </c:pt>
                <c:pt idx="112">
                  <c:v>9.060629921259843E-5</c:v>
                </c:pt>
                <c:pt idx="113">
                  <c:v>9.059448818897638E-5</c:v>
                </c:pt>
                <c:pt idx="114">
                  <c:v>9.0582677165354329E-5</c:v>
                </c:pt>
                <c:pt idx="115">
                  <c:v>9.0570866141732293E-5</c:v>
                </c:pt>
                <c:pt idx="116">
                  <c:v>9.0559055118110242E-5</c:v>
                </c:pt>
                <c:pt idx="117">
                  <c:v>9.0157480314960627E-5</c:v>
                </c:pt>
                <c:pt idx="118">
                  <c:v>9.014566929133859E-5</c:v>
                </c:pt>
                <c:pt idx="119">
                  <c:v>9.0137795275590547E-5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603-4AA8-9412-7CCE203A4750}"/>
            </c:ext>
          </c:extLst>
        </c:ser>
        <c:ser>
          <c:idx val="26"/>
          <c:order val="12"/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triangle"/>
            <c:size val="3"/>
            <c:spPr>
              <a:noFill/>
              <a:ln w="9525">
                <a:noFill/>
              </a:ln>
            </c:spPr>
          </c:marker>
          <c:xVal>
            <c:numRef>
              <c:f>P6_UB!$A$7:$A$126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P6_UB!$G$7:$G$126</c:f>
              <c:numCache>
                <c:formatCode>0.00E+00</c:formatCode>
                <c:ptCount val="120"/>
                <c:pt idx="0">
                  <c:v>5.3818897637795281E-9</c:v>
                </c:pt>
                <c:pt idx="1">
                  <c:v>2.0905511811023623E-8</c:v>
                </c:pt>
                <c:pt idx="2">
                  <c:v>4.696850393700787E-8</c:v>
                </c:pt>
                <c:pt idx="3">
                  <c:v>8.6220472440944897E-8</c:v>
                </c:pt>
                <c:pt idx="4">
                  <c:v>1.3661417322834645E-7</c:v>
                </c:pt>
                <c:pt idx="5">
                  <c:v>2.0196850393700788E-7</c:v>
                </c:pt>
                <c:pt idx="6">
                  <c:v>2.8188976377952758E-7</c:v>
                </c:pt>
                <c:pt idx="7">
                  <c:v>3.7952755905511813E-7</c:v>
                </c:pt>
                <c:pt idx="8">
                  <c:v>4.9881889763779531E-7</c:v>
                </c:pt>
                <c:pt idx="9">
                  <c:v>6.4291338582677179E-7</c:v>
                </c:pt>
                <c:pt idx="10">
                  <c:v>8.1535433070866132E-7</c:v>
                </c:pt>
                <c:pt idx="11">
                  <c:v>1.0196850393700789E-6</c:v>
                </c:pt>
                <c:pt idx="12">
                  <c:v>1.251968503937008E-6</c:v>
                </c:pt>
                <c:pt idx="13">
                  <c:v>1.5039370078740158E-6</c:v>
                </c:pt>
                <c:pt idx="14">
                  <c:v>1.7834645669291341E-6</c:v>
                </c:pt>
                <c:pt idx="15">
                  <c:v>2.0826771653543309E-6</c:v>
                </c:pt>
                <c:pt idx="16">
                  <c:v>2.4133858267716535E-6</c:v>
                </c:pt>
                <c:pt idx="17">
                  <c:v>2.7716535433070865E-6</c:v>
                </c:pt>
                <c:pt idx="18">
                  <c:v>3.1496062992125989E-6</c:v>
                </c:pt>
                <c:pt idx="19">
                  <c:v>3.535433070866142E-6</c:v>
                </c:pt>
                <c:pt idx="20">
                  <c:v>3.9094488188976381E-6</c:v>
                </c:pt>
                <c:pt idx="21">
                  <c:v>4.2677165354330712E-6</c:v>
                </c:pt>
                <c:pt idx="22">
                  <c:v>4.6181102362204727E-6</c:v>
                </c:pt>
                <c:pt idx="23">
                  <c:v>4.9763779527559049E-6</c:v>
                </c:pt>
                <c:pt idx="24">
                  <c:v>5.3622047244094497E-6</c:v>
                </c:pt>
                <c:pt idx="25">
                  <c:v>5.7913385826771668E-6</c:v>
                </c:pt>
                <c:pt idx="26">
                  <c:v>6.2834645669291346E-6</c:v>
                </c:pt>
                <c:pt idx="27">
                  <c:v>6.8385826771653542E-6</c:v>
                </c:pt>
                <c:pt idx="28">
                  <c:v>7.4685039370078731E-6</c:v>
                </c:pt>
                <c:pt idx="29">
                  <c:v>8.1811023622047247E-6</c:v>
                </c:pt>
                <c:pt idx="30">
                  <c:v>8.9724409448818902E-6</c:v>
                </c:pt>
                <c:pt idx="31">
                  <c:v>9.8385826771653568E-6</c:v>
                </c:pt>
                <c:pt idx="32">
                  <c:v>1.0751968503937009E-5</c:v>
                </c:pt>
                <c:pt idx="33">
                  <c:v>1.1783464566929135E-5</c:v>
                </c:pt>
                <c:pt idx="34">
                  <c:v>1.281496062992126E-5</c:v>
                </c:pt>
                <c:pt idx="35">
                  <c:v>1.3929133858267717E-5</c:v>
                </c:pt>
                <c:pt idx="36">
                  <c:v>1.5047244094488191E-5</c:v>
                </c:pt>
                <c:pt idx="37">
                  <c:v>1.6125984251968508E-5</c:v>
                </c:pt>
                <c:pt idx="38">
                  <c:v>1.7244094488188977E-5</c:v>
                </c:pt>
                <c:pt idx="39">
                  <c:v>1.8366141732283465E-5</c:v>
                </c:pt>
                <c:pt idx="40">
                  <c:v>1.9492125984251971E-5</c:v>
                </c:pt>
                <c:pt idx="41">
                  <c:v>2.0582677165354332E-5</c:v>
                </c:pt>
                <c:pt idx="42">
                  <c:v>2.1673228346456697E-5</c:v>
                </c:pt>
                <c:pt idx="43">
                  <c:v>2.2767716535433073E-5</c:v>
                </c:pt>
                <c:pt idx="44">
                  <c:v>2.3787401574803149E-5</c:v>
                </c:pt>
                <c:pt idx="45">
                  <c:v>2.4771653543307088E-5</c:v>
                </c:pt>
                <c:pt idx="46">
                  <c:v>2.5673228346456692E-5</c:v>
                </c:pt>
                <c:pt idx="47">
                  <c:v>2.65E-5</c:v>
                </c:pt>
                <c:pt idx="48">
                  <c:v>2.7208661417322839E-5</c:v>
                </c:pt>
                <c:pt idx="49">
                  <c:v>2.7755905511811025E-5</c:v>
                </c:pt>
                <c:pt idx="50">
                  <c:v>2.8220472440944883E-5</c:v>
                </c:pt>
                <c:pt idx="51">
                  <c:v>2.8562992125984257E-5</c:v>
                </c:pt>
                <c:pt idx="52">
                  <c:v>2.8748031496062994E-5</c:v>
                </c:pt>
                <c:pt idx="53">
                  <c:v>2.888976377952756E-5</c:v>
                </c:pt>
                <c:pt idx="54">
                  <c:v>2.8913385826771654E-5</c:v>
                </c:pt>
                <c:pt idx="55">
                  <c:v>2.8858267716535437E-5</c:v>
                </c:pt>
                <c:pt idx="56">
                  <c:v>2.8720472440944885E-5</c:v>
                </c:pt>
                <c:pt idx="57">
                  <c:v>2.858267716535433E-5</c:v>
                </c:pt>
                <c:pt idx="58">
                  <c:v>2.8409448818897637E-5</c:v>
                </c:pt>
                <c:pt idx="59">
                  <c:v>2.8204724409448822E-5</c:v>
                </c:pt>
                <c:pt idx="60">
                  <c:v>2.8007874015748032E-5</c:v>
                </c:pt>
                <c:pt idx="61">
                  <c:v>2.7791338582677166E-5</c:v>
                </c:pt>
                <c:pt idx="62">
                  <c:v>2.7598425196850398E-5</c:v>
                </c:pt>
                <c:pt idx="63">
                  <c:v>2.7476377952755907E-5</c:v>
                </c:pt>
                <c:pt idx="64">
                  <c:v>2.7338582677165355E-5</c:v>
                </c:pt>
                <c:pt idx="65">
                  <c:v>2.7224409448818897E-5</c:v>
                </c:pt>
                <c:pt idx="66">
                  <c:v>2.7149606299212601E-5</c:v>
                </c:pt>
                <c:pt idx="67">
                  <c:v>2.7011811023622049E-5</c:v>
                </c:pt>
                <c:pt idx="68">
                  <c:v>2.6877952755905512E-5</c:v>
                </c:pt>
                <c:pt idx="69">
                  <c:v>2.6665354330708664E-5</c:v>
                </c:pt>
                <c:pt idx="70">
                  <c:v>2.6452755905511813E-5</c:v>
                </c:pt>
                <c:pt idx="71">
                  <c:v>2.6181102362204727E-5</c:v>
                </c:pt>
                <c:pt idx="72">
                  <c:v>2.5897637795275594E-5</c:v>
                </c:pt>
                <c:pt idx="73">
                  <c:v>2.5614173228346458E-5</c:v>
                </c:pt>
                <c:pt idx="74">
                  <c:v>2.5374015748031498E-5</c:v>
                </c:pt>
                <c:pt idx="75">
                  <c:v>2.5098425196850398E-5</c:v>
                </c:pt>
                <c:pt idx="76">
                  <c:v>2.4870078740157478E-5</c:v>
                </c:pt>
                <c:pt idx="77">
                  <c:v>2.4649606299212598E-5</c:v>
                </c:pt>
                <c:pt idx="78">
                  <c:v>2.4429133858267718E-5</c:v>
                </c:pt>
                <c:pt idx="79">
                  <c:v>2.4212598425196855E-5</c:v>
                </c:pt>
                <c:pt idx="80">
                  <c:v>2.4039370078740159E-5</c:v>
                </c:pt>
                <c:pt idx="81">
                  <c:v>2.3826771653543308E-5</c:v>
                </c:pt>
                <c:pt idx="82">
                  <c:v>2.3614173228346457E-5</c:v>
                </c:pt>
                <c:pt idx="83">
                  <c:v>2.3440944881889767E-5</c:v>
                </c:pt>
                <c:pt idx="84">
                  <c:v>2.3228346456692913E-5</c:v>
                </c:pt>
                <c:pt idx="85">
                  <c:v>2.3051181102362206E-5</c:v>
                </c:pt>
                <c:pt idx="86">
                  <c:v>2.2877952755905516E-5</c:v>
                </c:pt>
                <c:pt idx="87">
                  <c:v>2.274803149606299E-5</c:v>
                </c:pt>
                <c:pt idx="88">
                  <c:v>2.2574803149606297E-5</c:v>
                </c:pt>
                <c:pt idx="89">
                  <c:v>2.2401574803149605E-5</c:v>
                </c:pt>
                <c:pt idx="90">
                  <c:v>2.2271653543307089E-5</c:v>
                </c:pt>
                <c:pt idx="91">
                  <c:v>2.2141732283464569E-5</c:v>
                </c:pt>
                <c:pt idx="92">
                  <c:v>2.2015748031496061E-5</c:v>
                </c:pt>
                <c:pt idx="93">
                  <c:v>2.1885826771653541E-5</c:v>
                </c:pt>
                <c:pt idx="94">
                  <c:v>2.1759842519685036E-5</c:v>
                </c:pt>
                <c:pt idx="95">
                  <c:v>2.1673228346456697E-5</c:v>
                </c:pt>
                <c:pt idx="96">
                  <c:v>2.1586614173228351E-5</c:v>
                </c:pt>
                <c:pt idx="97">
                  <c:v>2.146456692913386E-5</c:v>
                </c:pt>
                <c:pt idx="98">
                  <c:v>2.1417322834645669E-5</c:v>
                </c:pt>
                <c:pt idx="99">
                  <c:v>2.1334645669291344E-5</c:v>
                </c:pt>
                <c:pt idx="100">
                  <c:v>2.128740157480315E-5</c:v>
                </c:pt>
                <c:pt idx="101">
                  <c:v>2.1244094488188976E-5</c:v>
                </c:pt>
                <c:pt idx="102">
                  <c:v>2.1200787401574807E-5</c:v>
                </c:pt>
                <c:pt idx="103">
                  <c:v>2.1153543307086612E-5</c:v>
                </c:pt>
                <c:pt idx="104">
                  <c:v>2.1149606299212598E-5</c:v>
                </c:pt>
                <c:pt idx="105">
                  <c:v>2.114566929133858E-5</c:v>
                </c:pt>
                <c:pt idx="106">
                  <c:v>2.1137795275590551E-5</c:v>
                </c:pt>
                <c:pt idx="107">
                  <c:v>2.113385826771654E-5</c:v>
                </c:pt>
                <c:pt idx="108">
                  <c:v>2.1169291338582677E-5</c:v>
                </c:pt>
                <c:pt idx="109">
                  <c:v>2.1204724409448818E-5</c:v>
                </c:pt>
                <c:pt idx="110">
                  <c:v>2.1240157480314958E-5</c:v>
                </c:pt>
                <c:pt idx="111">
                  <c:v>2.1271653543307091E-5</c:v>
                </c:pt>
                <c:pt idx="112">
                  <c:v>2.1307086614173232E-5</c:v>
                </c:pt>
                <c:pt idx="113">
                  <c:v>2.1342519685039373E-5</c:v>
                </c:pt>
                <c:pt idx="114">
                  <c:v>2.137795275590551E-5</c:v>
                </c:pt>
                <c:pt idx="115">
                  <c:v>2.145275590551181E-5</c:v>
                </c:pt>
                <c:pt idx="116">
                  <c:v>2.1488188976377951E-5</c:v>
                </c:pt>
                <c:pt idx="117">
                  <c:v>2.1562992125984253E-5</c:v>
                </c:pt>
                <c:pt idx="118">
                  <c:v>2.159448818897638E-5</c:v>
                </c:pt>
                <c:pt idx="119">
                  <c:v>2.162992125984252E-5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603-4AA8-9412-7CCE203A4750}"/>
            </c:ext>
          </c:extLst>
        </c:ser>
        <c:ser>
          <c:idx val="27"/>
          <c:order val="13"/>
          <c:spPr>
            <a:ln w="19050">
              <a:solidFill>
                <a:srgbClr val="00B05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xVal>
            <c:numRef>
              <c:f>P6_UB!$A$7:$A$126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P6_UB!$H$7:$H$126</c:f>
              <c:numCache>
                <c:formatCode>0.00E+00</c:formatCode>
                <c:ptCount val="120"/>
                <c:pt idx="0">
                  <c:v>1.1929133858267718E-8</c:v>
                </c:pt>
                <c:pt idx="1">
                  <c:v>4.8622047244094489E-8</c:v>
                </c:pt>
                <c:pt idx="2">
                  <c:v>1.1102362204724409E-7</c:v>
                </c:pt>
                <c:pt idx="3">
                  <c:v>2.0039370078740157E-7</c:v>
                </c:pt>
                <c:pt idx="4">
                  <c:v>3.1968503937007868E-7</c:v>
                </c:pt>
                <c:pt idx="5">
                  <c:v>4.7007874015748033E-7</c:v>
                </c:pt>
                <c:pt idx="6">
                  <c:v>6.5748031496062992E-7</c:v>
                </c:pt>
                <c:pt idx="7">
                  <c:v>8.8149606299212594E-7</c:v>
                </c:pt>
                <c:pt idx="8">
                  <c:v>1.1456692913385828E-6</c:v>
                </c:pt>
                <c:pt idx="9">
                  <c:v>1.4566929133858269E-6</c:v>
                </c:pt>
                <c:pt idx="10">
                  <c:v>1.8188976377952759E-6</c:v>
                </c:pt>
                <c:pt idx="11">
                  <c:v>2.208661417322835E-6</c:v>
                </c:pt>
                <c:pt idx="12">
                  <c:v>2.606299212598425E-6</c:v>
                </c:pt>
                <c:pt idx="13">
                  <c:v>2.9488188976377958E-6</c:v>
                </c:pt>
                <c:pt idx="14">
                  <c:v>3.192913385826772E-6</c:v>
                </c:pt>
                <c:pt idx="15">
                  <c:v>3.413385826771654E-6</c:v>
                </c:pt>
                <c:pt idx="16">
                  <c:v>3.6417322834645663E-6</c:v>
                </c:pt>
                <c:pt idx="17">
                  <c:v>3.9330708661417328E-6</c:v>
                </c:pt>
                <c:pt idx="18">
                  <c:v>4.2889763779527563E-6</c:v>
                </c:pt>
                <c:pt idx="19">
                  <c:v>4.8216535433070872E-6</c:v>
                </c:pt>
                <c:pt idx="20">
                  <c:v>5.5149606299212601E-6</c:v>
                </c:pt>
                <c:pt idx="21">
                  <c:v>6.3897637795275586E-6</c:v>
                </c:pt>
                <c:pt idx="22">
                  <c:v>7.3267716535433075E-6</c:v>
                </c:pt>
                <c:pt idx="23">
                  <c:v>8.3425196850393687E-6</c:v>
                </c:pt>
                <c:pt idx="24">
                  <c:v>9.4724409448818888E-6</c:v>
                </c:pt>
                <c:pt idx="25">
                  <c:v>1.0681102362204724E-5</c:v>
                </c:pt>
                <c:pt idx="26">
                  <c:v>1.1968503937007872E-5</c:v>
                </c:pt>
                <c:pt idx="27">
                  <c:v>1.3330708661417323E-5</c:v>
                </c:pt>
                <c:pt idx="28">
                  <c:v>1.4732283464566929E-5</c:v>
                </c:pt>
                <c:pt idx="29">
                  <c:v>1.6173228346456695E-5</c:v>
                </c:pt>
                <c:pt idx="30">
                  <c:v>1.7531496062992125E-5</c:v>
                </c:pt>
                <c:pt idx="31">
                  <c:v>1.8763779527559059E-5</c:v>
                </c:pt>
                <c:pt idx="32">
                  <c:v>1.9799212598425201E-5</c:v>
                </c:pt>
                <c:pt idx="33">
                  <c:v>2.0594488188976379E-5</c:v>
                </c:pt>
                <c:pt idx="34">
                  <c:v>2.1066929133858266E-5</c:v>
                </c:pt>
                <c:pt idx="35">
                  <c:v>2.1141732283464569E-5</c:v>
                </c:pt>
                <c:pt idx="36">
                  <c:v>2.1248031496062994E-5</c:v>
                </c:pt>
                <c:pt idx="37">
                  <c:v>2.1196850393700789E-5</c:v>
                </c:pt>
                <c:pt idx="38">
                  <c:v>2.1023622047244096E-5</c:v>
                </c:pt>
                <c:pt idx="39">
                  <c:v>2.08503937007874E-5</c:v>
                </c:pt>
                <c:pt idx="40">
                  <c:v>2.0681102362204725E-5</c:v>
                </c:pt>
                <c:pt idx="41">
                  <c:v>2.0515748031496062E-5</c:v>
                </c:pt>
                <c:pt idx="42">
                  <c:v>2.0354330708661419E-5</c:v>
                </c:pt>
                <c:pt idx="43">
                  <c:v>2.0275590551181105E-5</c:v>
                </c:pt>
                <c:pt idx="44">
                  <c:v>2.0248031496062994E-5</c:v>
                </c:pt>
                <c:pt idx="45">
                  <c:v>2.0311023622047246E-5</c:v>
                </c:pt>
                <c:pt idx="46">
                  <c:v>2.0389763779527563E-5</c:v>
                </c:pt>
                <c:pt idx="47">
                  <c:v>2.0562992125984256E-5</c:v>
                </c:pt>
                <c:pt idx="48">
                  <c:v>2.0748031496062992E-5</c:v>
                </c:pt>
                <c:pt idx="49">
                  <c:v>2.1023622047244096E-5</c:v>
                </c:pt>
                <c:pt idx="50">
                  <c:v>2.12992125984252E-5</c:v>
                </c:pt>
                <c:pt idx="51">
                  <c:v>2.1692913385826769E-5</c:v>
                </c:pt>
                <c:pt idx="52">
                  <c:v>2.2086614173228346E-5</c:v>
                </c:pt>
                <c:pt idx="53">
                  <c:v>2.2598425196850398E-5</c:v>
                </c:pt>
                <c:pt idx="54">
                  <c:v>2.3149606299212599E-5</c:v>
                </c:pt>
                <c:pt idx="55">
                  <c:v>2.3700787401574803E-5</c:v>
                </c:pt>
                <c:pt idx="56">
                  <c:v>2.4409448818897638E-5</c:v>
                </c:pt>
                <c:pt idx="57">
                  <c:v>2.5196850393700791E-5</c:v>
                </c:pt>
                <c:pt idx="58">
                  <c:v>2.610236220472441E-5</c:v>
                </c:pt>
                <c:pt idx="59">
                  <c:v>2.7047244094488187E-5</c:v>
                </c:pt>
                <c:pt idx="60">
                  <c:v>2.8228346456692912E-5</c:v>
                </c:pt>
                <c:pt idx="61">
                  <c:v>2.9566929133858273E-5</c:v>
                </c:pt>
                <c:pt idx="62">
                  <c:v>3.1062992125984254E-5</c:v>
                </c:pt>
                <c:pt idx="63">
                  <c:v>3.279527559055118E-5</c:v>
                </c:pt>
                <c:pt idx="64">
                  <c:v>3.4606299212598431E-5</c:v>
                </c:pt>
                <c:pt idx="65">
                  <c:v>3.6496062992125985E-5</c:v>
                </c:pt>
                <c:pt idx="66">
                  <c:v>3.8385826771653546E-5</c:v>
                </c:pt>
                <c:pt idx="67">
                  <c:v>4.0039370078740155E-5</c:v>
                </c:pt>
                <c:pt idx="68">
                  <c:v>4.1299212598425198E-5</c:v>
                </c:pt>
                <c:pt idx="69">
                  <c:v>4.1968503937007882E-5</c:v>
                </c:pt>
                <c:pt idx="70">
                  <c:v>4.2086614173228344E-5</c:v>
                </c:pt>
                <c:pt idx="71">
                  <c:v>4.1692913385826778E-5</c:v>
                </c:pt>
                <c:pt idx="72">
                  <c:v>4.1102362204724412E-5</c:v>
                </c:pt>
                <c:pt idx="73">
                  <c:v>4.0314960629921266E-5</c:v>
                </c:pt>
                <c:pt idx="74">
                  <c:v>3.952755905511812E-5</c:v>
                </c:pt>
                <c:pt idx="75">
                  <c:v>3.8858267716535436E-5</c:v>
                </c:pt>
                <c:pt idx="76">
                  <c:v>3.8228346456692918E-5</c:v>
                </c:pt>
                <c:pt idx="77">
                  <c:v>3.7677165354330711E-5</c:v>
                </c:pt>
                <c:pt idx="78">
                  <c:v>3.7204724409448827E-5</c:v>
                </c:pt>
                <c:pt idx="79">
                  <c:v>3.6771653543307089E-5</c:v>
                </c:pt>
                <c:pt idx="80">
                  <c:v>3.6417322834645674E-5</c:v>
                </c:pt>
                <c:pt idx="81">
                  <c:v>3.6141732283464571E-5</c:v>
                </c:pt>
                <c:pt idx="82">
                  <c:v>3.5866141732283467E-5</c:v>
                </c:pt>
                <c:pt idx="83">
                  <c:v>3.566929133858268E-5</c:v>
                </c:pt>
                <c:pt idx="84">
                  <c:v>3.5472440944881894E-5</c:v>
                </c:pt>
                <c:pt idx="85">
                  <c:v>3.5314960629921259E-5</c:v>
                </c:pt>
                <c:pt idx="86">
                  <c:v>3.5157480314960632E-5</c:v>
                </c:pt>
                <c:pt idx="87">
                  <c:v>3.4960629921259845E-5</c:v>
                </c:pt>
                <c:pt idx="88">
                  <c:v>3.4842519685039376E-5</c:v>
                </c:pt>
                <c:pt idx="89">
                  <c:v>3.4763779527559059E-5</c:v>
                </c:pt>
                <c:pt idx="90">
                  <c:v>3.4606299212598431E-5</c:v>
                </c:pt>
                <c:pt idx="91">
                  <c:v>3.4488188976377955E-5</c:v>
                </c:pt>
                <c:pt idx="92">
                  <c:v>3.4370078740157479E-5</c:v>
                </c:pt>
                <c:pt idx="93">
                  <c:v>3.4251968503937003E-5</c:v>
                </c:pt>
                <c:pt idx="94">
                  <c:v>3.4173228346456692E-5</c:v>
                </c:pt>
                <c:pt idx="95">
                  <c:v>3.4055118110236223E-5</c:v>
                </c:pt>
                <c:pt idx="96">
                  <c:v>3.3937007874015747E-5</c:v>
                </c:pt>
                <c:pt idx="97">
                  <c:v>3.3779527559055119E-5</c:v>
                </c:pt>
                <c:pt idx="98">
                  <c:v>3.366141732283465E-5</c:v>
                </c:pt>
                <c:pt idx="99">
                  <c:v>3.3503937007874022E-5</c:v>
                </c:pt>
                <c:pt idx="100">
                  <c:v>3.3346456692913395E-5</c:v>
                </c:pt>
                <c:pt idx="101">
                  <c:v>3.318897637795276E-5</c:v>
                </c:pt>
                <c:pt idx="102">
                  <c:v>3.2992125984251967E-5</c:v>
                </c:pt>
                <c:pt idx="103">
                  <c:v>3.2834645669291339E-5</c:v>
                </c:pt>
                <c:pt idx="104">
                  <c:v>3.2637795275590552E-5</c:v>
                </c:pt>
                <c:pt idx="105">
                  <c:v>3.2480314960629918E-5</c:v>
                </c:pt>
                <c:pt idx="106">
                  <c:v>3.2283464566929138E-5</c:v>
                </c:pt>
                <c:pt idx="107">
                  <c:v>3.2125984251968504E-5</c:v>
                </c:pt>
                <c:pt idx="108">
                  <c:v>3.1929133858267724E-5</c:v>
                </c:pt>
                <c:pt idx="109">
                  <c:v>3.1732283464566931E-5</c:v>
                </c:pt>
                <c:pt idx="110">
                  <c:v>3.1574803149606296E-5</c:v>
                </c:pt>
                <c:pt idx="111">
                  <c:v>3.1377952755905509E-5</c:v>
                </c:pt>
                <c:pt idx="112">
                  <c:v>3.1220472440944882E-5</c:v>
                </c:pt>
                <c:pt idx="113">
                  <c:v>3.1102362204724412E-5</c:v>
                </c:pt>
                <c:pt idx="114">
                  <c:v>3.0944881889763785E-5</c:v>
                </c:pt>
                <c:pt idx="115">
                  <c:v>3.0866141732283467E-5</c:v>
                </c:pt>
                <c:pt idx="116">
                  <c:v>3.0748031496062991E-5</c:v>
                </c:pt>
                <c:pt idx="117">
                  <c:v>3.070866141732284E-5</c:v>
                </c:pt>
                <c:pt idx="118">
                  <c:v>3.070866141732284E-5</c:v>
                </c:pt>
                <c:pt idx="119">
                  <c:v>3.0748031496062991E-5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603-4AA8-9412-7CCE203A4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232"/>
        <c:axId val="1"/>
      </c:scatterChart>
      <c:valAx>
        <c:axId val="1346360232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5991640750788504"/>
              <c:y val="0.9136711327940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3.3755265885881909E-2"/>
              <c:y val="0.2829743093047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360232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1.5" header="0.75" footer="0.75"/>
    <c:pageSetup orientation="landscape"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Human</a:t>
            </a:r>
            <a:r>
              <a:rPr lang="en-US" sz="1400" b="1" baseline="0"/>
              <a:t> Perception Curve</a:t>
            </a:r>
          </a:p>
          <a:p>
            <a:pPr>
              <a:defRPr/>
            </a:pPr>
            <a:endParaRPr lang="en-US" sz="600" b="1" baseline="0"/>
          </a:p>
          <a:p>
            <a:pPr>
              <a:defRPr/>
            </a:pPr>
            <a:r>
              <a:rPr lang="en-US" sz="1200" b="1" baseline="0">
                <a:solidFill>
                  <a:srgbClr val="FF0000"/>
                </a:solidFill>
              </a:rPr>
              <a:t>Point 6 - SE Corner</a:t>
            </a:r>
            <a:endParaRPr lang="en-US" sz="12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69036276798548"/>
          <c:y val="0.13311664149862262"/>
          <c:w val="0.79580356821014242"/>
          <c:h val="0.75242850741218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D8-44F2-B14A-7866E1E1F2D1}"/>
              </c:ext>
            </c:extLst>
          </c:dPt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1.4784808479739018E-4</c:v>
                </c:pt>
                <c:pt idx="1">
                  <c:v>1.4784808479739018E-4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D8-44F2-B14A-7866E1E1F2D1}"/>
            </c:ext>
          </c:extLst>
        </c:ser>
        <c:ser>
          <c:idx val="10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1424</c:v>
                </c:pt>
                <c:pt idx="1">
                  <c:v>1424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D8-44F2-B14A-7866E1E1F2D1}"/>
            </c:ext>
          </c:extLst>
        </c:ser>
        <c:ser>
          <c:idx val="1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1780</c:v>
                </c:pt>
                <c:pt idx="1">
                  <c:v>1780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D8-44F2-B14A-7866E1E1F2D1}"/>
            </c:ext>
          </c:extLst>
        </c:ser>
        <c:ser>
          <c:idx val="1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2136</c:v>
                </c:pt>
                <c:pt idx="1">
                  <c:v>2136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D8-44F2-B14A-7866E1E1F2D1}"/>
            </c:ext>
          </c:extLst>
        </c:ser>
        <c:ser>
          <c:idx val="7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limits!$A$9:$A$12</c:f>
              <c:numCache>
                <c:formatCode>General</c:formatCode>
                <c:ptCount val="4"/>
                <c:pt idx="0">
                  <c:v>100</c:v>
                </c:pt>
                <c:pt idx="1">
                  <c:v>2300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limits!$B$9:$B$12</c:f>
              <c:numCache>
                <c:formatCode>General</c:formatCode>
                <c:ptCount val="4"/>
                <c:pt idx="0">
                  <c:v>0.1</c:v>
                </c:pt>
                <c:pt idx="1">
                  <c:v>5.5000000000000003E-4</c:v>
                </c:pt>
                <c:pt idx="2">
                  <c:v>1.2999999999999999E-4</c:v>
                </c:pt>
                <c:pt idx="3">
                  <c:v>1.45E-5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ED8-44F2-B14A-7866E1E1F2D1}"/>
            </c:ext>
          </c:extLst>
        </c:ser>
        <c:ser>
          <c:idx val="3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limits!$B$4:$B$6</c:f>
              <c:numCache>
                <c:formatCode>General</c:formatCode>
                <c:ptCount val="3"/>
                <c:pt idx="0">
                  <c:v>9.2999999999999992E-3</c:v>
                </c:pt>
                <c:pt idx="1">
                  <c:v>1E-4</c:v>
                </c:pt>
                <c:pt idx="2">
                  <c:v>1.1E-5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ED8-44F2-B14A-7866E1E1F2D1}"/>
            </c:ext>
          </c:extLst>
        </c:ser>
        <c:ser>
          <c:idx val="5"/>
          <c:order val="6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limits!$C$4:$C$6</c:f>
              <c:numCache>
                <c:formatCode>General</c:formatCode>
                <c:ptCount val="3"/>
                <c:pt idx="0">
                  <c:v>3.3E-3</c:v>
                </c:pt>
                <c:pt idx="1">
                  <c:v>3.3000000000000003E-5</c:v>
                </c:pt>
                <c:pt idx="2">
                  <c:v>3.3299999999999999E-6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ED8-44F2-B14A-7866E1E1F2D1}"/>
            </c:ext>
          </c:extLst>
        </c:ser>
        <c:ser>
          <c:idx val="6"/>
          <c:order val="7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limits!$D$4:$D$6</c:f>
              <c:numCache>
                <c:formatCode>General</c:formatCode>
                <c:ptCount val="3"/>
                <c:pt idx="0">
                  <c:v>1.1999999999999999E-3</c:v>
                </c:pt>
                <c:pt idx="1">
                  <c:v>1.0000000000000001E-5</c:v>
                </c:pt>
                <c:pt idx="2">
                  <c:v>8.9999999999999996E-7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ED8-44F2-B14A-7866E1E1F2D1}"/>
            </c:ext>
          </c:extLst>
        </c:ser>
        <c:ser>
          <c:idx val="18"/>
          <c:order val="8"/>
          <c:tx>
            <c:v>X-Translation</c:v>
          </c:tx>
          <c:spPr>
            <a:ln w="1905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P6_UB!$A$7:$A$126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P6_UB!$F$7:$F$126</c:f>
              <c:numCache>
                <c:formatCode>0.00E+00</c:formatCode>
                <c:ptCount val="120"/>
                <c:pt idx="0">
                  <c:v>4.094488188976378E-8</c:v>
                </c:pt>
                <c:pt idx="1">
                  <c:v>1.5893700787401575E-7</c:v>
                </c:pt>
                <c:pt idx="2">
                  <c:v>3.5708661417322843E-7</c:v>
                </c:pt>
                <c:pt idx="3">
                  <c:v>6.5078740157480314E-7</c:v>
                </c:pt>
                <c:pt idx="4">
                  <c:v>1.0255905511811023E-6</c:v>
                </c:pt>
                <c:pt idx="5">
                  <c:v>1.5062992125984254E-6</c:v>
                </c:pt>
                <c:pt idx="6">
                  <c:v>2.098425196850394E-6</c:v>
                </c:pt>
                <c:pt idx="7">
                  <c:v>2.8228346456692912E-6</c:v>
                </c:pt>
                <c:pt idx="8">
                  <c:v>3.7007874015748031E-6</c:v>
                </c:pt>
                <c:pt idx="9">
                  <c:v>4.775590551181103E-6</c:v>
                </c:pt>
                <c:pt idx="10">
                  <c:v>6.0708661417322834E-6</c:v>
                </c:pt>
                <c:pt idx="11">
                  <c:v>7.665354330708663E-6</c:v>
                </c:pt>
                <c:pt idx="12">
                  <c:v>9.468503937007876E-6</c:v>
                </c:pt>
                <c:pt idx="13">
                  <c:v>1.1393700787401578E-5</c:v>
                </c:pt>
                <c:pt idx="14">
                  <c:v>1.3267716535433072E-5</c:v>
                </c:pt>
                <c:pt idx="15">
                  <c:v>1.4960629921259842E-5</c:v>
                </c:pt>
                <c:pt idx="16">
                  <c:v>1.6771653543307087E-5</c:v>
                </c:pt>
                <c:pt idx="17">
                  <c:v>1.8582677165354331E-5</c:v>
                </c:pt>
                <c:pt idx="18">
                  <c:v>2.0551181102362206E-5</c:v>
                </c:pt>
                <c:pt idx="19">
                  <c:v>2.2716535433070864E-5</c:v>
                </c:pt>
                <c:pt idx="20">
                  <c:v>2.4999999999999998E-5</c:v>
                </c:pt>
                <c:pt idx="21">
                  <c:v>2.7480314960629925E-5</c:v>
                </c:pt>
                <c:pt idx="22">
                  <c:v>3.0196850393700787E-5</c:v>
                </c:pt>
                <c:pt idx="23">
                  <c:v>3.3216535433070868E-5</c:v>
                </c:pt>
                <c:pt idx="24">
                  <c:v>3.6570866141732288E-5</c:v>
                </c:pt>
                <c:pt idx="25">
                  <c:v>4.0267716535433071E-5</c:v>
                </c:pt>
                <c:pt idx="26">
                  <c:v>4.4196850393700785E-5</c:v>
                </c:pt>
                <c:pt idx="27">
                  <c:v>4.8708661417322837E-5</c:v>
                </c:pt>
                <c:pt idx="28">
                  <c:v>5.324015748031496E-5</c:v>
                </c:pt>
                <c:pt idx="29">
                  <c:v>5.7401574803149605E-5</c:v>
                </c:pt>
                <c:pt idx="30">
                  <c:v>6.1960629921259844E-5</c:v>
                </c:pt>
                <c:pt idx="31">
                  <c:v>6.5358267716535443E-5</c:v>
                </c:pt>
                <c:pt idx="32">
                  <c:v>6.8385826771653543E-5</c:v>
                </c:pt>
                <c:pt idx="33">
                  <c:v>7.0637795275590548E-5</c:v>
                </c:pt>
                <c:pt idx="34">
                  <c:v>7.1716535433070862E-5</c:v>
                </c:pt>
                <c:pt idx="35">
                  <c:v>7.1228346456692914E-5</c:v>
                </c:pt>
                <c:pt idx="36">
                  <c:v>7.1145669291338589E-5</c:v>
                </c:pt>
                <c:pt idx="37">
                  <c:v>7.067716535433072E-5</c:v>
                </c:pt>
                <c:pt idx="38">
                  <c:v>7.0614173228346461E-5</c:v>
                </c:pt>
                <c:pt idx="39">
                  <c:v>7.0559055118110244E-5</c:v>
                </c:pt>
                <c:pt idx="40">
                  <c:v>7.0905511811023629E-5</c:v>
                </c:pt>
                <c:pt idx="41">
                  <c:v>7.2047244094488189E-5</c:v>
                </c:pt>
                <c:pt idx="42">
                  <c:v>7.3196850393700792E-5</c:v>
                </c:pt>
                <c:pt idx="43">
                  <c:v>7.5133858267716527E-5</c:v>
                </c:pt>
                <c:pt idx="44">
                  <c:v>7.7472440944881892E-5</c:v>
                </c:pt>
                <c:pt idx="45">
                  <c:v>8.0204724409448815E-5</c:v>
                </c:pt>
                <c:pt idx="46">
                  <c:v>8.2937007874015739E-5</c:v>
                </c:pt>
                <c:pt idx="47">
                  <c:v>8.5669291338582676E-5</c:v>
                </c:pt>
                <c:pt idx="48">
                  <c:v>8.84015748031496E-5</c:v>
                </c:pt>
                <c:pt idx="49">
                  <c:v>9.113385826771655E-5</c:v>
                </c:pt>
                <c:pt idx="50">
                  <c:v>9.3472440944881888E-5</c:v>
                </c:pt>
                <c:pt idx="51">
                  <c:v>9.5814960629921246E-5</c:v>
                </c:pt>
                <c:pt idx="52">
                  <c:v>9.7377952755905501E-5</c:v>
                </c:pt>
                <c:pt idx="53">
                  <c:v>9.8952755905511806E-5</c:v>
                </c:pt>
                <c:pt idx="54">
                  <c:v>1.0015354330708662E-4</c:v>
                </c:pt>
                <c:pt idx="55">
                  <c:v>1.0098031496062992E-4</c:v>
                </c:pt>
                <c:pt idx="56">
                  <c:v>1.0182677165354331E-4</c:v>
                </c:pt>
                <c:pt idx="57">
                  <c:v>1.022992125984252E-4</c:v>
                </c:pt>
                <c:pt idx="58">
                  <c:v>1.0239763779527558E-4</c:v>
                </c:pt>
                <c:pt idx="59">
                  <c:v>1.0251181102362205E-4</c:v>
                </c:pt>
                <c:pt idx="60">
                  <c:v>1.0263385826771655E-4</c:v>
                </c:pt>
                <c:pt idx="61">
                  <c:v>1.027716535433071E-4</c:v>
                </c:pt>
                <c:pt idx="62">
                  <c:v>1.0252755905511812E-4</c:v>
                </c:pt>
                <c:pt idx="63">
                  <c:v>1.0229133858267718E-4</c:v>
                </c:pt>
                <c:pt idx="64">
                  <c:v>1.0244881889763782E-4</c:v>
                </c:pt>
                <c:pt idx="65">
                  <c:v>1.022007874015748E-4</c:v>
                </c:pt>
                <c:pt idx="66">
                  <c:v>1.0192913385826772E-4</c:v>
                </c:pt>
                <c:pt idx="67">
                  <c:v>1.0161023622047245E-4</c:v>
                </c:pt>
                <c:pt idx="68">
                  <c:v>1.01244094488189E-4</c:v>
                </c:pt>
                <c:pt idx="69">
                  <c:v>1.0083070866141733E-4</c:v>
                </c:pt>
                <c:pt idx="70">
                  <c:v>1.0038188976377953E-4</c:v>
                </c:pt>
                <c:pt idx="71">
                  <c:v>9.991732283464568E-5</c:v>
                </c:pt>
                <c:pt idx="72">
                  <c:v>9.944488188976379E-5</c:v>
                </c:pt>
                <c:pt idx="73">
                  <c:v>9.8972440944881913E-5</c:v>
                </c:pt>
                <c:pt idx="74">
                  <c:v>9.8511811023622059E-5</c:v>
                </c:pt>
                <c:pt idx="75">
                  <c:v>9.8055118110236227E-5</c:v>
                </c:pt>
                <c:pt idx="76">
                  <c:v>9.7610236220472459E-5</c:v>
                </c:pt>
                <c:pt idx="77">
                  <c:v>9.7173228346456692E-5</c:v>
                </c:pt>
                <c:pt idx="78">
                  <c:v>9.7137795275590555E-5</c:v>
                </c:pt>
                <c:pt idx="79">
                  <c:v>9.6708661417322845E-5</c:v>
                </c:pt>
                <c:pt idx="80">
                  <c:v>9.6283464566929142E-5</c:v>
                </c:pt>
                <c:pt idx="81">
                  <c:v>9.5862204724409461E-5</c:v>
                </c:pt>
                <c:pt idx="82">
                  <c:v>9.5830708661417331E-5</c:v>
                </c:pt>
                <c:pt idx="83">
                  <c:v>9.5401574803149607E-5</c:v>
                </c:pt>
                <c:pt idx="84">
                  <c:v>9.4976377952755905E-5</c:v>
                </c:pt>
                <c:pt idx="85">
                  <c:v>9.4551181102362202E-5</c:v>
                </c:pt>
                <c:pt idx="86">
                  <c:v>9.4519685039370072E-5</c:v>
                </c:pt>
                <c:pt idx="87">
                  <c:v>9.4094488188976397E-5</c:v>
                </c:pt>
                <c:pt idx="88">
                  <c:v>9.3673228346456716E-5</c:v>
                </c:pt>
                <c:pt idx="89">
                  <c:v>9.3649606299212601E-5</c:v>
                </c:pt>
                <c:pt idx="90">
                  <c:v>9.3232283464566941E-5</c:v>
                </c:pt>
                <c:pt idx="91">
                  <c:v>9.3216535433070883E-5</c:v>
                </c:pt>
                <c:pt idx="92">
                  <c:v>9.2807086614173225E-5</c:v>
                </c:pt>
                <c:pt idx="93">
                  <c:v>9.2791338582677167E-5</c:v>
                </c:pt>
                <c:pt idx="94">
                  <c:v>9.2385826771653544E-5</c:v>
                </c:pt>
                <c:pt idx="95">
                  <c:v>9.2377952755905529E-5</c:v>
                </c:pt>
                <c:pt idx="96">
                  <c:v>9.1976377952755913E-5</c:v>
                </c:pt>
                <c:pt idx="97">
                  <c:v>9.1964566929133863E-5</c:v>
                </c:pt>
                <c:pt idx="98">
                  <c:v>9.1956692913385834E-5</c:v>
                </c:pt>
                <c:pt idx="99">
                  <c:v>9.155118110236221E-5</c:v>
                </c:pt>
                <c:pt idx="100">
                  <c:v>9.1543307086614195E-5</c:v>
                </c:pt>
                <c:pt idx="101">
                  <c:v>9.1531496062992131E-5</c:v>
                </c:pt>
                <c:pt idx="102">
                  <c:v>9.1125984251968521E-5</c:v>
                </c:pt>
                <c:pt idx="103">
                  <c:v>9.1114173228346458E-5</c:v>
                </c:pt>
                <c:pt idx="104">
                  <c:v>9.1102362204724421E-5</c:v>
                </c:pt>
                <c:pt idx="105">
                  <c:v>9.1090551181102384E-5</c:v>
                </c:pt>
                <c:pt idx="106">
                  <c:v>9.1074803149606312E-5</c:v>
                </c:pt>
                <c:pt idx="107">
                  <c:v>9.1062992125984249E-5</c:v>
                </c:pt>
                <c:pt idx="108">
                  <c:v>9.0657480314960639E-5</c:v>
                </c:pt>
                <c:pt idx="109">
                  <c:v>9.0645669291338575E-5</c:v>
                </c:pt>
                <c:pt idx="110">
                  <c:v>9.0629921259842517E-5</c:v>
                </c:pt>
                <c:pt idx="111">
                  <c:v>9.0618110236220467E-5</c:v>
                </c:pt>
                <c:pt idx="112">
                  <c:v>9.060629921259843E-5</c:v>
                </c:pt>
                <c:pt idx="113">
                  <c:v>9.059448818897638E-5</c:v>
                </c:pt>
                <c:pt idx="114">
                  <c:v>9.0582677165354329E-5</c:v>
                </c:pt>
                <c:pt idx="115">
                  <c:v>9.0570866141732293E-5</c:v>
                </c:pt>
                <c:pt idx="116">
                  <c:v>9.0559055118110242E-5</c:v>
                </c:pt>
                <c:pt idx="117">
                  <c:v>9.0157480314960627E-5</c:v>
                </c:pt>
                <c:pt idx="118">
                  <c:v>9.014566929133859E-5</c:v>
                </c:pt>
                <c:pt idx="119">
                  <c:v>9.0137795275590547E-5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ED8-44F2-B14A-7866E1E1F2D1}"/>
            </c:ext>
          </c:extLst>
        </c:ser>
        <c:ser>
          <c:idx val="21"/>
          <c:order val="9"/>
          <c:tx>
            <c:v>Y-Translation</c:v>
          </c:tx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P6_UB!$A$7:$A$126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P6_UB!$G$7:$G$126</c:f>
              <c:numCache>
                <c:formatCode>0.00E+00</c:formatCode>
                <c:ptCount val="120"/>
                <c:pt idx="0">
                  <c:v>5.3818897637795281E-9</c:v>
                </c:pt>
                <c:pt idx="1">
                  <c:v>2.0905511811023623E-8</c:v>
                </c:pt>
                <c:pt idx="2">
                  <c:v>4.696850393700787E-8</c:v>
                </c:pt>
                <c:pt idx="3">
                  <c:v>8.6220472440944897E-8</c:v>
                </c:pt>
                <c:pt idx="4">
                  <c:v>1.3661417322834645E-7</c:v>
                </c:pt>
                <c:pt idx="5">
                  <c:v>2.0196850393700788E-7</c:v>
                </c:pt>
                <c:pt idx="6">
                  <c:v>2.8188976377952758E-7</c:v>
                </c:pt>
                <c:pt idx="7">
                  <c:v>3.7952755905511813E-7</c:v>
                </c:pt>
                <c:pt idx="8">
                  <c:v>4.9881889763779531E-7</c:v>
                </c:pt>
                <c:pt idx="9">
                  <c:v>6.4291338582677179E-7</c:v>
                </c:pt>
                <c:pt idx="10">
                  <c:v>8.1535433070866132E-7</c:v>
                </c:pt>
                <c:pt idx="11">
                  <c:v>1.0196850393700789E-6</c:v>
                </c:pt>
                <c:pt idx="12">
                  <c:v>1.251968503937008E-6</c:v>
                </c:pt>
                <c:pt idx="13">
                  <c:v>1.5039370078740158E-6</c:v>
                </c:pt>
                <c:pt idx="14">
                  <c:v>1.7834645669291341E-6</c:v>
                </c:pt>
                <c:pt idx="15">
                  <c:v>2.0826771653543309E-6</c:v>
                </c:pt>
                <c:pt idx="16">
                  <c:v>2.4133858267716535E-6</c:v>
                </c:pt>
                <c:pt idx="17">
                  <c:v>2.7716535433070865E-6</c:v>
                </c:pt>
                <c:pt idx="18">
                  <c:v>3.1496062992125989E-6</c:v>
                </c:pt>
                <c:pt idx="19">
                  <c:v>3.535433070866142E-6</c:v>
                </c:pt>
                <c:pt idx="20">
                  <c:v>3.9094488188976381E-6</c:v>
                </c:pt>
                <c:pt idx="21">
                  <c:v>4.2677165354330712E-6</c:v>
                </c:pt>
                <c:pt idx="22">
                  <c:v>4.6181102362204727E-6</c:v>
                </c:pt>
                <c:pt idx="23">
                  <c:v>4.9763779527559049E-6</c:v>
                </c:pt>
                <c:pt idx="24">
                  <c:v>5.3622047244094497E-6</c:v>
                </c:pt>
                <c:pt idx="25">
                  <c:v>5.7913385826771668E-6</c:v>
                </c:pt>
                <c:pt idx="26">
                  <c:v>6.2834645669291346E-6</c:v>
                </c:pt>
                <c:pt idx="27">
                  <c:v>6.8385826771653542E-6</c:v>
                </c:pt>
                <c:pt idx="28">
                  <c:v>7.4685039370078731E-6</c:v>
                </c:pt>
                <c:pt idx="29">
                  <c:v>8.1811023622047247E-6</c:v>
                </c:pt>
                <c:pt idx="30">
                  <c:v>8.9724409448818902E-6</c:v>
                </c:pt>
                <c:pt idx="31">
                  <c:v>9.8385826771653568E-6</c:v>
                </c:pt>
                <c:pt idx="32">
                  <c:v>1.0751968503937009E-5</c:v>
                </c:pt>
                <c:pt idx="33">
                  <c:v>1.1783464566929135E-5</c:v>
                </c:pt>
                <c:pt idx="34">
                  <c:v>1.281496062992126E-5</c:v>
                </c:pt>
                <c:pt idx="35">
                  <c:v>1.3929133858267717E-5</c:v>
                </c:pt>
                <c:pt idx="36">
                  <c:v>1.5047244094488191E-5</c:v>
                </c:pt>
                <c:pt idx="37">
                  <c:v>1.6125984251968508E-5</c:v>
                </c:pt>
                <c:pt idx="38">
                  <c:v>1.7244094488188977E-5</c:v>
                </c:pt>
                <c:pt idx="39">
                  <c:v>1.8366141732283465E-5</c:v>
                </c:pt>
                <c:pt idx="40">
                  <c:v>1.9492125984251971E-5</c:v>
                </c:pt>
                <c:pt idx="41">
                  <c:v>2.0582677165354332E-5</c:v>
                </c:pt>
                <c:pt idx="42">
                  <c:v>2.1673228346456697E-5</c:v>
                </c:pt>
                <c:pt idx="43">
                  <c:v>2.2767716535433073E-5</c:v>
                </c:pt>
                <c:pt idx="44">
                  <c:v>2.3787401574803149E-5</c:v>
                </c:pt>
                <c:pt idx="45">
                  <c:v>2.4771653543307088E-5</c:v>
                </c:pt>
                <c:pt idx="46">
                  <c:v>2.5673228346456692E-5</c:v>
                </c:pt>
                <c:pt idx="47">
                  <c:v>2.65E-5</c:v>
                </c:pt>
                <c:pt idx="48">
                  <c:v>2.7208661417322839E-5</c:v>
                </c:pt>
                <c:pt idx="49">
                  <c:v>2.7755905511811025E-5</c:v>
                </c:pt>
                <c:pt idx="50">
                  <c:v>2.8220472440944883E-5</c:v>
                </c:pt>
                <c:pt idx="51">
                  <c:v>2.8562992125984257E-5</c:v>
                </c:pt>
                <c:pt idx="52">
                  <c:v>2.8748031496062994E-5</c:v>
                </c:pt>
                <c:pt idx="53">
                  <c:v>2.888976377952756E-5</c:v>
                </c:pt>
                <c:pt idx="54">
                  <c:v>2.8913385826771654E-5</c:v>
                </c:pt>
                <c:pt idx="55">
                  <c:v>2.8858267716535437E-5</c:v>
                </c:pt>
                <c:pt idx="56">
                  <c:v>2.8720472440944885E-5</c:v>
                </c:pt>
                <c:pt idx="57">
                  <c:v>2.858267716535433E-5</c:v>
                </c:pt>
                <c:pt idx="58">
                  <c:v>2.8409448818897637E-5</c:v>
                </c:pt>
                <c:pt idx="59">
                  <c:v>2.8204724409448822E-5</c:v>
                </c:pt>
                <c:pt idx="60">
                  <c:v>2.8007874015748032E-5</c:v>
                </c:pt>
                <c:pt idx="61">
                  <c:v>2.7791338582677166E-5</c:v>
                </c:pt>
                <c:pt idx="62">
                  <c:v>2.7598425196850398E-5</c:v>
                </c:pt>
                <c:pt idx="63">
                  <c:v>2.7476377952755907E-5</c:v>
                </c:pt>
                <c:pt idx="64">
                  <c:v>2.7338582677165355E-5</c:v>
                </c:pt>
                <c:pt idx="65">
                  <c:v>2.7224409448818897E-5</c:v>
                </c:pt>
                <c:pt idx="66">
                  <c:v>2.7149606299212601E-5</c:v>
                </c:pt>
                <c:pt idx="67">
                  <c:v>2.7011811023622049E-5</c:v>
                </c:pt>
                <c:pt idx="68">
                  <c:v>2.6877952755905512E-5</c:v>
                </c:pt>
                <c:pt idx="69">
                  <c:v>2.6665354330708664E-5</c:v>
                </c:pt>
                <c:pt idx="70">
                  <c:v>2.6452755905511813E-5</c:v>
                </c:pt>
                <c:pt idx="71">
                  <c:v>2.6181102362204727E-5</c:v>
                </c:pt>
                <c:pt idx="72">
                  <c:v>2.5897637795275594E-5</c:v>
                </c:pt>
                <c:pt idx="73">
                  <c:v>2.5614173228346458E-5</c:v>
                </c:pt>
                <c:pt idx="74">
                  <c:v>2.5374015748031498E-5</c:v>
                </c:pt>
                <c:pt idx="75">
                  <c:v>2.5098425196850398E-5</c:v>
                </c:pt>
                <c:pt idx="76">
                  <c:v>2.4870078740157478E-5</c:v>
                </c:pt>
                <c:pt idx="77">
                  <c:v>2.4649606299212598E-5</c:v>
                </c:pt>
                <c:pt idx="78">
                  <c:v>2.4429133858267718E-5</c:v>
                </c:pt>
                <c:pt idx="79">
                  <c:v>2.4212598425196855E-5</c:v>
                </c:pt>
                <c:pt idx="80">
                  <c:v>2.4039370078740159E-5</c:v>
                </c:pt>
                <c:pt idx="81">
                  <c:v>2.3826771653543308E-5</c:v>
                </c:pt>
                <c:pt idx="82">
                  <c:v>2.3614173228346457E-5</c:v>
                </c:pt>
                <c:pt idx="83">
                  <c:v>2.3440944881889767E-5</c:v>
                </c:pt>
                <c:pt idx="84">
                  <c:v>2.3228346456692913E-5</c:v>
                </c:pt>
                <c:pt idx="85">
                  <c:v>2.3051181102362206E-5</c:v>
                </c:pt>
                <c:pt idx="86">
                  <c:v>2.2877952755905516E-5</c:v>
                </c:pt>
                <c:pt idx="87">
                  <c:v>2.274803149606299E-5</c:v>
                </c:pt>
                <c:pt idx="88">
                  <c:v>2.2574803149606297E-5</c:v>
                </c:pt>
                <c:pt idx="89">
                  <c:v>2.2401574803149605E-5</c:v>
                </c:pt>
                <c:pt idx="90">
                  <c:v>2.2271653543307089E-5</c:v>
                </c:pt>
                <c:pt idx="91">
                  <c:v>2.2141732283464569E-5</c:v>
                </c:pt>
                <c:pt idx="92">
                  <c:v>2.2015748031496061E-5</c:v>
                </c:pt>
                <c:pt idx="93">
                  <c:v>2.1885826771653541E-5</c:v>
                </c:pt>
                <c:pt idx="94">
                  <c:v>2.1759842519685036E-5</c:v>
                </c:pt>
                <c:pt idx="95">
                  <c:v>2.1673228346456697E-5</c:v>
                </c:pt>
                <c:pt idx="96">
                  <c:v>2.1586614173228351E-5</c:v>
                </c:pt>
                <c:pt idx="97">
                  <c:v>2.146456692913386E-5</c:v>
                </c:pt>
                <c:pt idx="98">
                  <c:v>2.1417322834645669E-5</c:v>
                </c:pt>
                <c:pt idx="99">
                  <c:v>2.1334645669291344E-5</c:v>
                </c:pt>
                <c:pt idx="100">
                  <c:v>2.128740157480315E-5</c:v>
                </c:pt>
                <c:pt idx="101">
                  <c:v>2.1244094488188976E-5</c:v>
                </c:pt>
                <c:pt idx="102">
                  <c:v>2.1200787401574807E-5</c:v>
                </c:pt>
                <c:pt idx="103">
                  <c:v>2.1153543307086612E-5</c:v>
                </c:pt>
                <c:pt idx="104">
                  <c:v>2.1149606299212598E-5</c:v>
                </c:pt>
                <c:pt idx="105">
                  <c:v>2.114566929133858E-5</c:v>
                </c:pt>
                <c:pt idx="106">
                  <c:v>2.1137795275590551E-5</c:v>
                </c:pt>
                <c:pt idx="107">
                  <c:v>2.113385826771654E-5</c:v>
                </c:pt>
                <c:pt idx="108">
                  <c:v>2.1169291338582677E-5</c:v>
                </c:pt>
                <c:pt idx="109">
                  <c:v>2.1204724409448818E-5</c:v>
                </c:pt>
                <c:pt idx="110">
                  <c:v>2.1240157480314958E-5</c:v>
                </c:pt>
                <c:pt idx="111">
                  <c:v>2.1271653543307091E-5</c:v>
                </c:pt>
                <c:pt idx="112">
                  <c:v>2.1307086614173232E-5</c:v>
                </c:pt>
                <c:pt idx="113">
                  <c:v>2.1342519685039373E-5</c:v>
                </c:pt>
                <c:pt idx="114">
                  <c:v>2.137795275590551E-5</c:v>
                </c:pt>
                <c:pt idx="115">
                  <c:v>2.145275590551181E-5</c:v>
                </c:pt>
                <c:pt idx="116">
                  <c:v>2.1488188976377951E-5</c:v>
                </c:pt>
                <c:pt idx="117">
                  <c:v>2.1562992125984253E-5</c:v>
                </c:pt>
                <c:pt idx="118">
                  <c:v>2.159448818897638E-5</c:v>
                </c:pt>
                <c:pt idx="119">
                  <c:v>2.162992125984252E-5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ED8-44F2-B14A-7866E1E1F2D1}"/>
            </c:ext>
          </c:extLst>
        </c:ser>
        <c:ser>
          <c:idx val="22"/>
          <c:order val="10"/>
          <c:tx>
            <c:v>Z-Translation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P6_UB!$A$7:$A$126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P6_UB!$H$7:$H$126</c:f>
              <c:numCache>
                <c:formatCode>0.00E+00</c:formatCode>
                <c:ptCount val="120"/>
                <c:pt idx="0">
                  <c:v>1.1929133858267718E-8</c:v>
                </c:pt>
                <c:pt idx="1">
                  <c:v>4.8622047244094489E-8</c:v>
                </c:pt>
                <c:pt idx="2">
                  <c:v>1.1102362204724409E-7</c:v>
                </c:pt>
                <c:pt idx="3">
                  <c:v>2.0039370078740157E-7</c:v>
                </c:pt>
                <c:pt idx="4">
                  <c:v>3.1968503937007868E-7</c:v>
                </c:pt>
                <c:pt idx="5">
                  <c:v>4.7007874015748033E-7</c:v>
                </c:pt>
                <c:pt idx="6">
                  <c:v>6.5748031496062992E-7</c:v>
                </c:pt>
                <c:pt idx="7">
                  <c:v>8.8149606299212594E-7</c:v>
                </c:pt>
                <c:pt idx="8">
                  <c:v>1.1456692913385828E-6</c:v>
                </c:pt>
                <c:pt idx="9">
                  <c:v>1.4566929133858269E-6</c:v>
                </c:pt>
                <c:pt idx="10">
                  <c:v>1.8188976377952759E-6</c:v>
                </c:pt>
                <c:pt idx="11">
                  <c:v>2.208661417322835E-6</c:v>
                </c:pt>
                <c:pt idx="12">
                  <c:v>2.606299212598425E-6</c:v>
                </c:pt>
                <c:pt idx="13">
                  <c:v>2.9488188976377958E-6</c:v>
                </c:pt>
                <c:pt idx="14">
                  <c:v>3.192913385826772E-6</c:v>
                </c:pt>
                <c:pt idx="15">
                  <c:v>3.413385826771654E-6</c:v>
                </c:pt>
                <c:pt idx="16">
                  <c:v>3.6417322834645663E-6</c:v>
                </c:pt>
                <c:pt idx="17">
                  <c:v>3.9330708661417328E-6</c:v>
                </c:pt>
                <c:pt idx="18">
                  <c:v>4.2889763779527563E-6</c:v>
                </c:pt>
                <c:pt idx="19">
                  <c:v>4.8216535433070872E-6</c:v>
                </c:pt>
                <c:pt idx="20">
                  <c:v>5.5149606299212601E-6</c:v>
                </c:pt>
                <c:pt idx="21">
                  <c:v>6.3897637795275586E-6</c:v>
                </c:pt>
                <c:pt idx="22">
                  <c:v>7.3267716535433075E-6</c:v>
                </c:pt>
                <c:pt idx="23">
                  <c:v>8.3425196850393687E-6</c:v>
                </c:pt>
                <c:pt idx="24">
                  <c:v>9.4724409448818888E-6</c:v>
                </c:pt>
                <c:pt idx="25">
                  <c:v>1.0681102362204724E-5</c:v>
                </c:pt>
                <c:pt idx="26">
                  <c:v>1.1968503937007872E-5</c:v>
                </c:pt>
                <c:pt idx="27">
                  <c:v>1.3330708661417323E-5</c:v>
                </c:pt>
                <c:pt idx="28">
                  <c:v>1.4732283464566929E-5</c:v>
                </c:pt>
                <c:pt idx="29">
                  <c:v>1.6173228346456695E-5</c:v>
                </c:pt>
                <c:pt idx="30">
                  <c:v>1.7531496062992125E-5</c:v>
                </c:pt>
                <c:pt idx="31">
                  <c:v>1.8763779527559059E-5</c:v>
                </c:pt>
                <c:pt idx="32">
                  <c:v>1.9799212598425201E-5</c:v>
                </c:pt>
                <c:pt idx="33">
                  <c:v>2.0594488188976379E-5</c:v>
                </c:pt>
                <c:pt idx="34">
                  <c:v>2.1066929133858266E-5</c:v>
                </c:pt>
                <c:pt idx="35">
                  <c:v>2.1141732283464569E-5</c:v>
                </c:pt>
                <c:pt idx="36">
                  <c:v>2.1248031496062994E-5</c:v>
                </c:pt>
                <c:pt idx="37">
                  <c:v>2.1196850393700789E-5</c:v>
                </c:pt>
                <c:pt idx="38">
                  <c:v>2.1023622047244096E-5</c:v>
                </c:pt>
                <c:pt idx="39">
                  <c:v>2.08503937007874E-5</c:v>
                </c:pt>
                <c:pt idx="40">
                  <c:v>2.0681102362204725E-5</c:v>
                </c:pt>
                <c:pt idx="41">
                  <c:v>2.0515748031496062E-5</c:v>
                </c:pt>
                <c:pt idx="42">
                  <c:v>2.0354330708661419E-5</c:v>
                </c:pt>
                <c:pt idx="43">
                  <c:v>2.0275590551181105E-5</c:v>
                </c:pt>
                <c:pt idx="44">
                  <c:v>2.0248031496062994E-5</c:v>
                </c:pt>
                <c:pt idx="45">
                  <c:v>2.0311023622047246E-5</c:v>
                </c:pt>
                <c:pt idx="46">
                  <c:v>2.0389763779527563E-5</c:v>
                </c:pt>
                <c:pt idx="47">
                  <c:v>2.0562992125984256E-5</c:v>
                </c:pt>
                <c:pt idx="48">
                  <c:v>2.0748031496062992E-5</c:v>
                </c:pt>
                <c:pt idx="49">
                  <c:v>2.1023622047244096E-5</c:v>
                </c:pt>
                <c:pt idx="50">
                  <c:v>2.12992125984252E-5</c:v>
                </c:pt>
                <c:pt idx="51">
                  <c:v>2.1692913385826769E-5</c:v>
                </c:pt>
                <c:pt idx="52">
                  <c:v>2.2086614173228346E-5</c:v>
                </c:pt>
                <c:pt idx="53">
                  <c:v>2.2598425196850398E-5</c:v>
                </c:pt>
                <c:pt idx="54">
                  <c:v>2.3149606299212599E-5</c:v>
                </c:pt>
                <c:pt idx="55">
                  <c:v>2.3700787401574803E-5</c:v>
                </c:pt>
                <c:pt idx="56">
                  <c:v>2.4409448818897638E-5</c:v>
                </c:pt>
                <c:pt idx="57">
                  <c:v>2.5196850393700791E-5</c:v>
                </c:pt>
                <c:pt idx="58">
                  <c:v>2.610236220472441E-5</c:v>
                </c:pt>
                <c:pt idx="59">
                  <c:v>2.7047244094488187E-5</c:v>
                </c:pt>
                <c:pt idx="60">
                  <c:v>2.8228346456692912E-5</c:v>
                </c:pt>
                <c:pt idx="61">
                  <c:v>2.9566929133858273E-5</c:v>
                </c:pt>
                <c:pt idx="62">
                  <c:v>3.1062992125984254E-5</c:v>
                </c:pt>
                <c:pt idx="63">
                  <c:v>3.279527559055118E-5</c:v>
                </c:pt>
                <c:pt idx="64">
                  <c:v>3.4606299212598431E-5</c:v>
                </c:pt>
                <c:pt idx="65">
                  <c:v>3.6496062992125985E-5</c:v>
                </c:pt>
                <c:pt idx="66">
                  <c:v>3.8385826771653546E-5</c:v>
                </c:pt>
                <c:pt idx="67">
                  <c:v>4.0039370078740155E-5</c:v>
                </c:pt>
                <c:pt idx="68">
                  <c:v>4.1299212598425198E-5</c:v>
                </c:pt>
                <c:pt idx="69">
                  <c:v>4.1968503937007882E-5</c:v>
                </c:pt>
                <c:pt idx="70">
                  <c:v>4.2086614173228344E-5</c:v>
                </c:pt>
                <c:pt idx="71">
                  <c:v>4.1692913385826778E-5</c:v>
                </c:pt>
                <c:pt idx="72">
                  <c:v>4.1102362204724412E-5</c:v>
                </c:pt>
                <c:pt idx="73">
                  <c:v>4.0314960629921266E-5</c:v>
                </c:pt>
                <c:pt idx="74">
                  <c:v>3.952755905511812E-5</c:v>
                </c:pt>
                <c:pt idx="75">
                  <c:v>3.8858267716535436E-5</c:v>
                </c:pt>
                <c:pt idx="76">
                  <c:v>3.8228346456692918E-5</c:v>
                </c:pt>
                <c:pt idx="77">
                  <c:v>3.7677165354330711E-5</c:v>
                </c:pt>
                <c:pt idx="78">
                  <c:v>3.7204724409448827E-5</c:v>
                </c:pt>
                <c:pt idx="79">
                  <c:v>3.6771653543307089E-5</c:v>
                </c:pt>
                <c:pt idx="80">
                  <c:v>3.6417322834645674E-5</c:v>
                </c:pt>
                <c:pt idx="81">
                  <c:v>3.6141732283464571E-5</c:v>
                </c:pt>
                <c:pt idx="82">
                  <c:v>3.5866141732283467E-5</c:v>
                </c:pt>
                <c:pt idx="83">
                  <c:v>3.566929133858268E-5</c:v>
                </c:pt>
                <c:pt idx="84">
                  <c:v>3.5472440944881894E-5</c:v>
                </c:pt>
                <c:pt idx="85">
                  <c:v>3.5314960629921259E-5</c:v>
                </c:pt>
                <c:pt idx="86">
                  <c:v>3.5157480314960632E-5</c:v>
                </c:pt>
                <c:pt idx="87">
                  <c:v>3.4960629921259845E-5</c:v>
                </c:pt>
                <c:pt idx="88">
                  <c:v>3.4842519685039376E-5</c:v>
                </c:pt>
                <c:pt idx="89">
                  <c:v>3.4763779527559059E-5</c:v>
                </c:pt>
                <c:pt idx="90">
                  <c:v>3.4606299212598431E-5</c:v>
                </c:pt>
                <c:pt idx="91">
                  <c:v>3.4488188976377955E-5</c:v>
                </c:pt>
                <c:pt idx="92">
                  <c:v>3.4370078740157479E-5</c:v>
                </c:pt>
                <c:pt idx="93">
                  <c:v>3.4251968503937003E-5</c:v>
                </c:pt>
                <c:pt idx="94">
                  <c:v>3.4173228346456692E-5</c:v>
                </c:pt>
                <c:pt idx="95">
                  <c:v>3.4055118110236223E-5</c:v>
                </c:pt>
                <c:pt idx="96">
                  <c:v>3.3937007874015747E-5</c:v>
                </c:pt>
                <c:pt idx="97">
                  <c:v>3.3779527559055119E-5</c:v>
                </c:pt>
                <c:pt idx="98">
                  <c:v>3.366141732283465E-5</c:v>
                </c:pt>
                <c:pt idx="99">
                  <c:v>3.3503937007874022E-5</c:v>
                </c:pt>
                <c:pt idx="100">
                  <c:v>3.3346456692913395E-5</c:v>
                </c:pt>
                <c:pt idx="101">
                  <c:v>3.318897637795276E-5</c:v>
                </c:pt>
                <c:pt idx="102">
                  <c:v>3.2992125984251967E-5</c:v>
                </c:pt>
                <c:pt idx="103">
                  <c:v>3.2834645669291339E-5</c:v>
                </c:pt>
                <c:pt idx="104">
                  <c:v>3.2637795275590552E-5</c:v>
                </c:pt>
                <c:pt idx="105">
                  <c:v>3.2480314960629918E-5</c:v>
                </c:pt>
                <c:pt idx="106">
                  <c:v>3.2283464566929138E-5</c:v>
                </c:pt>
                <c:pt idx="107">
                  <c:v>3.2125984251968504E-5</c:v>
                </c:pt>
                <c:pt idx="108">
                  <c:v>3.1929133858267724E-5</c:v>
                </c:pt>
                <c:pt idx="109">
                  <c:v>3.1732283464566931E-5</c:v>
                </c:pt>
                <c:pt idx="110">
                  <c:v>3.1574803149606296E-5</c:v>
                </c:pt>
                <c:pt idx="111">
                  <c:v>3.1377952755905509E-5</c:v>
                </c:pt>
                <c:pt idx="112">
                  <c:v>3.1220472440944882E-5</c:v>
                </c:pt>
                <c:pt idx="113">
                  <c:v>3.1102362204724412E-5</c:v>
                </c:pt>
                <c:pt idx="114">
                  <c:v>3.0944881889763785E-5</c:v>
                </c:pt>
                <c:pt idx="115">
                  <c:v>3.0866141732283467E-5</c:v>
                </c:pt>
                <c:pt idx="116">
                  <c:v>3.0748031496062991E-5</c:v>
                </c:pt>
                <c:pt idx="117">
                  <c:v>3.070866141732284E-5</c:v>
                </c:pt>
                <c:pt idx="118">
                  <c:v>3.070866141732284E-5</c:v>
                </c:pt>
                <c:pt idx="119">
                  <c:v>3.0748031496062991E-5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ED8-44F2-B14A-7866E1E1F2D1}"/>
            </c:ext>
          </c:extLst>
        </c:ser>
        <c:ser>
          <c:idx val="23"/>
          <c:order val="11"/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9ED8-44F2-B14A-7866E1E1F2D1}"/>
              </c:ext>
            </c:extLst>
          </c:dPt>
          <c:xVal>
            <c:numRef>
              <c:f>limits!$G$23:$G$24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limits!$H$23:$H$24</c:f>
              <c:numCache>
                <c:formatCode>0.000000</c:formatCode>
                <c:ptCount val="2"/>
                <c:pt idx="0">
                  <c:v>5.9999999999999995E-4</c:v>
                </c:pt>
                <c:pt idx="1">
                  <c:v>5.9999999999999995E-4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ED8-44F2-B14A-7866E1E1F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10160"/>
        <c:axId val="1"/>
      </c:scatterChart>
      <c:valAx>
        <c:axId val="832210160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2482138870207053"/>
              <c:y val="0.9361926710380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.9999999999999995E-7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1.8357006017334653E-2"/>
              <c:y val="0.3193191221667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10160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1496496960137534"/>
          <c:y val="0.69083688649590724"/>
          <c:w val="0.22038214221632471"/>
          <c:h val="0.151102258462751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CE-4712-B542-FE3A8CA5B4D2}"/>
            </c:ext>
          </c:extLst>
        </c:ser>
        <c:ser>
          <c:idx val="3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</c:numCache>
            </c:numRef>
          </c:xVal>
          <c:yVal>
            <c:numRef>
              <c:f>limits!$B$17:$B$21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CE-4712-B542-FE3A8CA5B4D2}"/>
            </c:ext>
          </c:extLst>
        </c:ser>
        <c:ser>
          <c:idx val="4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limits!$D$17:$D$20</c:f>
              <c:numCache>
                <c:formatCode>General</c:formatCode>
                <c:ptCount val="4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</c:numCache>
            </c:numRef>
          </c:xVal>
          <c:yVal>
            <c:numRef>
              <c:f>limits!$E$17:$E$20</c:f>
              <c:numCache>
                <c:formatCode>General</c:formatCode>
                <c:ptCount val="4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CE-4712-B542-FE3A8CA5B4D2}"/>
            </c:ext>
          </c:extLst>
        </c:ser>
        <c:ser>
          <c:idx val="5"/>
          <c:order val="3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limits!$G$4:$G$5</c:f>
              <c:numCache>
                <c:formatCode>0</c:formatCode>
                <c:ptCount val="2"/>
                <c:pt idx="0">
                  <c:v>1424</c:v>
                </c:pt>
                <c:pt idx="1">
                  <c:v>1424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CE-4712-B542-FE3A8CA5B4D2}"/>
            </c:ext>
          </c:extLst>
        </c:ser>
        <c:ser>
          <c:idx val="6"/>
          <c:order val="4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limits!$H$4:$H$5</c:f>
              <c:numCache>
                <c:formatCode>General</c:formatCode>
                <c:ptCount val="2"/>
                <c:pt idx="0">
                  <c:v>1780</c:v>
                </c:pt>
                <c:pt idx="1">
                  <c:v>1780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CE-4712-B542-FE3A8CA5B4D2}"/>
            </c:ext>
          </c:extLst>
        </c:ser>
        <c:ser>
          <c:idx val="7"/>
          <c:order val="5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limits!$I$4:$I$5</c:f>
              <c:numCache>
                <c:formatCode>0</c:formatCode>
                <c:ptCount val="2"/>
                <c:pt idx="0">
                  <c:v>2136</c:v>
                </c:pt>
                <c:pt idx="1">
                  <c:v>2136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CE-4712-B542-FE3A8CA5B4D2}"/>
            </c:ext>
          </c:extLst>
        </c:ser>
        <c:ser>
          <c:idx val="8"/>
          <c:order val="6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limits!$J$4:$J$5</c:f>
              <c:numCache>
                <c:formatCode>General</c:formatCode>
                <c:ptCount val="2"/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2CE-4712-B542-FE3A8CA5B4D2}"/>
            </c:ext>
          </c:extLst>
        </c:ser>
        <c:ser>
          <c:idx val="10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limits!$H$17:$H$18</c:f>
              <c:numCache>
                <c:formatCode>General</c:formatCode>
                <c:ptCount val="2"/>
                <c:pt idx="0">
                  <c:v>4.4999999999999999E-4</c:v>
                </c:pt>
                <c:pt idx="1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2CE-4712-B542-FE3A8CA5B4D2}"/>
            </c:ext>
          </c:extLst>
        </c:ser>
        <c:ser>
          <c:idx val="11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limits!$I$17:$I$18</c:f>
              <c:numCache>
                <c:formatCode>General</c:formatCode>
                <c:ptCount val="2"/>
                <c:pt idx="0">
                  <c:v>9.5E-4</c:v>
                </c:pt>
                <c:pt idx="1">
                  <c:v>9.5000000000000005E-6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2CE-4712-B542-FE3A8CA5B4D2}"/>
            </c:ext>
          </c:extLst>
        </c:ser>
        <c:ser>
          <c:idx val="12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limits!$J$17:$J$18</c:f>
              <c:numCache>
                <c:formatCode>General</c:formatCode>
                <c:ptCount val="2"/>
                <c:pt idx="0">
                  <c:v>1.75E-3</c:v>
                </c:pt>
                <c:pt idx="1">
                  <c:v>1.6500000000000001E-5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2CE-4712-B542-FE3A8CA5B4D2}"/>
            </c:ext>
          </c:extLst>
        </c:ser>
        <c:ser>
          <c:idx val="13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limits!$K$17:$K$18</c:f>
              <c:numCache>
                <c:formatCode>General</c:formatCode>
                <c:ptCount val="2"/>
                <c:pt idx="0">
                  <c:v>3.7499999999999999E-3</c:v>
                </c:pt>
                <c:pt idx="1">
                  <c:v>3.5000000000000004E-5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2CE-4712-B542-FE3A8CA5B4D2}"/>
            </c:ext>
          </c:extLst>
        </c:ser>
        <c:ser>
          <c:idx val="14"/>
          <c:order val="1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limits!$L$17:$L$18</c:f>
              <c:numCache>
                <c:formatCode>General</c:formatCode>
                <c:ptCount val="2"/>
                <c:pt idx="0">
                  <c:v>7.4999999999999997E-3</c:v>
                </c:pt>
                <c:pt idx="1">
                  <c:v>6.5000000000000008E-5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2CE-4712-B542-FE3A8CA5B4D2}"/>
            </c:ext>
          </c:extLst>
        </c:ser>
        <c:ser>
          <c:idx val="20"/>
          <c:order val="12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2CE-4712-B542-FE3A8CA5B4D2}"/>
            </c:ext>
          </c:extLst>
        </c:ser>
        <c:ser>
          <c:idx val="21"/>
          <c:order val="1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2CE-4712-B542-FE3A8CA5B4D2}"/>
            </c:ext>
          </c:extLst>
        </c:ser>
        <c:ser>
          <c:idx val="0"/>
          <c:order val="1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1.4784808479739018E-4</c:v>
                </c:pt>
                <c:pt idx="1">
                  <c:v>1.4784808479739018E-4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2CE-4712-B542-FE3A8CA5B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76704"/>
        <c:axId val="1"/>
      </c:scatterChart>
      <c:valAx>
        <c:axId val="1347176704"/>
        <c:scaling>
          <c:logBase val="10"/>
          <c:orientation val="minMax"/>
          <c:max val="1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176704"/>
        <c:crosses val="autoZero"/>
        <c:crossBetween val="midCat"/>
        <c:majorUnit val="10"/>
        <c:minorUnit val="10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&amp;L&amp;F&amp;R&amp;D&amp;T</c:oddFooter>
    </c:headerFooter>
    <c:pageMargins b="1" l="0.75" r="0.75" t="1" header="0.5" footer="0.5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40</xdr:row>
      <xdr:rowOff>0</xdr:rowOff>
    </xdr:from>
    <xdr:to>
      <xdr:col>16</xdr:col>
      <xdr:colOff>485775</xdr:colOff>
      <xdr:row>67</xdr:row>
      <xdr:rowOff>114300</xdr:rowOff>
    </xdr:to>
    <xdr:graphicFrame macro="">
      <xdr:nvGraphicFramePr>
        <xdr:cNvPr id="3143805" name="Chart 27">
          <a:extLst>
            <a:ext uri="{FF2B5EF4-FFF2-40B4-BE49-F238E27FC236}">
              <a16:creationId xmlns:a16="http://schemas.microsoft.com/office/drawing/2014/main" id="{90F27C40-208A-8B0C-3A77-715FBD615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5</xdr:row>
      <xdr:rowOff>104776</xdr:rowOff>
    </xdr:from>
    <xdr:to>
      <xdr:col>19</xdr:col>
      <xdr:colOff>57150</xdr:colOff>
      <xdr:row>32</xdr:row>
      <xdr:rowOff>33130</xdr:rowOff>
    </xdr:to>
    <xdr:graphicFrame macro="">
      <xdr:nvGraphicFramePr>
        <xdr:cNvPr id="3143782" name="Chart 1">
          <a:extLst>
            <a:ext uri="{FF2B5EF4-FFF2-40B4-BE49-F238E27FC236}">
              <a16:creationId xmlns:a16="http://schemas.microsoft.com/office/drawing/2014/main" id="{102FB91C-826D-C194-E351-EC9F005C2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11</xdr:col>
      <xdr:colOff>88510</xdr:colOff>
      <xdr:row>16</xdr:row>
      <xdr:rowOff>150886</xdr:rowOff>
    </xdr:from>
    <xdr:to>
      <xdr:col>12</xdr:col>
      <xdr:colOff>232398</xdr:colOff>
      <xdr:row>19</xdr:row>
      <xdr:rowOff>62715</xdr:rowOff>
    </xdr:to>
    <xdr:sp macro="" textlink="">
      <xdr:nvSpPr>
        <xdr:cNvPr id="643074" name="Text Box 2">
          <a:extLst>
            <a:ext uri="{FF2B5EF4-FFF2-40B4-BE49-F238E27FC236}">
              <a16:creationId xmlns:a16="http://schemas.microsoft.com/office/drawing/2014/main" id="{107E2391-F807-0487-13D5-5A2E4F2D316E}"/>
            </a:ext>
          </a:extLst>
        </xdr:cNvPr>
        <xdr:cNvSpPr txBox="1">
          <a:spLocks noChangeArrowheads="1"/>
        </xdr:cNvSpPr>
      </xdr:nvSpPr>
      <xdr:spPr bwMode="auto">
        <a:xfrm>
          <a:off x="6997798" y="2729963"/>
          <a:ext cx="752023" cy="395406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 noticeable to persons</a:t>
          </a:r>
        </a:p>
      </xdr:txBody>
    </xdr:sp>
    <xdr:clientData/>
  </xdr:twoCellAnchor>
  <xdr:twoCellAnchor>
    <xdr:from>
      <xdr:col>11</xdr:col>
      <xdr:colOff>294358</xdr:colOff>
      <xdr:row>14</xdr:row>
      <xdr:rowOff>131562</xdr:rowOff>
    </xdr:from>
    <xdr:to>
      <xdr:col>12</xdr:col>
      <xdr:colOff>598813</xdr:colOff>
      <xdr:row>16</xdr:row>
      <xdr:rowOff>56326</xdr:rowOff>
    </xdr:to>
    <xdr:sp macro="" textlink="">
      <xdr:nvSpPr>
        <xdr:cNvPr id="643075" name="Text Box 3">
          <a:extLst>
            <a:ext uri="{FF2B5EF4-FFF2-40B4-BE49-F238E27FC236}">
              <a16:creationId xmlns:a16="http://schemas.microsoft.com/office/drawing/2014/main" id="{09483D94-BB71-F95E-14C6-D710AB746D75}"/>
            </a:ext>
          </a:extLst>
        </xdr:cNvPr>
        <xdr:cNvSpPr txBox="1">
          <a:spLocks noChangeArrowheads="1"/>
        </xdr:cNvSpPr>
      </xdr:nvSpPr>
      <xdr:spPr bwMode="auto">
        <a:xfrm>
          <a:off x="7203646" y="2388254"/>
          <a:ext cx="912590" cy="247149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Barely noticeable to persons</a:t>
          </a:r>
        </a:p>
      </xdr:txBody>
    </xdr:sp>
    <xdr:clientData/>
  </xdr:twoCellAnchor>
  <xdr:twoCellAnchor>
    <xdr:from>
      <xdr:col>11</xdr:col>
      <xdr:colOff>327880</xdr:colOff>
      <xdr:row>12</xdr:row>
      <xdr:rowOff>46112</xdr:rowOff>
    </xdr:from>
    <xdr:to>
      <xdr:col>13</xdr:col>
      <xdr:colOff>21981</xdr:colOff>
      <xdr:row>13</xdr:row>
      <xdr:rowOff>139212</xdr:rowOff>
    </xdr:to>
    <xdr:sp macro="" textlink="">
      <xdr:nvSpPr>
        <xdr:cNvPr id="643076" name="Text Box 4">
          <a:extLst>
            <a:ext uri="{FF2B5EF4-FFF2-40B4-BE49-F238E27FC236}">
              <a16:creationId xmlns:a16="http://schemas.microsoft.com/office/drawing/2014/main" id="{2C5A43DA-67A9-0212-F35B-607570A147FE}"/>
            </a:ext>
          </a:extLst>
        </xdr:cNvPr>
        <xdr:cNvSpPr txBox="1">
          <a:spLocks noChangeArrowheads="1"/>
        </xdr:cNvSpPr>
      </xdr:nvSpPr>
      <xdr:spPr bwMode="auto">
        <a:xfrm>
          <a:off x="7237168" y="1980420"/>
          <a:ext cx="910371" cy="254292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Easily noticeable to persons</a:t>
          </a:r>
        </a:p>
      </xdr:txBody>
    </xdr:sp>
    <xdr:clientData/>
  </xdr:twoCellAnchor>
  <xdr:twoCellAnchor>
    <xdr:from>
      <xdr:col>9</xdr:col>
      <xdr:colOff>238125</xdr:colOff>
      <xdr:row>36</xdr:row>
      <xdr:rowOff>0</xdr:rowOff>
    </xdr:from>
    <xdr:to>
      <xdr:col>16</xdr:col>
      <xdr:colOff>485775</xdr:colOff>
      <xdr:row>36</xdr:row>
      <xdr:rowOff>0</xdr:rowOff>
    </xdr:to>
    <xdr:graphicFrame macro="">
      <xdr:nvGraphicFramePr>
        <xdr:cNvPr id="3143786" name="Chart 5">
          <a:extLst>
            <a:ext uri="{FF2B5EF4-FFF2-40B4-BE49-F238E27FC236}">
              <a16:creationId xmlns:a16="http://schemas.microsoft.com/office/drawing/2014/main" id="{AE0BE432-C12F-E268-6076-5F199078A4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36</xdr:row>
      <xdr:rowOff>0</xdr:rowOff>
    </xdr:from>
    <xdr:to>
      <xdr:col>12</xdr:col>
      <xdr:colOff>303892</xdr:colOff>
      <xdr:row>36</xdr:row>
      <xdr:rowOff>0</xdr:rowOff>
    </xdr:to>
    <xdr:sp macro="" textlink="">
      <xdr:nvSpPr>
        <xdr:cNvPr id="643078" name="Text Box 6">
          <a:extLst>
            <a:ext uri="{FF2B5EF4-FFF2-40B4-BE49-F238E27FC236}">
              <a16:creationId xmlns:a16="http://schemas.microsoft.com/office/drawing/2014/main" id="{77E4B467-7602-B452-D6E9-ADFE33884A85}"/>
            </a:ext>
          </a:extLst>
        </xdr:cNvPr>
        <xdr:cNvSpPr txBox="1">
          <a:spLocks noChangeArrowheads="1"/>
        </xdr:cNvSpPr>
      </xdr:nvSpPr>
      <xdr:spPr bwMode="auto">
        <a:xfrm>
          <a:off x="1276350" y="4143375"/>
          <a:ext cx="857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296545</xdr:colOff>
      <xdr:row>36</xdr:row>
      <xdr:rowOff>0</xdr:rowOff>
    </xdr:from>
    <xdr:to>
      <xdr:col>12</xdr:col>
      <xdr:colOff>406598</xdr:colOff>
      <xdr:row>36</xdr:row>
      <xdr:rowOff>0</xdr:rowOff>
    </xdr:to>
    <xdr:sp macro="" textlink="">
      <xdr:nvSpPr>
        <xdr:cNvPr id="643079" name="Text Box 7">
          <a:extLst>
            <a:ext uri="{FF2B5EF4-FFF2-40B4-BE49-F238E27FC236}">
              <a16:creationId xmlns:a16="http://schemas.microsoft.com/office/drawing/2014/main" id="{000812F1-18FE-3C7A-0ADC-FB74A78844C3}"/>
            </a:ext>
          </a:extLst>
        </xdr:cNvPr>
        <xdr:cNvSpPr txBox="1">
          <a:spLocks noChangeArrowheads="1"/>
        </xdr:cNvSpPr>
      </xdr:nvSpPr>
      <xdr:spPr bwMode="auto">
        <a:xfrm>
          <a:off x="1514475" y="4143375"/>
          <a:ext cx="857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36</xdr:row>
      <xdr:rowOff>0</xdr:rowOff>
    </xdr:from>
    <xdr:to>
      <xdr:col>13</xdr:col>
      <xdr:colOff>333187</xdr:colOff>
      <xdr:row>36</xdr:row>
      <xdr:rowOff>0</xdr:rowOff>
    </xdr:to>
    <xdr:sp macro="" textlink="">
      <xdr:nvSpPr>
        <xdr:cNvPr id="643080" name="Text Box 8">
          <a:extLst>
            <a:ext uri="{FF2B5EF4-FFF2-40B4-BE49-F238E27FC236}">
              <a16:creationId xmlns:a16="http://schemas.microsoft.com/office/drawing/2014/main" id="{EF5DB45E-3656-7D12-25A5-D88C13AE7229}"/>
            </a:ext>
          </a:extLst>
        </xdr:cNvPr>
        <xdr:cNvSpPr txBox="1">
          <a:spLocks noChangeArrowheads="1"/>
        </xdr:cNvSpPr>
      </xdr:nvSpPr>
      <xdr:spPr bwMode="auto">
        <a:xfrm>
          <a:off x="1914525" y="4143375"/>
          <a:ext cx="857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</a:t>
          </a:r>
        </a:p>
      </xdr:txBody>
    </xdr:sp>
    <xdr:clientData/>
  </xdr:twoCellAnchor>
  <xdr:twoCellAnchor>
    <xdr:from>
      <xdr:col>14</xdr:col>
      <xdr:colOff>12700</xdr:colOff>
      <xdr:row>36</xdr:row>
      <xdr:rowOff>0</xdr:rowOff>
    </xdr:from>
    <xdr:to>
      <xdr:col>15</xdr:col>
      <xdr:colOff>407515</xdr:colOff>
      <xdr:row>36</xdr:row>
      <xdr:rowOff>0</xdr:rowOff>
    </xdr:to>
    <xdr:sp macro="" textlink="">
      <xdr:nvSpPr>
        <xdr:cNvPr id="643082" name="Text Box 10">
          <a:extLst>
            <a:ext uri="{FF2B5EF4-FFF2-40B4-BE49-F238E27FC236}">
              <a16:creationId xmlns:a16="http://schemas.microsoft.com/office/drawing/2014/main" id="{4CA078A2-B087-A282-5A8E-C050AE480334}"/>
            </a:ext>
          </a:extLst>
        </xdr:cNvPr>
        <xdr:cNvSpPr txBox="1">
          <a:spLocks noChangeArrowheads="1"/>
        </xdr:cNvSpPr>
      </xdr:nvSpPr>
      <xdr:spPr bwMode="auto">
        <a:xfrm>
          <a:off x="3057525" y="4143375"/>
          <a:ext cx="1152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13</xdr:col>
      <xdr:colOff>375675</xdr:colOff>
      <xdr:row>10</xdr:row>
      <xdr:rowOff>53460</xdr:rowOff>
    </xdr:from>
    <xdr:to>
      <xdr:col>13</xdr:col>
      <xdr:colOff>568557</xdr:colOff>
      <xdr:row>13</xdr:row>
      <xdr:rowOff>111649</xdr:rowOff>
    </xdr:to>
    <xdr:sp macro="" textlink="">
      <xdr:nvSpPr>
        <xdr:cNvPr id="643083" name="Text Box 11">
          <a:extLst>
            <a:ext uri="{FF2B5EF4-FFF2-40B4-BE49-F238E27FC236}">
              <a16:creationId xmlns:a16="http://schemas.microsoft.com/office/drawing/2014/main" id="{68F7E080-050D-C2DA-444C-4F93E937D721}"/>
            </a:ext>
          </a:extLst>
        </xdr:cNvPr>
        <xdr:cNvSpPr txBox="1">
          <a:spLocks noChangeArrowheads="1"/>
        </xdr:cNvSpPr>
      </xdr:nvSpPr>
      <xdr:spPr bwMode="auto">
        <a:xfrm flipV="1">
          <a:off x="8523880" y="1655392"/>
          <a:ext cx="192882" cy="5387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1424 rpm</a:t>
          </a:r>
        </a:p>
      </xdr:txBody>
    </xdr:sp>
    <xdr:clientData/>
  </xdr:twoCellAnchor>
  <xdr:twoCellAnchor>
    <xdr:from>
      <xdr:col>13</xdr:col>
      <xdr:colOff>553480</xdr:colOff>
      <xdr:row>10</xdr:row>
      <xdr:rowOff>35224</xdr:rowOff>
    </xdr:from>
    <xdr:to>
      <xdr:col>14</xdr:col>
      <xdr:colOff>123057</xdr:colOff>
      <xdr:row>13</xdr:row>
      <xdr:rowOff>69010</xdr:rowOff>
    </xdr:to>
    <xdr:sp macro="" textlink="">
      <xdr:nvSpPr>
        <xdr:cNvPr id="643084" name="Text Box 12">
          <a:extLst>
            <a:ext uri="{FF2B5EF4-FFF2-40B4-BE49-F238E27FC236}">
              <a16:creationId xmlns:a16="http://schemas.microsoft.com/office/drawing/2014/main" id="{343AFC46-20E3-D33C-CA55-61F9FDEFB8FD}"/>
            </a:ext>
          </a:extLst>
        </xdr:cNvPr>
        <xdr:cNvSpPr txBox="1">
          <a:spLocks noChangeArrowheads="1"/>
        </xdr:cNvSpPr>
      </xdr:nvSpPr>
      <xdr:spPr bwMode="auto">
        <a:xfrm flipV="1">
          <a:off x="8701685" y="1637156"/>
          <a:ext cx="180042" cy="5143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1780 rpm</a:t>
          </a:r>
        </a:p>
      </xdr:txBody>
    </xdr:sp>
    <xdr:clientData/>
  </xdr:twoCellAnchor>
  <xdr:twoCellAnchor>
    <xdr:from>
      <xdr:col>14</xdr:col>
      <xdr:colOff>231093</xdr:colOff>
      <xdr:row>10</xdr:row>
      <xdr:rowOff>42286</xdr:rowOff>
    </xdr:from>
    <xdr:to>
      <xdr:col>14</xdr:col>
      <xdr:colOff>425608</xdr:colOff>
      <xdr:row>13</xdr:row>
      <xdr:rowOff>66350</xdr:rowOff>
    </xdr:to>
    <xdr:sp macro="" textlink="">
      <xdr:nvSpPr>
        <xdr:cNvPr id="643085" name="Text Box 13">
          <a:extLst>
            <a:ext uri="{FF2B5EF4-FFF2-40B4-BE49-F238E27FC236}">
              <a16:creationId xmlns:a16="http://schemas.microsoft.com/office/drawing/2014/main" id="{F009FF7D-E195-6FCB-5D22-D6ECA1801B72}"/>
            </a:ext>
          </a:extLst>
        </xdr:cNvPr>
        <xdr:cNvSpPr txBox="1">
          <a:spLocks noChangeArrowheads="1"/>
        </xdr:cNvSpPr>
      </xdr:nvSpPr>
      <xdr:spPr bwMode="auto">
        <a:xfrm flipH="1" flipV="1">
          <a:off x="8989763" y="1644218"/>
          <a:ext cx="194515" cy="5046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2136 rpm</a:t>
          </a:r>
        </a:p>
      </xdr:txBody>
    </xdr:sp>
    <xdr:clientData/>
  </xdr:twoCellAnchor>
  <xdr:twoCellAnchor>
    <xdr:from>
      <xdr:col>11</xdr:col>
      <xdr:colOff>487596</xdr:colOff>
      <xdr:row>9</xdr:row>
      <xdr:rowOff>110221</xdr:rowOff>
    </xdr:from>
    <xdr:to>
      <xdr:col>13</xdr:col>
      <xdr:colOff>204178</xdr:colOff>
      <xdr:row>11</xdr:row>
      <xdr:rowOff>72354</xdr:rowOff>
    </xdr:to>
    <xdr:sp macro="" textlink="">
      <xdr:nvSpPr>
        <xdr:cNvPr id="643086" name="Text Box 14">
          <a:extLst>
            <a:ext uri="{FF2B5EF4-FFF2-40B4-BE49-F238E27FC236}">
              <a16:creationId xmlns:a16="http://schemas.microsoft.com/office/drawing/2014/main" id="{D46D0755-972E-1FA5-A7F5-2A032874FE95}"/>
            </a:ext>
          </a:extLst>
        </xdr:cNvPr>
        <xdr:cNvSpPr txBox="1">
          <a:spLocks noChangeArrowheads="1"/>
        </xdr:cNvSpPr>
      </xdr:nvSpPr>
      <xdr:spPr bwMode="auto">
        <a:xfrm>
          <a:off x="7396884" y="1560952"/>
          <a:ext cx="932852" cy="284517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Troublesome to persons</a:t>
          </a:r>
        </a:p>
      </xdr:txBody>
    </xdr:sp>
    <xdr:clientData/>
  </xdr:twoCellAnchor>
  <xdr:twoCellAnchor>
    <xdr:from>
      <xdr:col>16</xdr:col>
      <xdr:colOff>399415</xdr:colOff>
      <xdr:row>63</xdr:row>
      <xdr:rowOff>38100</xdr:rowOff>
    </xdr:from>
    <xdr:to>
      <xdr:col>18</xdr:col>
      <xdr:colOff>405992</xdr:colOff>
      <xdr:row>64</xdr:row>
      <xdr:rowOff>100478</xdr:rowOff>
    </xdr:to>
    <xdr:sp macro="" textlink="">
      <xdr:nvSpPr>
        <xdr:cNvPr id="643087" name="Text Box 15">
          <a:extLst>
            <a:ext uri="{FF2B5EF4-FFF2-40B4-BE49-F238E27FC236}">
              <a16:creationId xmlns:a16="http://schemas.microsoft.com/office/drawing/2014/main" id="{48539CC9-E41F-FA68-9C50-B0AE0F74D361}"/>
            </a:ext>
          </a:extLst>
        </xdr:cNvPr>
        <xdr:cNvSpPr txBox="1">
          <a:spLocks noChangeArrowheads="1"/>
        </xdr:cNvSpPr>
      </xdr:nvSpPr>
      <xdr:spPr bwMode="auto">
        <a:xfrm>
          <a:off x="4829175" y="8039100"/>
          <a:ext cx="11525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mooth</a:t>
          </a:r>
        </a:p>
      </xdr:txBody>
    </xdr:sp>
    <xdr:clientData/>
  </xdr:twoCellAnchor>
  <xdr:twoCellAnchor>
    <xdr:from>
      <xdr:col>16</xdr:col>
      <xdr:colOff>407670</xdr:colOff>
      <xdr:row>61</xdr:row>
      <xdr:rowOff>99060</xdr:rowOff>
    </xdr:from>
    <xdr:to>
      <xdr:col>18</xdr:col>
      <xdr:colOff>408807</xdr:colOff>
      <xdr:row>63</xdr:row>
      <xdr:rowOff>51090</xdr:rowOff>
    </xdr:to>
    <xdr:sp macro="" textlink="">
      <xdr:nvSpPr>
        <xdr:cNvPr id="643088" name="Text Box 16">
          <a:extLst>
            <a:ext uri="{FF2B5EF4-FFF2-40B4-BE49-F238E27FC236}">
              <a16:creationId xmlns:a16="http://schemas.microsoft.com/office/drawing/2014/main" id="{8BAAF23A-7A2D-9A89-23C3-E3EA076E53DF}"/>
            </a:ext>
          </a:extLst>
        </xdr:cNvPr>
        <xdr:cNvSpPr txBox="1">
          <a:spLocks noChangeArrowheads="1"/>
        </xdr:cNvSpPr>
      </xdr:nvSpPr>
      <xdr:spPr bwMode="auto">
        <a:xfrm>
          <a:off x="4819650" y="7820025"/>
          <a:ext cx="11525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smooth</a:t>
          </a:r>
        </a:p>
      </xdr:txBody>
    </xdr:sp>
    <xdr:clientData/>
  </xdr:twoCellAnchor>
  <xdr:twoCellAnchor>
    <xdr:from>
      <xdr:col>16</xdr:col>
      <xdr:colOff>405765</xdr:colOff>
      <xdr:row>60</xdr:row>
      <xdr:rowOff>62230</xdr:rowOff>
    </xdr:from>
    <xdr:to>
      <xdr:col>17</xdr:col>
      <xdr:colOff>409180</xdr:colOff>
      <xdr:row>62</xdr:row>
      <xdr:rowOff>14667</xdr:rowOff>
    </xdr:to>
    <xdr:sp macro="" textlink="">
      <xdr:nvSpPr>
        <xdr:cNvPr id="643089" name="Text Box 17">
          <a:extLst>
            <a:ext uri="{FF2B5EF4-FFF2-40B4-BE49-F238E27FC236}">
              <a16:creationId xmlns:a16="http://schemas.microsoft.com/office/drawing/2014/main" id="{F1B3DFD1-3742-97EB-8BF0-D3AFB5AD0430}"/>
            </a:ext>
          </a:extLst>
        </xdr:cNvPr>
        <xdr:cNvSpPr txBox="1">
          <a:spLocks noChangeArrowheads="1"/>
        </xdr:cNvSpPr>
      </xdr:nvSpPr>
      <xdr:spPr bwMode="auto">
        <a:xfrm>
          <a:off x="4810125" y="7639050"/>
          <a:ext cx="6667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smooth</a:t>
          </a:r>
        </a:p>
      </xdr:txBody>
    </xdr:sp>
    <xdr:clientData/>
  </xdr:twoCellAnchor>
  <xdr:twoCellAnchor>
    <xdr:from>
      <xdr:col>16</xdr:col>
      <xdr:colOff>407670</xdr:colOff>
      <xdr:row>59</xdr:row>
      <xdr:rowOff>50800</xdr:rowOff>
    </xdr:from>
    <xdr:to>
      <xdr:col>18</xdr:col>
      <xdr:colOff>57876</xdr:colOff>
      <xdr:row>60</xdr:row>
      <xdr:rowOff>145532</xdr:rowOff>
    </xdr:to>
    <xdr:sp macro="" textlink="">
      <xdr:nvSpPr>
        <xdr:cNvPr id="643090" name="Text Box 18">
          <a:extLst>
            <a:ext uri="{FF2B5EF4-FFF2-40B4-BE49-F238E27FC236}">
              <a16:creationId xmlns:a16="http://schemas.microsoft.com/office/drawing/2014/main" id="{208D6FB7-916E-BCF5-7672-2B6C3B45F2C8}"/>
            </a:ext>
          </a:extLst>
        </xdr:cNvPr>
        <xdr:cNvSpPr txBox="1">
          <a:spLocks noChangeArrowheads="1"/>
        </xdr:cNvSpPr>
      </xdr:nvSpPr>
      <xdr:spPr bwMode="auto">
        <a:xfrm>
          <a:off x="4819650" y="7477125"/>
          <a:ext cx="7239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394170</xdr:colOff>
      <xdr:row>36</xdr:row>
      <xdr:rowOff>0</xdr:rowOff>
    </xdr:to>
    <xdr:sp macro="" textlink="">
      <xdr:nvSpPr>
        <xdr:cNvPr id="643091" name="Text Box 19">
          <a:extLst>
            <a:ext uri="{FF2B5EF4-FFF2-40B4-BE49-F238E27FC236}">
              <a16:creationId xmlns:a16="http://schemas.microsoft.com/office/drawing/2014/main" id="{A8E349E7-1394-4D1F-E7DB-783C7006648B}"/>
            </a:ext>
          </a:extLst>
        </xdr:cNvPr>
        <xdr:cNvSpPr txBox="1">
          <a:spLocks noChangeArrowheads="1"/>
        </xdr:cNvSpPr>
      </xdr:nvSpPr>
      <xdr:spPr bwMode="auto">
        <a:xfrm>
          <a:off x="4838700" y="4143375"/>
          <a:ext cx="4286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396327</xdr:colOff>
      <xdr:row>36</xdr:row>
      <xdr:rowOff>0</xdr:rowOff>
    </xdr:to>
    <xdr:sp macro="" textlink="">
      <xdr:nvSpPr>
        <xdr:cNvPr id="643092" name="Text Box 20">
          <a:extLst>
            <a:ext uri="{FF2B5EF4-FFF2-40B4-BE49-F238E27FC236}">
              <a16:creationId xmlns:a16="http://schemas.microsoft.com/office/drawing/2014/main" id="{7F3D42C6-B2F0-0A64-82A4-89EDAFC28B07}"/>
            </a:ext>
          </a:extLst>
        </xdr:cNvPr>
        <xdr:cNvSpPr txBox="1">
          <a:spLocks noChangeArrowheads="1"/>
        </xdr:cNvSpPr>
      </xdr:nvSpPr>
      <xdr:spPr bwMode="auto">
        <a:xfrm>
          <a:off x="4848225" y="4143375"/>
          <a:ext cx="4286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21</xdr:col>
      <xdr:colOff>0</xdr:colOff>
      <xdr:row>61</xdr:row>
      <xdr:rowOff>76200</xdr:rowOff>
    </xdr:from>
    <xdr:to>
      <xdr:col>21</xdr:col>
      <xdr:colOff>0</xdr:colOff>
      <xdr:row>61</xdr:row>
      <xdr:rowOff>76200</xdr:rowOff>
    </xdr:to>
    <xdr:sp macro="" textlink="">
      <xdr:nvSpPr>
        <xdr:cNvPr id="3143801" name="Line 21">
          <a:extLst>
            <a:ext uri="{FF2B5EF4-FFF2-40B4-BE49-F238E27FC236}">
              <a16:creationId xmlns:a16="http://schemas.microsoft.com/office/drawing/2014/main" id="{A06751EA-341E-A111-3CB0-6E0BAD3B21E7}"/>
            </a:ext>
          </a:extLst>
        </xdr:cNvPr>
        <xdr:cNvSpPr>
          <a:spLocks noChangeShapeType="1"/>
        </xdr:cNvSpPr>
      </xdr:nvSpPr>
      <xdr:spPr bwMode="auto">
        <a:xfrm>
          <a:off x="7343775" y="8791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61</xdr:row>
      <xdr:rowOff>66675</xdr:rowOff>
    </xdr:from>
    <xdr:to>
      <xdr:col>21</xdr:col>
      <xdr:colOff>0</xdr:colOff>
      <xdr:row>61</xdr:row>
      <xdr:rowOff>66675</xdr:rowOff>
    </xdr:to>
    <xdr:sp macro="" textlink="">
      <xdr:nvSpPr>
        <xdr:cNvPr id="3143802" name="Line 22">
          <a:extLst>
            <a:ext uri="{FF2B5EF4-FFF2-40B4-BE49-F238E27FC236}">
              <a16:creationId xmlns:a16="http://schemas.microsoft.com/office/drawing/2014/main" id="{4E03582B-7E78-B8E2-C103-F871D9B2B489}"/>
            </a:ext>
          </a:extLst>
        </xdr:cNvPr>
        <xdr:cNvSpPr>
          <a:spLocks noChangeShapeType="1"/>
        </xdr:cNvSpPr>
      </xdr:nvSpPr>
      <xdr:spPr bwMode="auto">
        <a:xfrm>
          <a:off x="7343775" y="8782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76200</xdr:rowOff>
    </xdr:from>
    <xdr:to>
      <xdr:col>11</xdr:col>
      <xdr:colOff>0</xdr:colOff>
      <xdr:row>69</xdr:row>
      <xdr:rowOff>76200</xdr:rowOff>
    </xdr:to>
    <xdr:sp macro="" textlink="">
      <xdr:nvSpPr>
        <xdr:cNvPr id="3143803" name="Line 23">
          <a:extLst>
            <a:ext uri="{FF2B5EF4-FFF2-40B4-BE49-F238E27FC236}">
              <a16:creationId xmlns:a16="http://schemas.microsoft.com/office/drawing/2014/main" id="{24AFA9E7-D0CA-B9C7-8738-8E75E8185F9A}"/>
            </a:ext>
          </a:extLst>
        </xdr:cNvPr>
        <xdr:cNvSpPr>
          <a:spLocks noChangeShapeType="1"/>
        </xdr:cNvSpPr>
      </xdr:nvSpPr>
      <xdr:spPr bwMode="auto">
        <a:xfrm>
          <a:off x="1219200" y="993457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70</xdr:row>
      <xdr:rowOff>104775</xdr:rowOff>
    </xdr:from>
    <xdr:to>
      <xdr:col>11</xdr:col>
      <xdr:colOff>0</xdr:colOff>
      <xdr:row>70</xdr:row>
      <xdr:rowOff>104775</xdr:rowOff>
    </xdr:to>
    <xdr:sp macro="" textlink="">
      <xdr:nvSpPr>
        <xdr:cNvPr id="3143804" name="Line 24">
          <a:extLst>
            <a:ext uri="{FF2B5EF4-FFF2-40B4-BE49-F238E27FC236}">
              <a16:creationId xmlns:a16="http://schemas.microsoft.com/office/drawing/2014/main" id="{CFFC2F58-7E0C-F1EE-A963-1998C8CF4B6A}"/>
            </a:ext>
          </a:extLst>
        </xdr:cNvPr>
        <xdr:cNvSpPr>
          <a:spLocks noChangeShapeType="1"/>
        </xdr:cNvSpPr>
      </xdr:nvSpPr>
      <xdr:spPr bwMode="auto">
        <a:xfrm>
          <a:off x="1219200" y="10106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50</xdr:row>
      <xdr:rowOff>62230</xdr:rowOff>
    </xdr:from>
    <xdr:to>
      <xdr:col>12</xdr:col>
      <xdr:colOff>303892</xdr:colOff>
      <xdr:row>52</xdr:row>
      <xdr:rowOff>14667</xdr:rowOff>
    </xdr:to>
    <xdr:sp macro="" textlink="">
      <xdr:nvSpPr>
        <xdr:cNvPr id="643100" name="Text Box 28">
          <a:extLst>
            <a:ext uri="{FF2B5EF4-FFF2-40B4-BE49-F238E27FC236}">
              <a16:creationId xmlns:a16="http://schemas.microsoft.com/office/drawing/2014/main" id="{18D9976D-7C89-3911-A065-D477B48E7BAF}"/>
            </a:ext>
          </a:extLst>
        </xdr:cNvPr>
        <xdr:cNvSpPr txBox="1">
          <a:spLocks noChangeArrowheads="1"/>
        </xdr:cNvSpPr>
      </xdr:nvSpPr>
      <xdr:spPr bwMode="auto">
        <a:xfrm>
          <a:off x="1276350" y="6210300"/>
          <a:ext cx="857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201295</xdr:colOff>
      <xdr:row>46</xdr:row>
      <xdr:rowOff>43180</xdr:rowOff>
    </xdr:from>
    <xdr:to>
      <xdr:col>12</xdr:col>
      <xdr:colOff>411490</xdr:colOff>
      <xdr:row>48</xdr:row>
      <xdr:rowOff>1658</xdr:rowOff>
    </xdr:to>
    <xdr:sp macro="" textlink="">
      <xdr:nvSpPr>
        <xdr:cNvPr id="643101" name="Text Box 29">
          <a:extLst>
            <a:ext uri="{FF2B5EF4-FFF2-40B4-BE49-F238E27FC236}">
              <a16:creationId xmlns:a16="http://schemas.microsoft.com/office/drawing/2014/main" id="{440FFE52-EF6E-5FE8-4BF0-14B5C5251761}"/>
            </a:ext>
          </a:extLst>
        </xdr:cNvPr>
        <xdr:cNvSpPr txBox="1">
          <a:spLocks noChangeArrowheads="1"/>
        </xdr:cNvSpPr>
      </xdr:nvSpPr>
      <xdr:spPr bwMode="auto">
        <a:xfrm>
          <a:off x="1419225" y="5629275"/>
          <a:ext cx="857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43</xdr:row>
      <xdr:rowOff>43180</xdr:rowOff>
    </xdr:from>
    <xdr:to>
      <xdr:col>13</xdr:col>
      <xdr:colOff>333187</xdr:colOff>
      <xdr:row>45</xdr:row>
      <xdr:rowOff>1659</xdr:rowOff>
    </xdr:to>
    <xdr:sp macro="" textlink="">
      <xdr:nvSpPr>
        <xdr:cNvPr id="643102" name="Text Box 30">
          <a:extLst>
            <a:ext uri="{FF2B5EF4-FFF2-40B4-BE49-F238E27FC236}">
              <a16:creationId xmlns:a16="http://schemas.microsoft.com/office/drawing/2014/main" id="{AFD6FC9C-C21F-C684-89BE-46A671946E72}"/>
            </a:ext>
          </a:extLst>
        </xdr:cNvPr>
        <xdr:cNvSpPr txBox="1">
          <a:spLocks noChangeArrowheads="1"/>
        </xdr:cNvSpPr>
      </xdr:nvSpPr>
      <xdr:spPr bwMode="auto">
        <a:xfrm>
          <a:off x="1914525" y="5200650"/>
          <a:ext cx="857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Faulty</a:t>
          </a:r>
        </a:p>
      </xdr:txBody>
    </xdr:sp>
    <xdr:clientData/>
  </xdr:twoCellAnchor>
  <xdr:twoCellAnchor>
    <xdr:from>
      <xdr:col>14</xdr:col>
      <xdr:colOff>125095</xdr:colOff>
      <xdr:row>44</xdr:row>
      <xdr:rowOff>24130</xdr:rowOff>
    </xdr:from>
    <xdr:to>
      <xdr:col>16</xdr:col>
      <xdr:colOff>66584</xdr:colOff>
      <xdr:row>45</xdr:row>
      <xdr:rowOff>93763</xdr:rowOff>
    </xdr:to>
    <xdr:sp macro="" textlink="">
      <xdr:nvSpPr>
        <xdr:cNvPr id="643103" name="Text Box 31">
          <a:extLst>
            <a:ext uri="{FF2B5EF4-FFF2-40B4-BE49-F238E27FC236}">
              <a16:creationId xmlns:a16="http://schemas.microsoft.com/office/drawing/2014/main" id="{577D3F9B-6C51-0867-5991-BC84692475DA}"/>
            </a:ext>
          </a:extLst>
        </xdr:cNvPr>
        <xdr:cNvSpPr txBox="1">
          <a:spLocks noChangeArrowheads="1"/>
        </xdr:cNvSpPr>
      </xdr:nvSpPr>
      <xdr:spPr bwMode="auto">
        <a:xfrm>
          <a:off x="3171825" y="5314950"/>
          <a:ext cx="115252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16</xdr:col>
      <xdr:colOff>399415</xdr:colOff>
      <xdr:row>57</xdr:row>
      <xdr:rowOff>78105</xdr:rowOff>
    </xdr:from>
    <xdr:to>
      <xdr:col>17</xdr:col>
      <xdr:colOff>379792</xdr:colOff>
      <xdr:row>59</xdr:row>
      <xdr:rowOff>5851</xdr:rowOff>
    </xdr:to>
    <xdr:sp macro="" textlink="">
      <xdr:nvSpPr>
        <xdr:cNvPr id="643104" name="Text Box 32">
          <a:extLst>
            <a:ext uri="{FF2B5EF4-FFF2-40B4-BE49-F238E27FC236}">
              <a16:creationId xmlns:a16="http://schemas.microsoft.com/office/drawing/2014/main" id="{7A9CD890-E51A-D434-0B20-B5D68DFE9F09}"/>
            </a:ext>
          </a:extLst>
        </xdr:cNvPr>
        <xdr:cNvSpPr txBox="1">
          <a:spLocks noChangeArrowheads="1"/>
        </xdr:cNvSpPr>
      </xdr:nvSpPr>
      <xdr:spPr bwMode="auto">
        <a:xfrm>
          <a:off x="4829175" y="7219950"/>
          <a:ext cx="4286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56</xdr:row>
      <xdr:rowOff>0</xdr:rowOff>
    </xdr:from>
    <xdr:to>
      <xdr:col>17</xdr:col>
      <xdr:colOff>394170</xdr:colOff>
      <xdr:row>57</xdr:row>
      <xdr:rowOff>92969</xdr:rowOff>
    </xdr:to>
    <xdr:sp macro="" textlink="">
      <xdr:nvSpPr>
        <xdr:cNvPr id="643105" name="Text Box 33">
          <a:extLst>
            <a:ext uri="{FF2B5EF4-FFF2-40B4-BE49-F238E27FC236}">
              <a16:creationId xmlns:a16="http://schemas.microsoft.com/office/drawing/2014/main" id="{BC35878D-CE9D-2918-2257-DBCDF77782AE}"/>
            </a:ext>
          </a:extLst>
        </xdr:cNvPr>
        <xdr:cNvSpPr txBox="1">
          <a:spLocks noChangeArrowheads="1"/>
        </xdr:cNvSpPr>
      </xdr:nvSpPr>
      <xdr:spPr bwMode="auto">
        <a:xfrm>
          <a:off x="4838700" y="7000875"/>
          <a:ext cx="4286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16</xdr:col>
      <xdr:colOff>0</xdr:colOff>
      <xdr:row>135</xdr:row>
      <xdr:rowOff>0</xdr:rowOff>
    </xdr:from>
    <xdr:to>
      <xdr:col>16</xdr:col>
      <xdr:colOff>0</xdr:colOff>
      <xdr:row>135</xdr:row>
      <xdr:rowOff>37616</xdr:rowOff>
    </xdr:to>
    <xdr:sp macro="" textlink="">
      <xdr:nvSpPr>
        <xdr:cNvPr id="643107" name="Text Box 35">
          <a:extLst>
            <a:ext uri="{FF2B5EF4-FFF2-40B4-BE49-F238E27FC236}">
              <a16:creationId xmlns:a16="http://schemas.microsoft.com/office/drawing/2014/main" id="{DB14B391-5F2E-EE40-C799-74B4580A0A49}"/>
            </a:ext>
          </a:extLst>
        </xdr:cNvPr>
        <xdr:cNvSpPr txBox="1">
          <a:spLocks noChangeArrowheads="1"/>
        </xdr:cNvSpPr>
      </xdr:nvSpPr>
      <xdr:spPr bwMode="auto">
        <a:xfrm>
          <a:off x="4267200" y="21240750"/>
          <a:ext cx="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smooth</a:t>
          </a:r>
        </a:p>
      </xdr:txBody>
    </xdr:sp>
    <xdr:clientData/>
  </xdr:twoCellAnchor>
  <xdr:twoCellAnchor>
    <xdr:from>
      <xdr:col>14</xdr:col>
      <xdr:colOff>590550</xdr:colOff>
      <xdr:row>63</xdr:row>
      <xdr:rowOff>123825</xdr:rowOff>
    </xdr:from>
    <xdr:to>
      <xdr:col>16</xdr:col>
      <xdr:colOff>552450</xdr:colOff>
      <xdr:row>63</xdr:row>
      <xdr:rowOff>123825</xdr:rowOff>
    </xdr:to>
    <xdr:sp macro="" textlink="">
      <xdr:nvSpPr>
        <xdr:cNvPr id="3143816" name="Line 43">
          <a:extLst>
            <a:ext uri="{FF2B5EF4-FFF2-40B4-BE49-F238E27FC236}">
              <a16:creationId xmlns:a16="http://schemas.microsoft.com/office/drawing/2014/main" id="{30397C14-EB92-78BC-AA86-A0454B6DF304}"/>
            </a:ext>
          </a:extLst>
        </xdr:cNvPr>
        <xdr:cNvSpPr>
          <a:spLocks noChangeShapeType="1"/>
        </xdr:cNvSpPr>
      </xdr:nvSpPr>
      <xdr:spPr bwMode="auto">
        <a:xfrm>
          <a:off x="3638550" y="9124950"/>
          <a:ext cx="1181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62</xdr:row>
      <xdr:rowOff>47625</xdr:rowOff>
    </xdr:from>
    <xdr:to>
      <xdr:col>16</xdr:col>
      <xdr:colOff>533400</xdr:colOff>
      <xdr:row>62</xdr:row>
      <xdr:rowOff>47625</xdr:rowOff>
    </xdr:to>
    <xdr:sp macro="" textlink="">
      <xdr:nvSpPr>
        <xdr:cNvPr id="3143817" name="Line 44">
          <a:extLst>
            <a:ext uri="{FF2B5EF4-FFF2-40B4-BE49-F238E27FC236}">
              <a16:creationId xmlns:a16="http://schemas.microsoft.com/office/drawing/2014/main" id="{A331970B-5A73-AEB2-F545-B98FDA057CAA}"/>
            </a:ext>
          </a:extLst>
        </xdr:cNvPr>
        <xdr:cNvSpPr>
          <a:spLocks noChangeShapeType="1"/>
        </xdr:cNvSpPr>
      </xdr:nvSpPr>
      <xdr:spPr bwMode="auto">
        <a:xfrm>
          <a:off x="3810000" y="89058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61</xdr:row>
      <xdr:rowOff>0</xdr:rowOff>
    </xdr:from>
    <xdr:to>
      <xdr:col>16</xdr:col>
      <xdr:colOff>533400</xdr:colOff>
      <xdr:row>61</xdr:row>
      <xdr:rowOff>0</xdr:rowOff>
    </xdr:to>
    <xdr:sp macro="" textlink="">
      <xdr:nvSpPr>
        <xdr:cNvPr id="3143818" name="Line 45">
          <a:extLst>
            <a:ext uri="{FF2B5EF4-FFF2-40B4-BE49-F238E27FC236}">
              <a16:creationId xmlns:a16="http://schemas.microsoft.com/office/drawing/2014/main" id="{1CF76EF8-D6C6-D83A-7A00-411382AA9783}"/>
            </a:ext>
          </a:extLst>
        </xdr:cNvPr>
        <xdr:cNvSpPr>
          <a:spLocks noChangeShapeType="1"/>
        </xdr:cNvSpPr>
      </xdr:nvSpPr>
      <xdr:spPr bwMode="auto">
        <a:xfrm>
          <a:off x="3810000" y="87153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59</xdr:row>
      <xdr:rowOff>104775</xdr:rowOff>
    </xdr:from>
    <xdr:to>
      <xdr:col>16</xdr:col>
      <xdr:colOff>552450</xdr:colOff>
      <xdr:row>59</xdr:row>
      <xdr:rowOff>114300</xdr:rowOff>
    </xdr:to>
    <xdr:sp macro="" textlink="">
      <xdr:nvSpPr>
        <xdr:cNvPr id="3143819" name="Line 46">
          <a:extLst>
            <a:ext uri="{FF2B5EF4-FFF2-40B4-BE49-F238E27FC236}">
              <a16:creationId xmlns:a16="http://schemas.microsoft.com/office/drawing/2014/main" id="{A9D76A24-C841-084C-16F8-718FC90C384F}"/>
            </a:ext>
          </a:extLst>
        </xdr:cNvPr>
        <xdr:cNvSpPr>
          <a:spLocks noChangeShapeType="1"/>
        </xdr:cNvSpPr>
      </xdr:nvSpPr>
      <xdr:spPr bwMode="auto">
        <a:xfrm>
          <a:off x="3829050" y="8534400"/>
          <a:ext cx="990600" cy="95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58</xdr:row>
      <xdr:rowOff>9525</xdr:rowOff>
    </xdr:from>
    <xdr:to>
      <xdr:col>16</xdr:col>
      <xdr:colOff>552450</xdr:colOff>
      <xdr:row>58</xdr:row>
      <xdr:rowOff>9525</xdr:rowOff>
    </xdr:to>
    <xdr:sp macro="" textlink="">
      <xdr:nvSpPr>
        <xdr:cNvPr id="3143820" name="Line 47">
          <a:extLst>
            <a:ext uri="{FF2B5EF4-FFF2-40B4-BE49-F238E27FC236}">
              <a16:creationId xmlns:a16="http://schemas.microsoft.com/office/drawing/2014/main" id="{A37F2EB2-383D-272F-3E8F-0328C1EEF417}"/>
            </a:ext>
          </a:extLst>
        </xdr:cNvPr>
        <xdr:cNvSpPr>
          <a:spLocks noChangeShapeType="1"/>
        </xdr:cNvSpPr>
      </xdr:nvSpPr>
      <xdr:spPr bwMode="auto">
        <a:xfrm>
          <a:off x="3867150" y="8296275"/>
          <a:ext cx="9525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257175</xdr:colOff>
      <xdr:row>56</xdr:row>
      <xdr:rowOff>85725</xdr:rowOff>
    </xdr:from>
    <xdr:to>
      <xdr:col>16</xdr:col>
      <xdr:colOff>542925</xdr:colOff>
      <xdr:row>56</xdr:row>
      <xdr:rowOff>85725</xdr:rowOff>
    </xdr:to>
    <xdr:sp macro="" textlink="">
      <xdr:nvSpPr>
        <xdr:cNvPr id="3143821" name="Line 48">
          <a:extLst>
            <a:ext uri="{FF2B5EF4-FFF2-40B4-BE49-F238E27FC236}">
              <a16:creationId xmlns:a16="http://schemas.microsoft.com/office/drawing/2014/main" id="{9A2598B3-92CA-CF5B-38B8-76ED05088AC7}"/>
            </a:ext>
          </a:extLst>
        </xdr:cNvPr>
        <xdr:cNvSpPr>
          <a:spLocks noChangeShapeType="1"/>
        </xdr:cNvSpPr>
      </xdr:nvSpPr>
      <xdr:spPr bwMode="auto">
        <a:xfrm>
          <a:off x="3914775" y="8086725"/>
          <a:ext cx="8953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62</xdr:row>
      <xdr:rowOff>28575</xdr:rowOff>
    </xdr:from>
    <xdr:to>
      <xdr:col>13</xdr:col>
      <xdr:colOff>190500</xdr:colOff>
      <xdr:row>65</xdr:row>
      <xdr:rowOff>66675</xdr:rowOff>
    </xdr:to>
    <xdr:sp macro="" textlink="">
      <xdr:nvSpPr>
        <xdr:cNvPr id="3143822" name="Text Box 52">
          <a:extLst>
            <a:ext uri="{FF2B5EF4-FFF2-40B4-BE49-F238E27FC236}">
              <a16:creationId xmlns:a16="http://schemas.microsoft.com/office/drawing/2014/main" id="{0C64AE3A-C9C1-960B-E455-2012ACDA45A7}"/>
            </a:ext>
          </a:extLst>
        </xdr:cNvPr>
        <xdr:cNvSpPr txBox="1">
          <a:spLocks noChangeArrowheads="1"/>
        </xdr:cNvSpPr>
      </xdr:nvSpPr>
      <xdr:spPr bwMode="auto">
        <a:xfrm>
          <a:off x="2400300" y="8886825"/>
          <a:ext cx="2286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62</xdr:row>
      <xdr:rowOff>85725</xdr:rowOff>
    </xdr:from>
    <xdr:to>
      <xdr:col>12</xdr:col>
      <xdr:colOff>266700</xdr:colOff>
      <xdr:row>65</xdr:row>
      <xdr:rowOff>47625</xdr:rowOff>
    </xdr:to>
    <xdr:sp macro="" textlink="">
      <xdr:nvSpPr>
        <xdr:cNvPr id="3143823" name="Text Box 54">
          <a:extLst>
            <a:ext uri="{FF2B5EF4-FFF2-40B4-BE49-F238E27FC236}">
              <a16:creationId xmlns:a16="http://schemas.microsoft.com/office/drawing/2014/main" id="{4A8406FF-B330-867A-8CD5-B1941B64BC5E}"/>
            </a:ext>
          </a:extLst>
        </xdr:cNvPr>
        <xdr:cNvSpPr txBox="1">
          <a:spLocks noChangeArrowheads="1"/>
        </xdr:cNvSpPr>
      </xdr:nvSpPr>
      <xdr:spPr bwMode="auto">
        <a:xfrm>
          <a:off x="1905000" y="8943975"/>
          <a:ext cx="1905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190500</xdr:colOff>
      <xdr:row>29</xdr:row>
      <xdr:rowOff>133350</xdr:rowOff>
    </xdr:from>
    <xdr:to>
      <xdr:col>13</xdr:col>
      <xdr:colOff>581025</xdr:colOff>
      <xdr:row>33</xdr:row>
      <xdr:rowOff>38100</xdr:rowOff>
    </xdr:to>
    <xdr:sp macro="" textlink="">
      <xdr:nvSpPr>
        <xdr:cNvPr id="3143824" name="Text Box 56">
          <a:extLst>
            <a:ext uri="{FF2B5EF4-FFF2-40B4-BE49-F238E27FC236}">
              <a16:creationId xmlns:a16="http://schemas.microsoft.com/office/drawing/2014/main" id="{EC83424B-74FF-3ABF-618C-E0C58A990AFC}"/>
            </a:ext>
          </a:extLst>
        </xdr:cNvPr>
        <xdr:cNvSpPr txBox="1">
          <a:spLocks noChangeArrowheads="1"/>
        </xdr:cNvSpPr>
      </xdr:nvSpPr>
      <xdr:spPr bwMode="auto">
        <a:xfrm>
          <a:off x="2628900" y="4276725"/>
          <a:ext cx="3905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201244</xdr:colOff>
      <xdr:row>17</xdr:row>
      <xdr:rowOff>4008</xdr:rowOff>
    </xdr:from>
    <xdr:to>
      <xdr:col>18</xdr:col>
      <xdr:colOff>516642</xdr:colOff>
      <xdr:row>18</xdr:row>
      <xdr:rowOff>137095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C3B4753-DB87-A423-2AD2-105D4B6B995E}"/>
            </a:ext>
          </a:extLst>
        </xdr:cNvPr>
        <xdr:cNvSpPr txBox="1"/>
      </xdr:nvSpPr>
      <xdr:spPr>
        <a:xfrm>
          <a:off x="10192468" y="2731166"/>
          <a:ext cx="1538608" cy="2935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Vendor</a:t>
          </a:r>
          <a:r>
            <a:rPr lang="en-US" sz="1000" baseline="0">
              <a:solidFill>
                <a:srgbClr val="FF0000"/>
              </a:solidFill>
            </a:rPr>
            <a:t> Limit = 0.7 mm/s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142265</xdr:colOff>
      <xdr:row>13</xdr:row>
      <xdr:rowOff>140691</xdr:rowOff>
    </xdr:from>
    <xdr:to>
      <xdr:col>19</xdr:col>
      <xdr:colOff>67946</xdr:colOff>
      <xdr:row>15</xdr:row>
      <xdr:rowOff>118637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F74C1B-0877-DAB3-FCE4-8D4247AD8D2E}"/>
            </a:ext>
          </a:extLst>
        </xdr:cNvPr>
        <xdr:cNvSpPr txBox="1"/>
      </xdr:nvSpPr>
      <xdr:spPr>
        <a:xfrm>
          <a:off x="10700361" y="2236191"/>
          <a:ext cx="1156604" cy="3003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Industry</a:t>
          </a:r>
          <a:r>
            <a:rPr lang="en-US" sz="1000" baseline="0">
              <a:solidFill>
                <a:srgbClr val="FF0000"/>
              </a:solidFill>
            </a:rPr>
            <a:t> Limit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0.01077</cdr:x>
      <cdr:y>0.0122</cdr:y>
    </cdr:from>
    <cdr:to>
      <cdr:x>0.14929</cdr:x>
      <cdr:y>0.1303</cdr:y>
    </cdr:to>
    <cdr:sp macro="" textlink="">
      <cdr:nvSpPr>
        <cdr:cNvPr id="64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666583" cy="477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0.01053</cdr:x>
      <cdr:y>0.06494</cdr:y>
    </cdr:from>
    <cdr:to>
      <cdr:x>0.0771</cdr:x>
      <cdr:y>0.28791</cdr:y>
    </cdr:to>
    <cdr:sp macro="" textlink="">
      <cdr:nvSpPr>
        <cdr:cNvPr id="64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315575" cy="163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40</xdr:row>
      <xdr:rowOff>0</xdr:rowOff>
    </xdr:from>
    <xdr:to>
      <xdr:col>16</xdr:col>
      <xdr:colOff>485775</xdr:colOff>
      <xdr:row>67</xdr:row>
      <xdr:rowOff>114300</xdr:rowOff>
    </xdr:to>
    <xdr:graphicFrame macro="">
      <xdr:nvGraphicFramePr>
        <xdr:cNvPr id="2" name="Chart 27">
          <a:extLst>
            <a:ext uri="{FF2B5EF4-FFF2-40B4-BE49-F238E27FC236}">
              <a16:creationId xmlns:a16="http://schemas.microsoft.com/office/drawing/2014/main" id="{203AB4DA-BDF9-4FA8-B187-1B11268C2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5</xdr:row>
      <xdr:rowOff>104776</xdr:rowOff>
    </xdr:from>
    <xdr:to>
      <xdr:col>19</xdr:col>
      <xdr:colOff>57150</xdr:colOff>
      <xdr:row>32</xdr:row>
      <xdr:rowOff>33130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1814126-B274-4B90-9342-F89848606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11</xdr:col>
      <xdr:colOff>88510</xdr:colOff>
      <xdr:row>16</xdr:row>
      <xdr:rowOff>150886</xdr:rowOff>
    </xdr:from>
    <xdr:to>
      <xdr:col>12</xdr:col>
      <xdr:colOff>232398</xdr:colOff>
      <xdr:row>19</xdr:row>
      <xdr:rowOff>62715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63586387-68D7-40DC-B582-A98047F7BA77}"/>
            </a:ext>
          </a:extLst>
        </xdr:cNvPr>
        <xdr:cNvSpPr txBox="1">
          <a:spLocks noChangeArrowheads="1"/>
        </xdr:cNvSpPr>
      </xdr:nvSpPr>
      <xdr:spPr bwMode="auto">
        <a:xfrm>
          <a:off x="7003660" y="2741686"/>
          <a:ext cx="753488" cy="39760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 noticeable to persons</a:t>
          </a:r>
        </a:p>
      </xdr:txBody>
    </xdr:sp>
    <xdr:clientData/>
  </xdr:twoCellAnchor>
  <xdr:twoCellAnchor>
    <xdr:from>
      <xdr:col>11</xdr:col>
      <xdr:colOff>294358</xdr:colOff>
      <xdr:row>14</xdr:row>
      <xdr:rowOff>131562</xdr:rowOff>
    </xdr:from>
    <xdr:to>
      <xdr:col>12</xdr:col>
      <xdr:colOff>598813</xdr:colOff>
      <xdr:row>16</xdr:row>
      <xdr:rowOff>56326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17F96656-6160-40F3-813C-6064214DD52E}"/>
            </a:ext>
          </a:extLst>
        </xdr:cNvPr>
        <xdr:cNvSpPr txBox="1">
          <a:spLocks noChangeArrowheads="1"/>
        </xdr:cNvSpPr>
      </xdr:nvSpPr>
      <xdr:spPr bwMode="auto">
        <a:xfrm>
          <a:off x="7209508" y="2398512"/>
          <a:ext cx="914055" cy="24861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Barely noticeable to persons</a:t>
          </a:r>
        </a:p>
      </xdr:txBody>
    </xdr:sp>
    <xdr:clientData/>
  </xdr:twoCellAnchor>
  <xdr:twoCellAnchor>
    <xdr:from>
      <xdr:col>11</xdr:col>
      <xdr:colOff>327880</xdr:colOff>
      <xdr:row>12</xdr:row>
      <xdr:rowOff>46112</xdr:rowOff>
    </xdr:from>
    <xdr:to>
      <xdr:col>13</xdr:col>
      <xdr:colOff>21981</xdr:colOff>
      <xdr:row>13</xdr:row>
      <xdr:rowOff>139212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A8F0A0D1-6AFB-48C3-A030-E974EF5DE4DD}"/>
            </a:ext>
          </a:extLst>
        </xdr:cNvPr>
        <xdr:cNvSpPr txBox="1">
          <a:spLocks noChangeArrowheads="1"/>
        </xdr:cNvSpPr>
      </xdr:nvSpPr>
      <xdr:spPr bwMode="auto">
        <a:xfrm>
          <a:off x="7243030" y="1989212"/>
          <a:ext cx="913301" cy="25502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Easily noticeable to persons</a:t>
          </a:r>
        </a:p>
      </xdr:txBody>
    </xdr:sp>
    <xdr:clientData/>
  </xdr:twoCellAnchor>
  <xdr:twoCellAnchor>
    <xdr:from>
      <xdr:col>9</xdr:col>
      <xdr:colOff>238125</xdr:colOff>
      <xdr:row>36</xdr:row>
      <xdr:rowOff>0</xdr:rowOff>
    </xdr:from>
    <xdr:to>
      <xdr:col>16</xdr:col>
      <xdr:colOff>485775</xdr:colOff>
      <xdr:row>36</xdr:row>
      <xdr:rowOff>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76023CD1-0356-4315-A2A6-5B14C54D5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36</xdr:row>
      <xdr:rowOff>0</xdr:rowOff>
    </xdr:from>
    <xdr:to>
      <xdr:col>12</xdr:col>
      <xdr:colOff>303892</xdr:colOff>
      <xdr:row>36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05B47EED-344E-4BFD-9E62-9DF7871A0AB0}"/>
            </a:ext>
          </a:extLst>
        </xdr:cNvPr>
        <xdr:cNvSpPr txBox="1">
          <a:spLocks noChangeArrowheads="1"/>
        </xdr:cNvSpPr>
      </xdr:nvSpPr>
      <xdr:spPr bwMode="auto">
        <a:xfrm>
          <a:off x="6972300" y="5829300"/>
          <a:ext cx="85634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296545</xdr:colOff>
      <xdr:row>36</xdr:row>
      <xdr:rowOff>0</xdr:rowOff>
    </xdr:from>
    <xdr:to>
      <xdr:col>12</xdr:col>
      <xdr:colOff>406598</xdr:colOff>
      <xdr:row>36</xdr:row>
      <xdr:rowOff>0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02C5EAF4-60EA-4044-840A-F095B948477E}"/>
            </a:ext>
          </a:extLst>
        </xdr:cNvPr>
        <xdr:cNvSpPr txBox="1">
          <a:spLocks noChangeArrowheads="1"/>
        </xdr:cNvSpPr>
      </xdr:nvSpPr>
      <xdr:spPr bwMode="auto">
        <a:xfrm>
          <a:off x="7211695" y="5829300"/>
          <a:ext cx="71965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36</xdr:row>
      <xdr:rowOff>0</xdr:rowOff>
    </xdr:from>
    <xdr:to>
      <xdr:col>13</xdr:col>
      <xdr:colOff>333187</xdr:colOff>
      <xdr:row>36</xdr:row>
      <xdr:rowOff>0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8688B26C-5401-46AF-A651-6608A47B5021}"/>
            </a:ext>
          </a:extLst>
        </xdr:cNvPr>
        <xdr:cNvSpPr txBox="1">
          <a:spLocks noChangeArrowheads="1"/>
        </xdr:cNvSpPr>
      </xdr:nvSpPr>
      <xdr:spPr bwMode="auto">
        <a:xfrm>
          <a:off x="7611745" y="5829300"/>
          <a:ext cx="85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</a:t>
          </a:r>
        </a:p>
      </xdr:txBody>
    </xdr:sp>
    <xdr:clientData/>
  </xdr:twoCellAnchor>
  <xdr:twoCellAnchor>
    <xdr:from>
      <xdr:col>14</xdr:col>
      <xdr:colOff>12700</xdr:colOff>
      <xdr:row>36</xdr:row>
      <xdr:rowOff>0</xdr:rowOff>
    </xdr:from>
    <xdr:to>
      <xdr:col>15</xdr:col>
      <xdr:colOff>407515</xdr:colOff>
      <xdr:row>36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307504DB-503B-4E10-8C23-9942C810D99D}"/>
            </a:ext>
          </a:extLst>
        </xdr:cNvPr>
        <xdr:cNvSpPr txBox="1">
          <a:spLocks noChangeArrowheads="1"/>
        </xdr:cNvSpPr>
      </xdr:nvSpPr>
      <xdr:spPr bwMode="auto">
        <a:xfrm>
          <a:off x="8756650" y="5829300"/>
          <a:ext cx="100441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13</xdr:col>
      <xdr:colOff>375675</xdr:colOff>
      <xdr:row>10</xdr:row>
      <xdr:rowOff>53460</xdr:rowOff>
    </xdr:from>
    <xdr:to>
      <xdr:col>13</xdr:col>
      <xdr:colOff>568557</xdr:colOff>
      <xdr:row>13</xdr:row>
      <xdr:rowOff>111649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1D564A43-09D2-428D-A9E5-8A16E4DC94C2}"/>
            </a:ext>
          </a:extLst>
        </xdr:cNvPr>
        <xdr:cNvSpPr txBox="1">
          <a:spLocks noChangeArrowheads="1"/>
        </xdr:cNvSpPr>
      </xdr:nvSpPr>
      <xdr:spPr bwMode="auto">
        <a:xfrm flipV="1">
          <a:off x="8510025" y="1672710"/>
          <a:ext cx="192882" cy="5439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1424 rpm</a:t>
          </a:r>
        </a:p>
      </xdr:txBody>
    </xdr:sp>
    <xdr:clientData/>
  </xdr:twoCellAnchor>
  <xdr:twoCellAnchor>
    <xdr:from>
      <xdr:col>13</xdr:col>
      <xdr:colOff>553480</xdr:colOff>
      <xdr:row>10</xdr:row>
      <xdr:rowOff>35224</xdr:rowOff>
    </xdr:from>
    <xdr:to>
      <xdr:col>14</xdr:col>
      <xdr:colOff>123057</xdr:colOff>
      <xdr:row>13</xdr:row>
      <xdr:rowOff>69010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880EC844-DD31-449B-BC76-8FDCEB933150}"/>
            </a:ext>
          </a:extLst>
        </xdr:cNvPr>
        <xdr:cNvSpPr txBox="1">
          <a:spLocks noChangeArrowheads="1"/>
        </xdr:cNvSpPr>
      </xdr:nvSpPr>
      <xdr:spPr bwMode="auto">
        <a:xfrm flipV="1">
          <a:off x="8687830" y="1654474"/>
          <a:ext cx="179177" cy="5195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1780 rpm</a:t>
          </a:r>
        </a:p>
      </xdr:txBody>
    </xdr:sp>
    <xdr:clientData/>
  </xdr:twoCellAnchor>
  <xdr:twoCellAnchor>
    <xdr:from>
      <xdr:col>14</xdr:col>
      <xdr:colOff>231093</xdr:colOff>
      <xdr:row>10</xdr:row>
      <xdr:rowOff>42286</xdr:rowOff>
    </xdr:from>
    <xdr:to>
      <xdr:col>14</xdr:col>
      <xdr:colOff>425608</xdr:colOff>
      <xdr:row>13</xdr:row>
      <xdr:rowOff>66350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D4D37C59-7E41-4D7B-B50B-9A93469C08AA}"/>
            </a:ext>
          </a:extLst>
        </xdr:cNvPr>
        <xdr:cNvSpPr txBox="1">
          <a:spLocks noChangeArrowheads="1"/>
        </xdr:cNvSpPr>
      </xdr:nvSpPr>
      <xdr:spPr bwMode="auto">
        <a:xfrm flipH="1" flipV="1">
          <a:off x="8975043" y="1661536"/>
          <a:ext cx="194515" cy="5098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2136 rpm</a:t>
          </a:r>
        </a:p>
      </xdr:txBody>
    </xdr:sp>
    <xdr:clientData/>
  </xdr:twoCellAnchor>
  <xdr:twoCellAnchor>
    <xdr:from>
      <xdr:col>11</xdr:col>
      <xdr:colOff>487596</xdr:colOff>
      <xdr:row>9</xdr:row>
      <xdr:rowOff>110221</xdr:rowOff>
    </xdr:from>
    <xdr:to>
      <xdr:col>13</xdr:col>
      <xdr:colOff>204178</xdr:colOff>
      <xdr:row>11</xdr:row>
      <xdr:rowOff>72354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1E918AD0-6DDB-4C72-9311-05FABBDD5276}"/>
            </a:ext>
          </a:extLst>
        </xdr:cNvPr>
        <xdr:cNvSpPr txBox="1">
          <a:spLocks noChangeArrowheads="1"/>
        </xdr:cNvSpPr>
      </xdr:nvSpPr>
      <xdr:spPr bwMode="auto">
        <a:xfrm>
          <a:off x="7402746" y="1567546"/>
          <a:ext cx="935782" cy="285983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Troublesome to persons</a:t>
          </a:r>
        </a:p>
      </xdr:txBody>
    </xdr:sp>
    <xdr:clientData/>
  </xdr:twoCellAnchor>
  <xdr:twoCellAnchor>
    <xdr:from>
      <xdr:col>16</xdr:col>
      <xdr:colOff>399415</xdr:colOff>
      <xdr:row>63</xdr:row>
      <xdr:rowOff>38100</xdr:rowOff>
    </xdr:from>
    <xdr:to>
      <xdr:col>18</xdr:col>
      <xdr:colOff>405992</xdr:colOff>
      <xdr:row>64</xdr:row>
      <xdr:rowOff>100478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856CFA5C-10F7-473B-AD66-5163FE0E24A8}"/>
            </a:ext>
          </a:extLst>
        </xdr:cNvPr>
        <xdr:cNvSpPr txBox="1">
          <a:spLocks noChangeArrowheads="1"/>
        </xdr:cNvSpPr>
      </xdr:nvSpPr>
      <xdr:spPr bwMode="auto">
        <a:xfrm>
          <a:off x="10362565" y="10239375"/>
          <a:ext cx="1225777" cy="224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mooth</a:t>
          </a:r>
        </a:p>
      </xdr:txBody>
    </xdr:sp>
    <xdr:clientData/>
  </xdr:twoCellAnchor>
  <xdr:twoCellAnchor>
    <xdr:from>
      <xdr:col>16</xdr:col>
      <xdr:colOff>407670</xdr:colOff>
      <xdr:row>61</xdr:row>
      <xdr:rowOff>99060</xdr:rowOff>
    </xdr:from>
    <xdr:to>
      <xdr:col>18</xdr:col>
      <xdr:colOff>408807</xdr:colOff>
      <xdr:row>63</xdr:row>
      <xdr:rowOff>51090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2C867DDE-EEFA-4297-ABB5-4E23C45DD927}"/>
            </a:ext>
          </a:extLst>
        </xdr:cNvPr>
        <xdr:cNvSpPr txBox="1">
          <a:spLocks noChangeArrowheads="1"/>
        </xdr:cNvSpPr>
      </xdr:nvSpPr>
      <xdr:spPr bwMode="auto">
        <a:xfrm>
          <a:off x="10370820" y="9976485"/>
          <a:ext cx="1220337" cy="275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smooth</a:t>
          </a:r>
        </a:p>
      </xdr:txBody>
    </xdr:sp>
    <xdr:clientData/>
  </xdr:twoCellAnchor>
  <xdr:twoCellAnchor>
    <xdr:from>
      <xdr:col>16</xdr:col>
      <xdr:colOff>405765</xdr:colOff>
      <xdr:row>60</xdr:row>
      <xdr:rowOff>62230</xdr:rowOff>
    </xdr:from>
    <xdr:to>
      <xdr:col>17</xdr:col>
      <xdr:colOff>409180</xdr:colOff>
      <xdr:row>62</xdr:row>
      <xdr:rowOff>14667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4FD39CFD-4098-482B-A34D-0351B743ACEF}"/>
            </a:ext>
          </a:extLst>
        </xdr:cNvPr>
        <xdr:cNvSpPr txBox="1">
          <a:spLocks noChangeArrowheads="1"/>
        </xdr:cNvSpPr>
      </xdr:nvSpPr>
      <xdr:spPr bwMode="auto">
        <a:xfrm>
          <a:off x="10368915" y="9777730"/>
          <a:ext cx="613015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smooth</a:t>
          </a:r>
        </a:p>
      </xdr:txBody>
    </xdr:sp>
    <xdr:clientData/>
  </xdr:twoCellAnchor>
  <xdr:twoCellAnchor>
    <xdr:from>
      <xdr:col>16</xdr:col>
      <xdr:colOff>407670</xdr:colOff>
      <xdr:row>59</xdr:row>
      <xdr:rowOff>50800</xdr:rowOff>
    </xdr:from>
    <xdr:to>
      <xdr:col>18</xdr:col>
      <xdr:colOff>57876</xdr:colOff>
      <xdr:row>60</xdr:row>
      <xdr:rowOff>145532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8FED9510-A09E-4BBB-A45C-63CB81E355B9}"/>
            </a:ext>
          </a:extLst>
        </xdr:cNvPr>
        <xdr:cNvSpPr txBox="1">
          <a:spLocks noChangeArrowheads="1"/>
        </xdr:cNvSpPr>
      </xdr:nvSpPr>
      <xdr:spPr bwMode="auto">
        <a:xfrm>
          <a:off x="10370820" y="9604375"/>
          <a:ext cx="869406" cy="2566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394170</xdr:colOff>
      <xdr:row>36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82B27D1F-F019-4708-AE31-698278875910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59800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396327</xdr:colOff>
      <xdr:row>36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AF487379-BAE3-4FC1-AFE4-D7E1D139E75D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60016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21</xdr:col>
      <xdr:colOff>0</xdr:colOff>
      <xdr:row>61</xdr:row>
      <xdr:rowOff>76200</xdr:rowOff>
    </xdr:from>
    <xdr:to>
      <xdr:col>21</xdr:col>
      <xdr:colOff>0</xdr:colOff>
      <xdr:row>61</xdr:row>
      <xdr:rowOff>76200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49D28312-138C-4522-BDBF-53FE3B1CA3CE}"/>
            </a:ext>
          </a:extLst>
        </xdr:cNvPr>
        <xdr:cNvSpPr>
          <a:spLocks noChangeShapeType="1"/>
        </xdr:cNvSpPr>
      </xdr:nvSpPr>
      <xdr:spPr bwMode="auto">
        <a:xfrm>
          <a:off x="13039725" y="9953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61</xdr:row>
      <xdr:rowOff>66675</xdr:rowOff>
    </xdr:from>
    <xdr:to>
      <xdr:col>21</xdr:col>
      <xdr:colOff>0</xdr:colOff>
      <xdr:row>61</xdr:row>
      <xdr:rowOff>66675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58DEE8E5-0A13-4671-85C6-A047884F1463}"/>
            </a:ext>
          </a:extLst>
        </xdr:cNvPr>
        <xdr:cNvSpPr>
          <a:spLocks noChangeShapeType="1"/>
        </xdr:cNvSpPr>
      </xdr:nvSpPr>
      <xdr:spPr bwMode="auto">
        <a:xfrm>
          <a:off x="13039725" y="9944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76200</xdr:rowOff>
    </xdr:from>
    <xdr:to>
      <xdr:col>11</xdr:col>
      <xdr:colOff>0</xdr:colOff>
      <xdr:row>69</xdr:row>
      <xdr:rowOff>76200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65C023EE-869B-4DBC-A2A4-454BCA707B14}"/>
            </a:ext>
          </a:extLst>
        </xdr:cNvPr>
        <xdr:cNvSpPr>
          <a:spLocks noChangeShapeType="1"/>
        </xdr:cNvSpPr>
      </xdr:nvSpPr>
      <xdr:spPr bwMode="auto">
        <a:xfrm>
          <a:off x="6915150" y="11249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70</xdr:row>
      <xdr:rowOff>104775</xdr:rowOff>
    </xdr:from>
    <xdr:to>
      <xdr:col>11</xdr:col>
      <xdr:colOff>0</xdr:colOff>
      <xdr:row>70</xdr:row>
      <xdr:rowOff>104775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81391EA2-F885-4424-8CDE-594541878F62}"/>
            </a:ext>
          </a:extLst>
        </xdr:cNvPr>
        <xdr:cNvSpPr>
          <a:spLocks noChangeShapeType="1"/>
        </xdr:cNvSpPr>
      </xdr:nvSpPr>
      <xdr:spPr bwMode="auto">
        <a:xfrm>
          <a:off x="6915150" y="114395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50</xdr:row>
      <xdr:rowOff>62230</xdr:rowOff>
    </xdr:from>
    <xdr:to>
      <xdr:col>12</xdr:col>
      <xdr:colOff>303892</xdr:colOff>
      <xdr:row>52</xdr:row>
      <xdr:rowOff>14667</xdr:rowOff>
    </xdr:to>
    <xdr:sp macro="" textlink="">
      <xdr:nvSpPr>
        <xdr:cNvPr id="26" name="Text Box 28">
          <a:extLst>
            <a:ext uri="{FF2B5EF4-FFF2-40B4-BE49-F238E27FC236}">
              <a16:creationId xmlns:a16="http://schemas.microsoft.com/office/drawing/2014/main" id="{C97D72CD-9B6A-4F08-B511-AF5FBDE4595A}"/>
            </a:ext>
          </a:extLst>
        </xdr:cNvPr>
        <xdr:cNvSpPr txBox="1">
          <a:spLocks noChangeArrowheads="1"/>
        </xdr:cNvSpPr>
      </xdr:nvSpPr>
      <xdr:spPr bwMode="auto">
        <a:xfrm>
          <a:off x="6972300" y="8158480"/>
          <a:ext cx="856342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201295</xdr:colOff>
      <xdr:row>46</xdr:row>
      <xdr:rowOff>43180</xdr:rowOff>
    </xdr:from>
    <xdr:to>
      <xdr:col>12</xdr:col>
      <xdr:colOff>411490</xdr:colOff>
      <xdr:row>48</xdr:row>
      <xdr:rowOff>1658</xdr:rowOff>
    </xdr:to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C335EB9F-C18B-4934-80CB-67E00B5EECCE}"/>
            </a:ext>
          </a:extLst>
        </xdr:cNvPr>
        <xdr:cNvSpPr txBox="1">
          <a:spLocks noChangeArrowheads="1"/>
        </xdr:cNvSpPr>
      </xdr:nvSpPr>
      <xdr:spPr bwMode="auto">
        <a:xfrm>
          <a:off x="7116445" y="7491730"/>
          <a:ext cx="819795" cy="2823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43</xdr:row>
      <xdr:rowOff>43180</xdr:rowOff>
    </xdr:from>
    <xdr:to>
      <xdr:col>13</xdr:col>
      <xdr:colOff>333187</xdr:colOff>
      <xdr:row>45</xdr:row>
      <xdr:rowOff>1659</xdr:rowOff>
    </xdr:to>
    <xdr:sp macro="" textlink="">
      <xdr:nvSpPr>
        <xdr:cNvPr id="28" name="Text Box 30">
          <a:extLst>
            <a:ext uri="{FF2B5EF4-FFF2-40B4-BE49-F238E27FC236}">
              <a16:creationId xmlns:a16="http://schemas.microsoft.com/office/drawing/2014/main" id="{048A22DD-B8C9-4042-974F-A0A3251DB220}"/>
            </a:ext>
          </a:extLst>
        </xdr:cNvPr>
        <xdr:cNvSpPr txBox="1">
          <a:spLocks noChangeArrowheads="1"/>
        </xdr:cNvSpPr>
      </xdr:nvSpPr>
      <xdr:spPr bwMode="auto">
        <a:xfrm>
          <a:off x="7611745" y="7005955"/>
          <a:ext cx="855792" cy="2823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Faulty</a:t>
          </a:r>
        </a:p>
      </xdr:txBody>
    </xdr:sp>
    <xdr:clientData/>
  </xdr:twoCellAnchor>
  <xdr:twoCellAnchor>
    <xdr:from>
      <xdr:col>14</xdr:col>
      <xdr:colOff>125095</xdr:colOff>
      <xdr:row>44</xdr:row>
      <xdr:rowOff>24130</xdr:rowOff>
    </xdr:from>
    <xdr:to>
      <xdr:col>16</xdr:col>
      <xdr:colOff>66584</xdr:colOff>
      <xdr:row>45</xdr:row>
      <xdr:rowOff>93763</xdr:rowOff>
    </xdr:to>
    <xdr:sp macro="" textlink="">
      <xdr:nvSpPr>
        <xdr:cNvPr id="29" name="Text Box 31">
          <a:extLst>
            <a:ext uri="{FF2B5EF4-FFF2-40B4-BE49-F238E27FC236}">
              <a16:creationId xmlns:a16="http://schemas.microsoft.com/office/drawing/2014/main" id="{C8980BF3-A38C-4CA3-8BF5-C972177BB0E1}"/>
            </a:ext>
          </a:extLst>
        </xdr:cNvPr>
        <xdr:cNvSpPr txBox="1">
          <a:spLocks noChangeArrowheads="1"/>
        </xdr:cNvSpPr>
      </xdr:nvSpPr>
      <xdr:spPr bwMode="auto">
        <a:xfrm>
          <a:off x="8869045" y="7148830"/>
          <a:ext cx="1160689" cy="231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16</xdr:col>
      <xdr:colOff>399415</xdr:colOff>
      <xdr:row>57</xdr:row>
      <xdr:rowOff>78105</xdr:rowOff>
    </xdr:from>
    <xdr:to>
      <xdr:col>17</xdr:col>
      <xdr:colOff>379792</xdr:colOff>
      <xdr:row>59</xdr:row>
      <xdr:rowOff>5851</xdr:rowOff>
    </xdr:to>
    <xdr:sp macro="" textlink="">
      <xdr:nvSpPr>
        <xdr:cNvPr id="30" name="Text Box 32">
          <a:extLst>
            <a:ext uri="{FF2B5EF4-FFF2-40B4-BE49-F238E27FC236}">
              <a16:creationId xmlns:a16="http://schemas.microsoft.com/office/drawing/2014/main" id="{3A9991B7-F87D-4981-BC4A-6FADF6A076B4}"/>
            </a:ext>
          </a:extLst>
        </xdr:cNvPr>
        <xdr:cNvSpPr txBox="1">
          <a:spLocks noChangeArrowheads="1"/>
        </xdr:cNvSpPr>
      </xdr:nvSpPr>
      <xdr:spPr bwMode="auto">
        <a:xfrm>
          <a:off x="10362565" y="9307830"/>
          <a:ext cx="589977" cy="251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56</xdr:row>
      <xdr:rowOff>0</xdr:rowOff>
    </xdr:from>
    <xdr:to>
      <xdr:col>17</xdr:col>
      <xdr:colOff>394170</xdr:colOff>
      <xdr:row>57</xdr:row>
      <xdr:rowOff>92969</xdr:rowOff>
    </xdr:to>
    <xdr:sp macro="" textlink="">
      <xdr:nvSpPr>
        <xdr:cNvPr id="31" name="Text Box 33">
          <a:extLst>
            <a:ext uri="{FF2B5EF4-FFF2-40B4-BE49-F238E27FC236}">
              <a16:creationId xmlns:a16="http://schemas.microsoft.com/office/drawing/2014/main" id="{2D4F9D32-2623-489C-8521-34E2150A385C}"/>
            </a:ext>
          </a:extLst>
        </xdr:cNvPr>
        <xdr:cNvSpPr txBox="1">
          <a:spLocks noChangeArrowheads="1"/>
        </xdr:cNvSpPr>
      </xdr:nvSpPr>
      <xdr:spPr bwMode="auto">
        <a:xfrm>
          <a:off x="10368915" y="9067800"/>
          <a:ext cx="598005" cy="25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16</xdr:col>
      <xdr:colOff>0</xdr:colOff>
      <xdr:row>135</xdr:row>
      <xdr:rowOff>0</xdr:rowOff>
    </xdr:from>
    <xdr:to>
      <xdr:col>16</xdr:col>
      <xdr:colOff>0</xdr:colOff>
      <xdr:row>135</xdr:row>
      <xdr:rowOff>37616</xdr:rowOff>
    </xdr:to>
    <xdr:sp macro="" textlink="">
      <xdr:nvSpPr>
        <xdr:cNvPr id="32" name="Text Box 35">
          <a:extLst>
            <a:ext uri="{FF2B5EF4-FFF2-40B4-BE49-F238E27FC236}">
              <a16:creationId xmlns:a16="http://schemas.microsoft.com/office/drawing/2014/main" id="{0F2F0972-09D4-41C5-A2FA-5EB90D89E4B4}"/>
            </a:ext>
          </a:extLst>
        </xdr:cNvPr>
        <xdr:cNvSpPr txBox="1">
          <a:spLocks noChangeArrowheads="1"/>
        </xdr:cNvSpPr>
      </xdr:nvSpPr>
      <xdr:spPr bwMode="auto">
        <a:xfrm>
          <a:off x="9963150" y="21859875"/>
          <a:ext cx="0" cy="376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smooth</a:t>
          </a:r>
        </a:p>
      </xdr:txBody>
    </xdr:sp>
    <xdr:clientData/>
  </xdr:twoCellAnchor>
  <xdr:twoCellAnchor>
    <xdr:from>
      <xdr:col>14</xdr:col>
      <xdr:colOff>590550</xdr:colOff>
      <xdr:row>63</xdr:row>
      <xdr:rowOff>123825</xdr:rowOff>
    </xdr:from>
    <xdr:to>
      <xdr:col>16</xdr:col>
      <xdr:colOff>552450</xdr:colOff>
      <xdr:row>63</xdr:row>
      <xdr:rowOff>123825</xdr:rowOff>
    </xdr:to>
    <xdr:sp macro="" textlink="">
      <xdr:nvSpPr>
        <xdr:cNvPr id="33" name="Line 43">
          <a:extLst>
            <a:ext uri="{FF2B5EF4-FFF2-40B4-BE49-F238E27FC236}">
              <a16:creationId xmlns:a16="http://schemas.microsoft.com/office/drawing/2014/main" id="{1909F416-2D1F-40D4-895C-B3AC34CBA480}"/>
            </a:ext>
          </a:extLst>
        </xdr:cNvPr>
        <xdr:cNvSpPr>
          <a:spLocks noChangeShapeType="1"/>
        </xdr:cNvSpPr>
      </xdr:nvSpPr>
      <xdr:spPr bwMode="auto">
        <a:xfrm>
          <a:off x="9334500" y="10325100"/>
          <a:ext cx="1181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62</xdr:row>
      <xdr:rowOff>47625</xdr:rowOff>
    </xdr:from>
    <xdr:to>
      <xdr:col>16</xdr:col>
      <xdr:colOff>533400</xdr:colOff>
      <xdr:row>62</xdr:row>
      <xdr:rowOff>47625</xdr:rowOff>
    </xdr:to>
    <xdr:sp macro="" textlink="">
      <xdr:nvSpPr>
        <xdr:cNvPr id="34" name="Line 44">
          <a:extLst>
            <a:ext uri="{FF2B5EF4-FFF2-40B4-BE49-F238E27FC236}">
              <a16:creationId xmlns:a16="http://schemas.microsoft.com/office/drawing/2014/main" id="{3FB855FD-FF44-490B-8E15-77CC57CDD929}"/>
            </a:ext>
          </a:extLst>
        </xdr:cNvPr>
        <xdr:cNvSpPr>
          <a:spLocks noChangeShapeType="1"/>
        </xdr:cNvSpPr>
      </xdr:nvSpPr>
      <xdr:spPr bwMode="auto">
        <a:xfrm>
          <a:off x="9505950" y="100869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61</xdr:row>
      <xdr:rowOff>0</xdr:rowOff>
    </xdr:from>
    <xdr:to>
      <xdr:col>16</xdr:col>
      <xdr:colOff>533400</xdr:colOff>
      <xdr:row>61</xdr:row>
      <xdr:rowOff>0</xdr:rowOff>
    </xdr:to>
    <xdr:sp macro="" textlink="">
      <xdr:nvSpPr>
        <xdr:cNvPr id="35" name="Line 45">
          <a:extLst>
            <a:ext uri="{FF2B5EF4-FFF2-40B4-BE49-F238E27FC236}">
              <a16:creationId xmlns:a16="http://schemas.microsoft.com/office/drawing/2014/main" id="{F020CB97-E732-4D2F-AD1A-493E507FC036}"/>
            </a:ext>
          </a:extLst>
        </xdr:cNvPr>
        <xdr:cNvSpPr>
          <a:spLocks noChangeShapeType="1"/>
        </xdr:cNvSpPr>
      </xdr:nvSpPr>
      <xdr:spPr bwMode="auto">
        <a:xfrm>
          <a:off x="9505950" y="987742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59</xdr:row>
      <xdr:rowOff>104775</xdr:rowOff>
    </xdr:from>
    <xdr:to>
      <xdr:col>16</xdr:col>
      <xdr:colOff>552450</xdr:colOff>
      <xdr:row>59</xdr:row>
      <xdr:rowOff>114300</xdr:rowOff>
    </xdr:to>
    <xdr:sp macro="" textlink="">
      <xdr:nvSpPr>
        <xdr:cNvPr id="36" name="Line 46">
          <a:extLst>
            <a:ext uri="{FF2B5EF4-FFF2-40B4-BE49-F238E27FC236}">
              <a16:creationId xmlns:a16="http://schemas.microsoft.com/office/drawing/2014/main" id="{66261733-DDEC-4290-9524-BE7ADF0E28AD}"/>
            </a:ext>
          </a:extLst>
        </xdr:cNvPr>
        <xdr:cNvSpPr>
          <a:spLocks noChangeShapeType="1"/>
        </xdr:cNvSpPr>
      </xdr:nvSpPr>
      <xdr:spPr bwMode="auto">
        <a:xfrm>
          <a:off x="9525000" y="9658350"/>
          <a:ext cx="990600" cy="95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58</xdr:row>
      <xdr:rowOff>9525</xdr:rowOff>
    </xdr:from>
    <xdr:to>
      <xdr:col>16</xdr:col>
      <xdr:colOff>552450</xdr:colOff>
      <xdr:row>58</xdr:row>
      <xdr:rowOff>9525</xdr:rowOff>
    </xdr:to>
    <xdr:sp macro="" textlink="">
      <xdr:nvSpPr>
        <xdr:cNvPr id="37" name="Line 47">
          <a:extLst>
            <a:ext uri="{FF2B5EF4-FFF2-40B4-BE49-F238E27FC236}">
              <a16:creationId xmlns:a16="http://schemas.microsoft.com/office/drawing/2014/main" id="{105FDD34-6814-450E-9B50-02E262B82EB0}"/>
            </a:ext>
          </a:extLst>
        </xdr:cNvPr>
        <xdr:cNvSpPr>
          <a:spLocks noChangeShapeType="1"/>
        </xdr:cNvSpPr>
      </xdr:nvSpPr>
      <xdr:spPr bwMode="auto">
        <a:xfrm>
          <a:off x="9563100" y="9401175"/>
          <a:ext cx="9525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257175</xdr:colOff>
      <xdr:row>56</xdr:row>
      <xdr:rowOff>85725</xdr:rowOff>
    </xdr:from>
    <xdr:to>
      <xdr:col>16</xdr:col>
      <xdr:colOff>542925</xdr:colOff>
      <xdr:row>56</xdr:row>
      <xdr:rowOff>85725</xdr:rowOff>
    </xdr:to>
    <xdr:sp macro="" textlink="">
      <xdr:nvSpPr>
        <xdr:cNvPr id="38" name="Line 48">
          <a:extLst>
            <a:ext uri="{FF2B5EF4-FFF2-40B4-BE49-F238E27FC236}">
              <a16:creationId xmlns:a16="http://schemas.microsoft.com/office/drawing/2014/main" id="{DDC945AB-642B-42B0-A651-7BF9D57AE2C7}"/>
            </a:ext>
          </a:extLst>
        </xdr:cNvPr>
        <xdr:cNvSpPr>
          <a:spLocks noChangeShapeType="1"/>
        </xdr:cNvSpPr>
      </xdr:nvSpPr>
      <xdr:spPr bwMode="auto">
        <a:xfrm>
          <a:off x="9610725" y="9153525"/>
          <a:ext cx="8953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62</xdr:row>
      <xdr:rowOff>28575</xdr:rowOff>
    </xdr:from>
    <xdr:to>
      <xdr:col>13</xdr:col>
      <xdr:colOff>190500</xdr:colOff>
      <xdr:row>65</xdr:row>
      <xdr:rowOff>66675</xdr:rowOff>
    </xdr:to>
    <xdr:sp macro="" textlink="">
      <xdr:nvSpPr>
        <xdr:cNvPr id="39" name="Text Box 52">
          <a:extLst>
            <a:ext uri="{FF2B5EF4-FFF2-40B4-BE49-F238E27FC236}">
              <a16:creationId xmlns:a16="http://schemas.microsoft.com/office/drawing/2014/main" id="{13A620E1-030C-4D83-AC93-B8C83659031E}"/>
            </a:ext>
          </a:extLst>
        </xdr:cNvPr>
        <xdr:cNvSpPr txBox="1">
          <a:spLocks noChangeArrowheads="1"/>
        </xdr:cNvSpPr>
      </xdr:nvSpPr>
      <xdr:spPr bwMode="auto">
        <a:xfrm>
          <a:off x="8096250" y="10067925"/>
          <a:ext cx="2286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62</xdr:row>
      <xdr:rowOff>85725</xdr:rowOff>
    </xdr:from>
    <xdr:to>
      <xdr:col>12</xdr:col>
      <xdr:colOff>266700</xdr:colOff>
      <xdr:row>65</xdr:row>
      <xdr:rowOff>47625</xdr:rowOff>
    </xdr:to>
    <xdr:sp macro="" textlink="">
      <xdr:nvSpPr>
        <xdr:cNvPr id="40" name="Text Box 54">
          <a:extLst>
            <a:ext uri="{FF2B5EF4-FFF2-40B4-BE49-F238E27FC236}">
              <a16:creationId xmlns:a16="http://schemas.microsoft.com/office/drawing/2014/main" id="{8692DFD5-1269-425D-BB8A-112FE9D155CA}"/>
            </a:ext>
          </a:extLst>
        </xdr:cNvPr>
        <xdr:cNvSpPr txBox="1">
          <a:spLocks noChangeArrowheads="1"/>
        </xdr:cNvSpPr>
      </xdr:nvSpPr>
      <xdr:spPr bwMode="auto">
        <a:xfrm>
          <a:off x="7600950" y="10125075"/>
          <a:ext cx="1905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190500</xdr:colOff>
      <xdr:row>29</xdr:row>
      <xdr:rowOff>133350</xdr:rowOff>
    </xdr:from>
    <xdr:to>
      <xdr:col>13</xdr:col>
      <xdr:colOff>581025</xdr:colOff>
      <xdr:row>33</xdr:row>
      <xdr:rowOff>38100</xdr:rowOff>
    </xdr:to>
    <xdr:sp macro="" textlink="">
      <xdr:nvSpPr>
        <xdr:cNvPr id="41" name="Text Box 56">
          <a:extLst>
            <a:ext uri="{FF2B5EF4-FFF2-40B4-BE49-F238E27FC236}">
              <a16:creationId xmlns:a16="http://schemas.microsoft.com/office/drawing/2014/main" id="{1AA7D4CA-F756-4FAA-9A10-C43984F7E99A}"/>
            </a:ext>
          </a:extLst>
        </xdr:cNvPr>
        <xdr:cNvSpPr txBox="1">
          <a:spLocks noChangeArrowheads="1"/>
        </xdr:cNvSpPr>
      </xdr:nvSpPr>
      <xdr:spPr bwMode="auto">
        <a:xfrm>
          <a:off x="8324850" y="4829175"/>
          <a:ext cx="390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201244</xdr:colOff>
      <xdr:row>17</xdr:row>
      <xdr:rowOff>4008</xdr:rowOff>
    </xdr:from>
    <xdr:to>
      <xdr:col>18</xdr:col>
      <xdr:colOff>516642</xdr:colOff>
      <xdr:row>18</xdr:row>
      <xdr:rowOff>137095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E306E79-0101-4F65-85BE-43614857A88C}"/>
            </a:ext>
          </a:extLst>
        </xdr:cNvPr>
        <xdr:cNvSpPr txBox="1"/>
      </xdr:nvSpPr>
      <xdr:spPr>
        <a:xfrm>
          <a:off x="10164394" y="2756733"/>
          <a:ext cx="1534598" cy="295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Vendor</a:t>
          </a:r>
          <a:r>
            <a:rPr lang="en-US" sz="1000" baseline="0">
              <a:solidFill>
                <a:srgbClr val="FF0000"/>
              </a:solidFill>
            </a:rPr>
            <a:t> Limit = 0.7 mm/s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184205</xdr:colOff>
      <xdr:row>13</xdr:row>
      <xdr:rowOff>161914</xdr:rowOff>
    </xdr:from>
    <xdr:to>
      <xdr:col>19</xdr:col>
      <xdr:colOff>117970</xdr:colOff>
      <xdr:row>15</xdr:row>
      <xdr:rowOff>139860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2B97126-5401-44AB-A911-89B3594D88A8}"/>
            </a:ext>
          </a:extLst>
        </xdr:cNvPr>
        <xdr:cNvSpPr txBox="1"/>
      </xdr:nvSpPr>
      <xdr:spPr>
        <a:xfrm>
          <a:off x="10779946" y="2296828"/>
          <a:ext cx="1162162" cy="3063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Industry</a:t>
          </a:r>
          <a:r>
            <a:rPr lang="en-US" sz="1000" baseline="0">
              <a:solidFill>
                <a:srgbClr val="FF0000"/>
              </a:solidFill>
            </a:rPr>
            <a:t> Limit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0.01077</cdr:x>
      <cdr:y>0.0122</cdr:y>
    </cdr:from>
    <cdr:to>
      <cdr:x>0.14929</cdr:x>
      <cdr:y>0.1303</cdr:y>
    </cdr:to>
    <cdr:sp macro="" textlink="">
      <cdr:nvSpPr>
        <cdr:cNvPr id="64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666583" cy="477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0.01053</cdr:x>
      <cdr:y>0.06494</cdr:y>
    </cdr:from>
    <cdr:to>
      <cdr:x>0.0771</cdr:x>
      <cdr:y>0.28791</cdr:y>
    </cdr:to>
    <cdr:sp macro="" textlink="">
      <cdr:nvSpPr>
        <cdr:cNvPr id="64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315575" cy="163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40</xdr:row>
      <xdr:rowOff>0</xdr:rowOff>
    </xdr:from>
    <xdr:to>
      <xdr:col>16</xdr:col>
      <xdr:colOff>485775</xdr:colOff>
      <xdr:row>67</xdr:row>
      <xdr:rowOff>114300</xdr:rowOff>
    </xdr:to>
    <xdr:graphicFrame macro="">
      <xdr:nvGraphicFramePr>
        <xdr:cNvPr id="2" name="Chart 27">
          <a:extLst>
            <a:ext uri="{FF2B5EF4-FFF2-40B4-BE49-F238E27FC236}">
              <a16:creationId xmlns:a16="http://schemas.microsoft.com/office/drawing/2014/main" id="{71B85165-A1B1-47FD-9EED-0358DEB6D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5</xdr:row>
      <xdr:rowOff>104776</xdr:rowOff>
    </xdr:from>
    <xdr:to>
      <xdr:col>19</xdr:col>
      <xdr:colOff>57150</xdr:colOff>
      <xdr:row>32</xdr:row>
      <xdr:rowOff>33130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8D38514-A936-4297-8CEF-ABBDDB02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11</xdr:col>
      <xdr:colOff>88510</xdr:colOff>
      <xdr:row>16</xdr:row>
      <xdr:rowOff>150886</xdr:rowOff>
    </xdr:from>
    <xdr:to>
      <xdr:col>12</xdr:col>
      <xdr:colOff>232398</xdr:colOff>
      <xdr:row>19</xdr:row>
      <xdr:rowOff>62715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748F1092-2693-4DDA-9812-A40FD38659DF}"/>
            </a:ext>
          </a:extLst>
        </xdr:cNvPr>
        <xdr:cNvSpPr txBox="1">
          <a:spLocks noChangeArrowheads="1"/>
        </xdr:cNvSpPr>
      </xdr:nvSpPr>
      <xdr:spPr bwMode="auto">
        <a:xfrm>
          <a:off x="7003660" y="2741686"/>
          <a:ext cx="753488" cy="39760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 noticeable to persons</a:t>
          </a:r>
        </a:p>
      </xdr:txBody>
    </xdr:sp>
    <xdr:clientData/>
  </xdr:twoCellAnchor>
  <xdr:twoCellAnchor>
    <xdr:from>
      <xdr:col>11</xdr:col>
      <xdr:colOff>294358</xdr:colOff>
      <xdr:row>14</xdr:row>
      <xdr:rowOff>131562</xdr:rowOff>
    </xdr:from>
    <xdr:to>
      <xdr:col>12</xdr:col>
      <xdr:colOff>598813</xdr:colOff>
      <xdr:row>16</xdr:row>
      <xdr:rowOff>56326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0045A945-9A5E-4121-A0B8-9A6D83790A2B}"/>
            </a:ext>
          </a:extLst>
        </xdr:cNvPr>
        <xdr:cNvSpPr txBox="1">
          <a:spLocks noChangeArrowheads="1"/>
        </xdr:cNvSpPr>
      </xdr:nvSpPr>
      <xdr:spPr bwMode="auto">
        <a:xfrm>
          <a:off x="7209508" y="2398512"/>
          <a:ext cx="914055" cy="24861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Barely noticeable to persons</a:t>
          </a:r>
        </a:p>
      </xdr:txBody>
    </xdr:sp>
    <xdr:clientData/>
  </xdr:twoCellAnchor>
  <xdr:twoCellAnchor>
    <xdr:from>
      <xdr:col>11</xdr:col>
      <xdr:colOff>327880</xdr:colOff>
      <xdr:row>12</xdr:row>
      <xdr:rowOff>46112</xdr:rowOff>
    </xdr:from>
    <xdr:to>
      <xdr:col>13</xdr:col>
      <xdr:colOff>21981</xdr:colOff>
      <xdr:row>13</xdr:row>
      <xdr:rowOff>139212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7DC9EF59-06C7-48C6-AF33-A9BA05A3C03C}"/>
            </a:ext>
          </a:extLst>
        </xdr:cNvPr>
        <xdr:cNvSpPr txBox="1">
          <a:spLocks noChangeArrowheads="1"/>
        </xdr:cNvSpPr>
      </xdr:nvSpPr>
      <xdr:spPr bwMode="auto">
        <a:xfrm>
          <a:off x="7243030" y="1989212"/>
          <a:ext cx="913301" cy="25502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Easily noticeable to persons</a:t>
          </a:r>
        </a:p>
      </xdr:txBody>
    </xdr:sp>
    <xdr:clientData/>
  </xdr:twoCellAnchor>
  <xdr:twoCellAnchor>
    <xdr:from>
      <xdr:col>9</xdr:col>
      <xdr:colOff>238125</xdr:colOff>
      <xdr:row>36</xdr:row>
      <xdr:rowOff>0</xdr:rowOff>
    </xdr:from>
    <xdr:to>
      <xdr:col>16</xdr:col>
      <xdr:colOff>485775</xdr:colOff>
      <xdr:row>36</xdr:row>
      <xdr:rowOff>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1260F88D-D9F0-4061-B1B1-68AE06905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36</xdr:row>
      <xdr:rowOff>0</xdr:rowOff>
    </xdr:from>
    <xdr:to>
      <xdr:col>12</xdr:col>
      <xdr:colOff>303892</xdr:colOff>
      <xdr:row>36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4F8C2DD4-61DD-4082-9FA9-310F20A2000C}"/>
            </a:ext>
          </a:extLst>
        </xdr:cNvPr>
        <xdr:cNvSpPr txBox="1">
          <a:spLocks noChangeArrowheads="1"/>
        </xdr:cNvSpPr>
      </xdr:nvSpPr>
      <xdr:spPr bwMode="auto">
        <a:xfrm>
          <a:off x="6972300" y="5829300"/>
          <a:ext cx="85634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296545</xdr:colOff>
      <xdr:row>36</xdr:row>
      <xdr:rowOff>0</xdr:rowOff>
    </xdr:from>
    <xdr:to>
      <xdr:col>12</xdr:col>
      <xdr:colOff>406598</xdr:colOff>
      <xdr:row>36</xdr:row>
      <xdr:rowOff>0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44CE7C33-BF34-4F4D-8374-7031267B5551}"/>
            </a:ext>
          </a:extLst>
        </xdr:cNvPr>
        <xdr:cNvSpPr txBox="1">
          <a:spLocks noChangeArrowheads="1"/>
        </xdr:cNvSpPr>
      </xdr:nvSpPr>
      <xdr:spPr bwMode="auto">
        <a:xfrm>
          <a:off x="7211695" y="5829300"/>
          <a:ext cx="71965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36</xdr:row>
      <xdr:rowOff>0</xdr:rowOff>
    </xdr:from>
    <xdr:to>
      <xdr:col>13</xdr:col>
      <xdr:colOff>333187</xdr:colOff>
      <xdr:row>36</xdr:row>
      <xdr:rowOff>0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F7180892-06D3-4007-9839-C5AC8DDF3572}"/>
            </a:ext>
          </a:extLst>
        </xdr:cNvPr>
        <xdr:cNvSpPr txBox="1">
          <a:spLocks noChangeArrowheads="1"/>
        </xdr:cNvSpPr>
      </xdr:nvSpPr>
      <xdr:spPr bwMode="auto">
        <a:xfrm>
          <a:off x="7611745" y="5829300"/>
          <a:ext cx="85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</a:t>
          </a:r>
        </a:p>
      </xdr:txBody>
    </xdr:sp>
    <xdr:clientData/>
  </xdr:twoCellAnchor>
  <xdr:twoCellAnchor>
    <xdr:from>
      <xdr:col>14</xdr:col>
      <xdr:colOff>12700</xdr:colOff>
      <xdr:row>36</xdr:row>
      <xdr:rowOff>0</xdr:rowOff>
    </xdr:from>
    <xdr:to>
      <xdr:col>15</xdr:col>
      <xdr:colOff>407515</xdr:colOff>
      <xdr:row>36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8FC3FD30-ED55-416C-904A-EB008471A518}"/>
            </a:ext>
          </a:extLst>
        </xdr:cNvPr>
        <xdr:cNvSpPr txBox="1">
          <a:spLocks noChangeArrowheads="1"/>
        </xdr:cNvSpPr>
      </xdr:nvSpPr>
      <xdr:spPr bwMode="auto">
        <a:xfrm>
          <a:off x="8756650" y="5829300"/>
          <a:ext cx="100441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13</xdr:col>
      <xdr:colOff>375675</xdr:colOff>
      <xdr:row>10</xdr:row>
      <xdr:rowOff>53460</xdr:rowOff>
    </xdr:from>
    <xdr:to>
      <xdr:col>13</xdr:col>
      <xdr:colOff>568557</xdr:colOff>
      <xdr:row>13</xdr:row>
      <xdr:rowOff>111649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8C07C892-12F9-4846-AB49-55A5CAE36EA4}"/>
            </a:ext>
          </a:extLst>
        </xdr:cNvPr>
        <xdr:cNvSpPr txBox="1">
          <a:spLocks noChangeArrowheads="1"/>
        </xdr:cNvSpPr>
      </xdr:nvSpPr>
      <xdr:spPr bwMode="auto">
        <a:xfrm flipV="1">
          <a:off x="8510025" y="1672710"/>
          <a:ext cx="192882" cy="5439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1424 rpm</a:t>
          </a:r>
        </a:p>
      </xdr:txBody>
    </xdr:sp>
    <xdr:clientData/>
  </xdr:twoCellAnchor>
  <xdr:twoCellAnchor>
    <xdr:from>
      <xdr:col>13</xdr:col>
      <xdr:colOff>553480</xdr:colOff>
      <xdr:row>10</xdr:row>
      <xdr:rowOff>35224</xdr:rowOff>
    </xdr:from>
    <xdr:to>
      <xdr:col>14</xdr:col>
      <xdr:colOff>123057</xdr:colOff>
      <xdr:row>13</xdr:row>
      <xdr:rowOff>69010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1FCFC995-4159-4E28-AF2C-F4A002C148B1}"/>
            </a:ext>
          </a:extLst>
        </xdr:cNvPr>
        <xdr:cNvSpPr txBox="1">
          <a:spLocks noChangeArrowheads="1"/>
        </xdr:cNvSpPr>
      </xdr:nvSpPr>
      <xdr:spPr bwMode="auto">
        <a:xfrm flipV="1">
          <a:off x="8687830" y="1654474"/>
          <a:ext cx="179177" cy="5195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1780 rpm</a:t>
          </a:r>
        </a:p>
      </xdr:txBody>
    </xdr:sp>
    <xdr:clientData/>
  </xdr:twoCellAnchor>
  <xdr:twoCellAnchor>
    <xdr:from>
      <xdr:col>14</xdr:col>
      <xdr:colOff>231093</xdr:colOff>
      <xdr:row>10</xdr:row>
      <xdr:rowOff>42286</xdr:rowOff>
    </xdr:from>
    <xdr:to>
      <xdr:col>14</xdr:col>
      <xdr:colOff>425608</xdr:colOff>
      <xdr:row>13</xdr:row>
      <xdr:rowOff>66350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7414347E-0257-4D54-AE9C-6FDB5C20A006}"/>
            </a:ext>
          </a:extLst>
        </xdr:cNvPr>
        <xdr:cNvSpPr txBox="1">
          <a:spLocks noChangeArrowheads="1"/>
        </xdr:cNvSpPr>
      </xdr:nvSpPr>
      <xdr:spPr bwMode="auto">
        <a:xfrm flipH="1" flipV="1">
          <a:off x="8975043" y="1661536"/>
          <a:ext cx="194515" cy="5098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2136 rpm</a:t>
          </a:r>
        </a:p>
      </xdr:txBody>
    </xdr:sp>
    <xdr:clientData/>
  </xdr:twoCellAnchor>
  <xdr:twoCellAnchor>
    <xdr:from>
      <xdr:col>11</xdr:col>
      <xdr:colOff>487596</xdr:colOff>
      <xdr:row>9</xdr:row>
      <xdr:rowOff>110221</xdr:rowOff>
    </xdr:from>
    <xdr:to>
      <xdr:col>13</xdr:col>
      <xdr:colOff>204178</xdr:colOff>
      <xdr:row>11</xdr:row>
      <xdr:rowOff>72354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F29AD651-A525-4798-A38C-9D917897719C}"/>
            </a:ext>
          </a:extLst>
        </xdr:cNvPr>
        <xdr:cNvSpPr txBox="1">
          <a:spLocks noChangeArrowheads="1"/>
        </xdr:cNvSpPr>
      </xdr:nvSpPr>
      <xdr:spPr bwMode="auto">
        <a:xfrm>
          <a:off x="7402746" y="1567546"/>
          <a:ext cx="935782" cy="285983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Troublesome to persons</a:t>
          </a:r>
        </a:p>
      </xdr:txBody>
    </xdr:sp>
    <xdr:clientData/>
  </xdr:twoCellAnchor>
  <xdr:twoCellAnchor>
    <xdr:from>
      <xdr:col>16</xdr:col>
      <xdr:colOff>399415</xdr:colOff>
      <xdr:row>63</xdr:row>
      <xdr:rowOff>38100</xdr:rowOff>
    </xdr:from>
    <xdr:to>
      <xdr:col>18</xdr:col>
      <xdr:colOff>405992</xdr:colOff>
      <xdr:row>64</xdr:row>
      <xdr:rowOff>100478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683707A3-BD51-42D4-A75A-B9486EA936D1}"/>
            </a:ext>
          </a:extLst>
        </xdr:cNvPr>
        <xdr:cNvSpPr txBox="1">
          <a:spLocks noChangeArrowheads="1"/>
        </xdr:cNvSpPr>
      </xdr:nvSpPr>
      <xdr:spPr bwMode="auto">
        <a:xfrm>
          <a:off x="10362565" y="10239375"/>
          <a:ext cx="1225777" cy="224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mooth</a:t>
          </a:r>
        </a:p>
      </xdr:txBody>
    </xdr:sp>
    <xdr:clientData/>
  </xdr:twoCellAnchor>
  <xdr:twoCellAnchor>
    <xdr:from>
      <xdr:col>16</xdr:col>
      <xdr:colOff>407670</xdr:colOff>
      <xdr:row>61</xdr:row>
      <xdr:rowOff>99060</xdr:rowOff>
    </xdr:from>
    <xdr:to>
      <xdr:col>18</xdr:col>
      <xdr:colOff>408807</xdr:colOff>
      <xdr:row>63</xdr:row>
      <xdr:rowOff>51090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353F2A6B-FC9B-4B8D-8ECF-A3A988893DC4}"/>
            </a:ext>
          </a:extLst>
        </xdr:cNvPr>
        <xdr:cNvSpPr txBox="1">
          <a:spLocks noChangeArrowheads="1"/>
        </xdr:cNvSpPr>
      </xdr:nvSpPr>
      <xdr:spPr bwMode="auto">
        <a:xfrm>
          <a:off x="10370820" y="9976485"/>
          <a:ext cx="1220337" cy="275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smooth</a:t>
          </a:r>
        </a:p>
      </xdr:txBody>
    </xdr:sp>
    <xdr:clientData/>
  </xdr:twoCellAnchor>
  <xdr:twoCellAnchor>
    <xdr:from>
      <xdr:col>16</xdr:col>
      <xdr:colOff>405765</xdr:colOff>
      <xdr:row>60</xdr:row>
      <xdr:rowOff>62230</xdr:rowOff>
    </xdr:from>
    <xdr:to>
      <xdr:col>17</xdr:col>
      <xdr:colOff>409180</xdr:colOff>
      <xdr:row>62</xdr:row>
      <xdr:rowOff>14667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8F4664B2-8E46-4930-AC2D-B2D899B98D24}"/>
            </a:ext>
          </a:extLst>
        </xdr:cNvPr>
        <xdr:cNvSpPr txBox="1">
          <a:spLocks noChangeArrowheads="1"/>
        </xdr:cNvSpPr>
      </xdr:nvSpPr>
      <xdr:spPr bwMode="auto">
        <a:xfrm>
          <a:off x="10368915" y="9777730"/>
          <a:ext cx="613015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smooth</a:t>
          </a:r>
        </a:p>
      </xdr:txBody>
    </xdr:sp>
    <xdr:clientData/>
  </xdr:twoCellAnchor>
  <xdr:twoCellAnchor>
    <xdr:from>
      <xdr:col>16</xdr:col>
      <xdr:colOff>407670</xdr:colOff>
      <xdr:row>59</xdr:row>
      <xdr:rowOff>50800</xdr:rowOff>
    </xdr:from>
    <xdr:to>
      <xdr:col>18</xdr:col>
      <xdr:colOff>57876</xdr:colOff>
      <xdr:row>60</xdr:row>
      <xdr:rowOff>145532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CD06FA32-3387-4E54-9790-7F6ACCAC8087}"/>
            </a:ext>
          </a:extLst>
        </xdr:cNvPr>
        <xdr:cNvSpPr txBox="1">
          <a:spLocks noChangeArrowheads="1"/>
        </xdr:cNvSpPr>
      </xdr:nvSpPr>
      <xdr:spPr bwMode="auto">
        <a:xfrm>
          <a:off x="10370820" y="9604375"/>
          <a:ext cx="869406" cy="2566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394170</xdr:colOff>
      <xdr:row>36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94E21C01-7D0C-4E40-B9A1-CCDE3EBBF096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59800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396327</xdr:colOff>
      <xdr:row>36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D9D3A1A-DDD9-48D3-8453-140127339CBB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60016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21</xdr:col>
      <xdr:colOff>0</xdr:colOff>
      <xdr:row>61</xdr:row>
      <xdr:rowOff>76200</xdr:rowOff>
    </xdr:from>
    <xdr:to>
      <xdr:col>21</xdr:col>
      <xdr:colOff>0</xdr:colOff>
      <xdr:row>61</xdr:row>
      <xdr:rowOff>76200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5F1B1B55-BB3F-4B23-9A41-EA0AB427E3B0}"/>
            </a:ext>
          </a:extLst>
        </xdr:cNvPr>
        <xdr:cNvSpPr>
          <a:spLocks noChangeShapeType="1"/>
        </xdr:cNvSpPr>
      </xdr:nvSpPr>
      <xdr:spPr bwMode="auto">
        <a:xfrm>
          <a:off x="13039725" y="9953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61</xdr:row>
      <xdr:rowOff>66675</xdr:rowOff>
    </xdr:from>
    <xdr:to>
      <xdr:col>21</xdr:col>
      <xdr:colOff>0</xdr:colOff>
      <xdr:row>61</xdr:row>
      <xdr:rowOff>66675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FE8C5B3D-F321-479F-AB0D-23132B124526}"/>
            </a:ext>
          </a:extLst>
        </xdr:cNvPr>
        <xdr:cNvSpPr>
          <a:spLocks noChangeShapeType="1"/>
        </xdr:cNvSpPr>
      </xdr:nvSpPr>
      <xdr:spPr bwMode="auto">
        <a:xfrm>
          <a:off x="13039725" y="9944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76200</xdr:rowOff>
    </xdr:from>
    <xdr:to>
      <xdr:col>11</xdr:col>
      <xdr:colOff>0</xdr:colOff>
      <xdr:row>69</xdr:row>
      <xdr:rowOff>76200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6299DB28-38A4-4976-82AC-332A323620EB}"/>
            </a:ext>
          </a:extLst>
        </xdr:cNvPr>
        <xdr:cNvSpPr>
          <a:spLocks noChangeShapeType="1"/>
        </xdr:cNvSpPr>
      </xdr:nvSpPr>
      <xdr:spPr bwMode="auto">
        <a:xfrm>
          <a:off x="6915150" y="11249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70</xdr:row>
      <xdr:rowOff>104775</xdr:rowOff>
    </xdr:from>
    <xdr:to>
      <xdr:col>11</xdr:col>
      <xdr:colOff>0</xdr:colOff>
      <xdr:row>70</xdr:row>
      <xdr:rowOff>104775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50A1FAC3-8ACD-4AD7-942B-B90B0F0507AA}"/>
            </a:ext>
          </a:extLst>
        </xdr:cNvPr>
        <xdr:cNvSpPr>
          <a:spLocks noChangeShapeType="1"/>
        </xdr:cNvSpPr>
      </xdr:nvSpPr>
      <xdr:spPr bwMode="auto">
        <a:xfrm>
          <a:off x="6915150" y="114395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50</xdr:row>
      <xdr:rowOff>62230</xdr:rowOff>
    </xdr:from>
    <xdr:to>
      <xdr:col>12</xdr:col>
      <xdr:colOff>303892</xdr:colOff>
      <xdr:row>52</xdr:row>
      <xdr:rowOff>14667</xdr:rowOff>
    </xdr:to>
    <xdr:sp macro="" textlink="">
      <xdr:nvSpPr>
        <xdr:cNvPr id="26" name="Text Box 28">
          <a:extLst>
            <a:ext uri="{FF2B5EF4-FFF2-40B4-BE49-F238E27FC236}">
              <a16:creationId xmlns:a16="http://schemas.microsoft.com/office/drawing/2014/main" id="{E03B3F31-A5E1-4797-A4F8-E35B43662D8B}"/>
            </a:ext>
          </a:extLst>
        </xdr:cNvPr>
        <xdr:cNvSpPr txBox="1">
          <a:spLocks noChangeArrowheads="1"/>
        </xdr:cNvSpPr>
      </xdr:nvSpPr>
      <xdr:spPr bwMode="auto">
        <a:xfrm>
          <a:off x="6972300" y="8158480"/>
          <a:ext cx="856342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201295</xdr:colOff>
      <xdr:row>46</xdr:row>
      <xdr:rowOff>43180</xdr:rowOff>
    </xdr:from>
    <xdr:to>
      <xdr:col>12</xdr:col>
      <xdr:colOff>411490</xdr:colOff>
      <xdr:row>48</xdr:row>
      <xdr:rowOff>1658</xdr:rowOff>
    </xdr:to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6437D40F-BD3E-4400-B459-A78EE92677EC}"/>
            </a:ext>
          </a:extLst>
        </xdr:cNvPr>
        <xdr:cNvSpPr txBox="1">
          <a:spLocks noChangeArrowheads="1"/>
        </xdr:cNvSpPr>
      </xdr:nvSpPr>
      <xdr:spPr bwMode="auto">
        <a:xfrm>
          <a:off x="7116445" y="7491730"/>
          <a:ext cx="819795" cy="2823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43</xdr:row>
      <xdr:rowOff>43180</xdr:rowOff>
    </xdr:from>
    <xdr:to>
      <xdr:col>13</xdr:col>
      <xdr:colOff>333187</xdr:colOff>
      <xdr:row>45</xdr:row>
      <xdr:rowOff>1659</xdr:rowOff>
    </xdr:to>
    <xdr:sp macro="" textlink="">
      <xdr:nvSpPr>
        <xdr:cNvPr id="28" name="Text Box 30">
          <a:extLst>
            <a:ext uri="{FF2B5EF4-FFF2-40B4-BE49-F238E27FC236}">
              <a16:creationId xmlns:a16="http://schemas.microsoft.com/office/drawing/2014/main" id="{32402C92-58AF-4E43-8C44-D6B70C130ACD}"/>
            </a:ext>
          </a:extLst>
        </xdr:cNvPr>
        <xdr:cNvSpPr txBox="1">
          <a:spLocks noChangeArrowheads="1"/>
        </xdr:cNvSpPr>
      </xdr:nvSpPr>
      <xdr:spPr bwMode="auto">
        <a:xfrm>
          <a:off x="7611745" y="7005955"/>
          <a:ext cx="855792" cy="2823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Faulty</a:t>
          </a:r>
        </a:p>
      </xdr:txBody>
    </xdr:sp>
    <xdr:clientData/>
  </xdr:twoCellAnchor>
  <xdr:twoCellAnchor>
    <xdr:from>
      <xdr:col>14</xdr:col>
      <xdr:colOff>125095</xdr:colOff>
      <xdr:row>44</xdr:row>
      <xdr:rowOff>24130</xdr:rowOff>
    </xdr:from>
    <xdr:to>
      <xdr:col>16</xdr:col>
      <xdr:colOff>66584</xdr:colOff>
      <xdr:row>45</xdr:row>
      <xdr:rowOff>93763</xdr:rowOff>
    </xdr:to>
    <xdr:sp macro="" textlink="">
      <xdr:nvSpPr>
        <xdr:cNvPr id="29" name="Text Box 31">
          <a:extLst>
            <a:ext uri="{FF2B5EF4-FFF2-40B4-BE49-F238E27FC236}">
              <a16:creationId xmlns:a16="http://schemas.microsoft.com/office/drawing/2014/main" id="{E99A2C81-C316-46E2-A38B-700B9659A36F}"/>
            </a:ext>
          </a:extLst>
        </xdr:cNvPr>
        <xdr:cNvSpPr txBox="1">
          <a:spLocks noChangeArrowheads="1"/>
        </xdr:cNvSpPr>
      </xdr:nvSpPr>
      <xdr:spPr bwMode="auto">
        <a:xfrm>
          <a:off x="8869045" y="7148830"/>
          <a:ext cx="1160689" cy="231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16</xdr:col>
      <xdr:colOff>399415</xdr:colOff>
      <xdr:row>57</xdr:row>
      <xdr:rowOff>78105</xdr:rowOff>
    </xdr:from>
    <xdr:to>
      <xdr:col>17</xdr:col>
      <xdr:colOff>379792</xdr:colOff>
      <xdr:row>59</xdr:row>
      <xdr:rowOff>5851</xdr:rowOff>
    </xdr:to>
    <xdr:sp macro="" textlink="">
      <xdr:nvSpPr>
        <xdr:cNvPr id="30" name="Text Box 32">
          <a:extLst>
            <a:ext uri="{FF2B5EF4-FFF2-40B4-BE49-F238E27FC236}">
              <a16:creationId xmlns:a16="http://schemas.microsoft.com/office/drawing/2014/main" id="{5E3E1FE3-1BE5-4CE1-A9E1-79E990654C84}"/>
            </a:ext>
          </a:extLst>
        </xdr:cNvPr>
        <xdr:cNvSpPr txBox="1">
          <a:spLocks noChangeArrowheads="1"/>
        </xdr:cNvSpPr>
      </xdr:nvSpPr>
      <xdr:spPr bwMode="auto">
        <a:xfrm>
          <a:off x="10362565" y="9307830"/>
          <a:ext cx="589977" cy="251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56</xdr:row>
      <xdr:rowOff>0</xdr:rowOff>
    </xdr:from>
    <xdr:to>
      <xdr:col>17</xdr:col>
      <xdr:colOff>394170</xdr:colOff>
      <xdr:row>57</xdr:row>
      <xdr:rowOff>92969</xdr:rowOff>
    </xdr:to>
    <xdr:sp macro="" textlink="">
      <xdr:nvSpPr>
        <xdr:cNvPr id="31" name="Text Box 33">
          <a:extLst>
            <a:ext uri="{FF2B5EF4-FFF2-40B4-BE49-F238E27FC236}">
              <a16:creationId xmlns:a16="http://schemas.microsoft.com/office/drawing/2014/main" id="{57A3F056-DFC2-4B71-A762-13B94BA34B45}"/>
            </a:ext>
          </a:extLst>
        </xdr:cNvPr>
        <xdr:cNvSpPr txBox="1">
          <a:spLocks noChangeArrowheads="1"/>
        </xdr:cNvSpPr>
      </xdr:nvSpPr>
      <xdr:spPr bwMode="auto">
        <a:xfrm>
          <a:off x="10368915" y="9067800"/>
          <a:ext cx="598005" cy="25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16</xdr:col>
      <xdr:colOff>0</xdr:colOff>
      <xdr:row>135</xdr:row>
      <xdr:rowOff>0</xdr:rowOff>
    </xdr:from>
    <xdr:to>
      <xdr:col>16</xdr:col>
      <xdr:colOff>0</xdr:colOff>
      <xdr:row>135</xdr:row>
      <xdr:rowOff>37616</xdr:rowOff>
    </xdr:to>
    <xdr:sp macro="" textlink="">
      <xdr:nvSpPr>
        <xdr:cNvPr id="32" name="Text Box 35">
          <a:extLst>
            <a:ext uri="{FF2B5EF4-FFF2-40B4-BE49-F238E27FC236}">
              <a16:creationId xmlns:a16="http://schemas.microsoft.com/office/drawing/2014/main" id="{5B154B6A-4D7F-4255-8605-8CAB50868858}"/>
            </a:ext>
          </a:extLst>
        </xdr:cNvPr>
        <xdr:cNvSpPr txBox="1">
          <a:spLocks noChangeArrowheads="1"/>
        </xdr:cNvSpPr>
      </xdr:nvSpPr>
      <xdr:spPr bwMode="auto">
        <a:xfrm>
          <a:off x="9963150" y="21859875"/>
          <a:ext cx="0" cy="376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smooth</a:t>
          </a:r>
        </a:p>
      </xdr:txBody>
    </xdr:sp>
    <xdr:clientData/>
  </xdr:twoCellAnchor>
  <xdr:twoCellAnchor>
    <xdr:from>
      <xdr:col>14</xdr:col>
      <xdr:colOff>590550</xdr:colOff>
      <xdr:row>63</xdr:row>
      <xdr:rowOff>123825</xdr:rowOff>
    </xdr:from>
    <xdr:to>
      <xdr:col>16</xdr:col>
      <xdr:colOff>552450</xdr:colOff>
      <xdr:row>63</xdr:row>
      <xdr:rowOff>123825</xdr:rowOff>
    </xdr:to>
    <xdr:sp macro="" textlink="">
      <xdr:nvSpPr>
        <xdr:cNvPr id="33" name="Line 43">
          <a:extLst>
            <a:ext uri="{FF2B5EF4-FFF2-40B4-BE49-F238E27FC236}">
              <a16:creationId xmlns:a16="http://schemas.microsoft.com/office/drawing/2014/main" id="{A96B0646-535A-427A-9B57-6B9B104DC4A8}"/>
            </a:ext>
          </a:extLst>
        </xdr:cNvPr>
        <xdr:cNvSpPr>
          <a:spLocks noChangeShapeType="1"/>
        </xdr:cNvSpPr>
      </xdr:nvSpPr>
      <xdr:spPr bwMode="auto">
        <a:xfrm>
          <a:off x="9334500" y="10325100"/>
          <a:ext cx="1181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62</xdr:row>
      <xdr:rowOff>47625</xdr:rowOff>
    </xdr:from>
    <xdr:to>
      <xdr:col>16</xdr:col>
      <xdr:colOff>533400</xdr:colOff>
      <xdr:row>62</xdr:row>
      <xdr:rowOff>47625</xdr:rowOff>
    </xdr:to>
    <xdr:sp macro="" textlink="">
      <xdr:nvSpPr>
        <xdr:cNvPr id="34" name="Line 44">
          <a:extLst>
            <a:ext uri="{FF2B5EF4-FFF2-40B4-BE49-F238E27FC236}">
              <a16:creationId xmlns:a16="http://schemas.microsoft.com/office/drawing/2014/main" id="{8038EAC9-16D5-4EDB-8CE7-E1B5A3BBCB86}"/>
            </a:ext>
          </a:extLst>
        </xdr:cNvPr>
        <xdr:cNvSpPr>
          <a:spLocks noChangeShapeType="1"/>
        </xdr:cNvSpPr>
      </xdr:nvSpPr>
      <xdr:spPr bwMode="auto">
        <a:xfrm>
          <a:off x="9505950" y="100869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61</xdr:row>
      <xdr:rowOff>0</xdr:rowOff>
    </xdr:from>
    <xdr:to>
      <xdr:col>16</xdr:col>
      <xdr:colOff>533400</xdr:colOff>
      <xdr:row>61</xdr:row>
      <xdr:rowOff>0</xdr:rowOff>
    </xdr:to>
    <xdr:sp macro="" textlink="">
      <xdr:nvSpPr>
        <xdr:cNvPr id="35" name="Line 45">
          <a:extLst>
            <a:ext uri="{FF2B5EF4-FFF2-40B4-BE49-F238E27FC236}">
              <a16:creationId xmlns:a16="http://schemas.microsoft.com/office/drawing/2014/main" id="{2B353A97-B26D-421B-9E01-B74FF5711A09}"/>
            </a:ext>
          </a:extLst>
        </xdr:cNvPr>
        <xdr:cNvSpPr>
          <a:spLocks noChangeShapeType="1"/>
        </xdr:cNvSpPr>
      </xdr:nvSpPr>
      <xdr:spPr bwMode="auto">
        <a:xfrm>
          <a:off x="9505950" y="987742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59</xdr:row>
      <xdr:rowOff>104775</xdr:rowOff>
    </xdr:from>
    <xdr:to>
      <xdr:col>16</xdr:col>
      <xdr:colOff>552450</xdr:colOff>
      <xdr:row>59</xdr:row>
      <xdr:rowOff>114300</xdr:rowOff>
    </xdr:to>
    <xdr:sp macro="" textlink="">
      <xdr:nvSpPr>
        <xdr:cNvPr id="36" name="Line 46">
          <a:extLst>
            <a:ext uri="{FF2B5EF4-FFF2-40B4-BE49-F238E27FC236}">
              <a16:creationId xmlns:a16="http://schemas.microsoft.com/office/drawing/2014/main" id="{94D47332-102D-42A6-9E23-6A2D2CCA7080}"/>
            </a:ext>
          </a:extLst>
        </xdr:cNvPr>
        <xdr:cNvSpPr>
          <a:spLocks noChangeShapeType="1"/>
        </xdr:cNvSpPr>
      </xdr:nvSpPr>
      <xdr:spPr bwMode="auto">
        <a:xfrm>
          <a:off x="9525000" y="9658350"/>
          <a:ext cx="990600" cy="95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58</xdr:row>
      <xdr:rowOff>9525</xdr:rowOff>
    </xdr:from>
    <xdr:to>
      <xdr:col>16</xdr:col>
      <xdr:colOff>552450</xdr:colOff>
      <xdr:row>58</xdr:row>
      <xdr:rowOff>9525</xdr:rowOff>
    </xdr:to>
    <xdr:sp macro="" textlink="">
      <xdr:nvSpPr>
        <xdr:cNvPr id="37" name="Line 47">
          <a:extLst>
            <a:ext uri="{FF2B5EF4-FFF2-40B4-BE49-F238E27FC236}">
              <a16:creationId xmlns:a16="http://schemas.microsoft.com/office/drawing/2014/main" id="{9A5F0650-53A1-4C58-BE84-2F208936D6A0}"/>
            </a:ext>
          </a:extLst>
        </xdr:cNvPr>
        <xdr:cNvSpPr>
          <a:spLocks noChangeShapeType="1"/>
        </xdr:cNvSpPr>
      </xdr:nvSpPr>
      <xdr:spPr bwMode="auto">
        <a:xfrm>
          <a:off x="9563100" y="9401175"/>
          <a:ext cx="9525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257175</xdr:colOff>
      <xdr:row>56</xdr:row>
      <xdr:rowOff>85725</xdr:rowOff>
    </xdr:from>
    <xdr:to>
      <xdr:col>16</xdr:col>
      <xdr:colOff>542925</xdr:colOff>
      <xdr:row>56</xdr:row>
      <xdr:rowOff>85725</xdr:rowOff>
    </xdr:to>
    <xdr:sp macro="" textlink="">
      <xdr:nvSpPr>
        <xdr:cNvPr id="38" name="Line 48">
          <a:extLst>
            <a:ext uri="{FF2B5EF4-FFF2-40B4-BE49-F238E27FC236}">
              <a16:creationId xmlns:a16="http://schemas.microsoft.com/office/drawing/2014/main" id="{DA59D3CF-D763-47F8-AEFB-5BB71786149E}"/>
            </a:ext>
          </a:extLst>
        </xdr:cNvPr>
        <xdr:cNvSpPr>
          <a:spLocks noChangeShapeType="1"/>
        </xdr:cNvSpPr>
      </xdr:nvSpPr>
      <xdr:spPr bwMode="auto">
        <a:xfrm>
          <a:off x="9610725" y="9153525"/>
          <a:ext cx="8953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62</xdr:row>
      <xdr:rowOff>28575</xdr:rowOff>
    </xdr:from>
    <xdr:to>
      <xdr:col>13</xdr:col>
      <xdr:colOff>190500</xdr:colOff>
      <xdr:row>65</xdr:row>
      <xdr:rowOff>66675</xdr:rowOff>
    </xdr:to>
    <xdr:sp macro="" textlink="">
      <xdr:nvSpPr>
        <xdr:cNvPr id="39" name="Text Box 52">
          <a:extLst>
            <a:ext uri="{FF2B5EF4-FFF2-40B4-BE49-F238E27FC236}">
              <a16:creationId xmlns:a16="http://schemas.microsoft.com/office/drawing/2014/main" id="{8A5A433A-C628-4B12-899A-4FF38825F02C}"/>
            </a:ext>
          </a:extLst>
        </xdr:cNvPr>
        <xdr:cNvSpPr txBox="1">
          <a:spLocks noChangeArrowheads="1"/>
        </xdr:cNvSpPr>
      </xdr:nvSpPr>
      <xdr:spPr bwMode="auto">
        <a:xfrm>
          <a:off x="8096250" y="10067925"/>
          <a:ext cx="2286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62</xdr:row>
      <xdr:rowOff>85725</xdr:rowOff>
    </xdr:from>
    <xdr:to>
      <xdr:col>12</xdr:col>
      <xdr:colOff>266700</xdr:colOff>
      <xdr:row>65</xdr:row>
      <xdr:rowOff>47625</xdr:rowOff>
    </xdr:to>
    <xdr:sp macro="" textlink="">
      <xdr:nvSpPr>
        <xdr:cNvPr id="40" name="Text Box 54">
          <a:extLst>
            <a:ext uri="{FF2B5EF4-FFF2-40B4-BE49-F238E27FC236}">
              <a16:creationId xmlns:a16="http://schemas.microsoft.com/office/drawing/2014/main" id="{CC014FF0-8162-4BD7-B7D6-7E6A41854555}"/>
            </a:ext>
          </a:extLst>
        </xdr:cNvPr>
        <xdr:cNvSpPr txBox="1">
          <a:spLocks noChangeArrowheads="1"/>
        </xdr:cNvSpPr>
      </xdr:nvSpPr>
      <xdr:spPr bwMode="auto">
        <a:xfrm>
          <a:off x="7600950" y="10125075"/>
          <a:ext cx="1905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190500</xdr:colOff>
      <xdr:row>29</xdr:row>
      <xdr:rowOff>133350</xdr:rowOff>
    </xdr:from>
    <xdr:to>
      <xdr:col>13</xdr:col>
      <xdr:colOff>581025</xdr:colOff>
      <xdr:row>33</xdr:row>
      <xdr:rowOff>38100</xdr:rowOff>
    </xdr:to>
    <xdr:sp macro="" textlink="">
      <xdr:nvSpPr>
        <xdr:cNvPr id="41" name="Text Box 56">
          <a:extLst>
            <a:ext uri="{FF2B5EF4-FFF2-40B4-BE49-F238E27FC236}">
              <a16:creationId xmlns:a16="http://schemas.microsoft.com/office/drawing/2014/main" id="{99F1E03D-DF2B-4BE0-B670-7E5727E11660}"/>
            </a:ext>
          </a:extLst>
        </xdr:cNvPr>
        <xdr:cNvSpPr txBox="1">
          <a:spLocks noChangeArrowheads="1"/>
        </xdr:cNvSpPr>
      </xdr:nvSpPr>
      <xdr:spPr bwMode="auto">
        <a:xfrm>
          <a:off x="8324850" y="4829175"/>
          <a:ext cx="390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201244</xdr:colOff>
      <xdr:row>17</xdr:row>
      <xdr:rowOff>4008</xdr:rowOff>
    </xdr:from>
    <xdr:to>
      <xdr:col>18</xdr:col>
      <xdr:colOff>516642</xdr:colOff>
      <xdr:row>18</xdr:row>
      <xdr:rowOff>137095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6642344-5508-4FB4-93D9-C7852A54B97B}"/>
            </a:ext>
          </a:extLst>
        </xdr:cNvPr>
        <xdr:cNvSpPr txBox="1"/>
      </xdr:nvSpPr>
      <xdr:spPr>
        <a:xfrm>
          <a:off x="10164394" y="2756733"/>
          <a:ext cx="1534598" cy="295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Vendor</a:t>
          </a:r>
          <a:r>
            <a:rPr lang="en-US" sz="1000" baseline="0">
              <a:solidFill>
                <a:srgbClr val="FF0000"/>
              </a:solidFill>
            </a:rPr>
            <a:t> Limit = 0.7 mm/s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164246</xdr:colOff>
      <xdr:row>13</xdr:row>
      <xdr:rowOff>140691</xdr:rowOff>
    </xdr:from>
    <xdr:to>
      <xdr:col>19</xdr:col>
      <xdr:colOff>89927</xdr:colOff>
      <xdr:row>15</xdr:row>
      <xdr:rowOff>118637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5277177-4151-4793-8A1F-7B4C2623D5F8}"/>
            </a:ext>
          </a:extLst>
        </xdr:cNvPr>
        <xdr:cNvSpPr txBox="1"/>
      </xdr:nvSpPr>
      <xdr:spPr>
        <a:xfrm>
          <a:off x="10722342" y="2236191"/>
          <a:ext cx="1156604" cy="3003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Industry</a:t>
          </a:r>
          <a:r>
            <a:rPr lang="en-US" sz="1000" baseline="0">
              <a:solidFill>
                <a:srgbClr val="FF0000"/>
              </a:solidFill>
            </a:rPr>
            <a:t> Limit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0.01077</cdr:x>
      <cdr:y>0.0122</cdr:y>
    </cdr:from>
    <cdr:to>
      <cdr:x>0.14929</cdr:x>
      <cdr:y>0.1303</cdr:y>
    </cdr:to>
    <cdr:sp macro="" textlink="">
      <cdr:nvSpPr>
        <cdr:cNvPr id="64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666583" cy="477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0.01053</cdr:x>
      <cdr:y>0.06494</cdr:y>
    </cdr:from>
    <cdr:to>
      <cdr:x>0.0771</cdr:x>
      <cdr:y>0.28791</cdr:y>
    </cdr:to>
    <cdr:sp macro="" textlink="">
      <cdr:nvSpPr>
        <cdr:cNvPr id="64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315575" cy="163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40</xdr:row>
      <xdr:rowOff>0</xdr:rowOff>
    </xdr:from>
    <xdr:to>
      <xdr:col>16</xdr:col>
      <xdr:colOff>485775</xdr:colOff>
      <xdr:row>67</xdr:row>
      <xdr:rowOff>114300</xdr:rowOff>
    </xdr:to>
    <xdr:graphicFrame macro="">
      <xdr:nvGraphicFramePr>
        <xdr:cNvPr id="2" name="Chart 27">
          <a:extLst>
            <a:ext uri="{FF2B5EF4-FFF2-40B4-BE49-F238E27FC236}">
              <a16:creationId xmlns:a16="http://schemas.microsoft.com/office/drawing/2014/main" id="{AE1F8667-6460-4B83-9127-7883866D3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5</xdr:row>
      <xdr:rowOff>104776</xdr:rowOff>
    </xdr:from>
    <xdr:to>
      <xdr:col>19</xdr:col>
      <xdr:colOff>57150</xdr:colOff>
      <xdr:row>32</xdr:row>
      <xdr:rowOff>33130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7C74F1B-45FB-4134-940B-66BEF7F4A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11</xdr:col>
      <xdr:colOff>88510</xdr:colOff>
      <xdr:row>16</xdr:row>
      <xdr:rowOff>150886</xdr:rowOff>
    </xdr:from>
    <xdr:to>
      <xdr:col>12</xdr:col>
      <xdr:colOff>232398</xdr:colOff>
      <xdr:row>19</xdr:row>
      <xdr:rowOff>62715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36257B52-F61E-4D93-A429-164FAC5EB458}"/>
            </a:ext>
          </a:extLst>
        </xdr:cNvPr>
        <xdr:cNvSpPr txBox="1">
          <a:spLocks noChangeArrowheads="1"/>
        </xdr:cNvSpPr>
      </xdr:nvSpPr>
      <xdr:spPr bwMode="auto">
        <a:xfrm>
          <a:off x="7003660" y="2741686"/>
          <a:ext cx="753488" cy="39760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 noticeable to persons</a:t>
          </a:r>
        </a:p>
      </xdr:txBody>
    </xdr:sp>
    <xdr:clientData/>
  </xdr:twoCellAnchor>
  <xdr:twoCellAnchor>
    <xdr:from>
      <xdr:col>11</xdr:col>
      <xdr:colOff>294358</xdr:colOff>
      <xdr:row>14</xdr:row>
      <xdr:rowOff>131562</xdr:rowOff>
    </xdr:from>
    <xdr:to>
      <xdr:col>12</xdr:col>
      <xdr:colOff>598813</xdr:colOff>
      <xdr:row>16</xdr:row>
      <xdr:rowOff>56326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F88632C4-EE42-48AD-8B4C-B85808A8DDF9}"/>
            </a:ext>
          </a:extLst>
        </xdr:cNvPr>
        <xdr:cNvSpPr txBox="1">
          <a:spLocks noChangeArrowheads="1"/>
        </xdr:cNvSpPr>
      </xdr:nvSpPr>
      <xdr:spPr bwMode="auto">
        <a:xfrm>
          <a:off x="7209508" y="2398512"/>
          <a:ext cx="914055" cy="24861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Barely noticeable to persons</a:t>
          </a:r>
        </a:p>
      </xdr:txBody>
    </xdr:sp>
    <xdr:clientData/>
  </xdr:twoCellAnchor>
  <xdr:twoCellAnchor>
    <xdr:from>
      <xdr:col>11</xdr:col>
      <xdr:colOff>327880</xdr:colOff>
      <xdr:row>12</xdr:row>
      <xdr:rowOff>46112</xdr:rowOff>
    </xdr:from>
    <xdr:to>
      <xdr:col>13</xdr:col>
      <xdr:colOff>21981</xdr:colOff>
      <xdr:row>13</xdr:row>
      <xdr:rowOff>139212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3820654F-CDA4-40A7-AE97-F5AF2959A49A}"/>
            </a:ext>
          </a:extLst>
        </xdr:cNvPr>
        <xdr:cNvSpPr txBox="1">
          <a:spLocks noChangeArrowheads="1"/>
        </xdr:cNvSpPr>
      </xdr:nvSpPr>
      <xdr:spPr bwMode="auto">
        <a:xfrm>
          <a:off x="7243030" y="1989212"/>
          <a:ext cx="913301" cy="25502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Easily noticeable to persons</a:t>
          </a:r>
        </a:p>
      </xdr:txBody>
    </xdr:sp>
    <xdr:clientData/>
  </xdr:twoCellAnchor>
  <xdr:twoCellAnchor>
    <xdr:from>
      <xdr:col>9</xdr:col>
      <xdr:colOff>238125</xdr:colOff>
      <xdr:row>36</xdr:row>
      <xdr:rowOff>0</xdr:rowOff>
    </xdr:from>
    <xdr:to>
      <xdr:col>16</xdr:col>
      <xdr:colOff>485775</xdr:colOff>
      <xdr:row>36</xdr:row>
      <xdr:rowOff>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98BF423D-CBD6-48A5-9159-5BE7DDA0A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36</xdr:row>
      <xdr:rowOff>0</xdr:rowOff>
    </xdr:from>
    <xdr:to>
      <xdr:col>12</xdr:col>
      <xdr:colOff>303892</xdr:colOff>
      <xdr:row>36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B66F4F3A-850F-48E9-9F8C-D7FE989D3B22}"/>
            </a:ext>
          </a:extLst>
        </xdr:cNvPr>
        <xdr:cNvSpPr txBox="1">
          <a:spLocks noChangeArrowheads="1"/>
        </xdr:cNvSpPr>
      </xdr:nvSpPr>
      <xdr:spPr bwMode="auto">
        <a:xfrm>
          <a:off x="6972300" y="5829300"/>
          <a:ext cx="85634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296545</xdr:colOff>
      <xdr:row>36</xdr:row>
      <xdr:rowOff>0</xdr:rowOff>
    </xdr:from>
    <xdr:to>
      <xdr:col>12</xdr:col>
      <xdr:colOff>406598</xdr:colOff>
      <xdr:row>36</xdr:row>
      <xdr:rowOff>0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FF9769C8-E6D7-4934-80A2-C2CBB04D428B}"/>
            </a:ext>
          </a:extLst>
        </xdr:cNvPr>
        <xdr:cNvSpPr txBox="1">
          <a:spLocks noChangeArrowheads="1"/>
        </xdr:cNvSpPr>
      </xdr:nvSpPr>
      <xdr:spPr bwMode="auto">
        <a:xfrm>
          <a:off x="7211695" y="5829300"/>
          <a:ext cx="71965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36</xdr:row>
      <xdr:rowOff>0</xdr:rowOff>
    </xdr:from>
    <xdr:to>
      <xdr:col>13</xdr:col>
      <xdr:colOff>333187</xdr:colOff>
      <xdr:row>36</xdr:row>
      <xdr:rowOff>0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280664E2-9D44-4152-BD28-66E76B016BBE}"/>
            </a:ext>
          </a:extLst>
        </xdr:cNvPr>
        <xdr:cNvSpPr txBox="1">
          <a:spLocks noChangeArrowheads="1"/>
        </xdr:cNvSpPr>
      </xdr:nvSpPr>
      <xdr:spPr bwMode="auto">
        <a:xfrm>
          <a:off x="7611745" y="5829300"/>
          <a:ext cx="85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</a:t>
          </a:r>
        </a:p>
      </xdr:txBody>
    </xdr:sp>
    <xdr:clientData/>
  </xdr:twoCellAnchor>
  <xdr:twoCellAnchor>
    <xdr:from>
      <xdr:col>14</xdr:col>
      <xdr:colOff>12700</xdr:colOff>
      <xdr:row>36</xdr:row>
      <xdr:rowOff>0</xdr:rowOff>
    </xdr:from>
    <xdr:to>
      <xdr:col>15</xdr:col>
      <xdr:colOff>407515</xdr:colOff>
      <xdr:row>36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E3ED60F4-254B-4178-BF03-432EA4A2DB4C}"/>
            </a:ext>
          </a:extLst>
        </xdr:cNvPr>
        <xdr:cNvSpPr txBox="1">
          <a:spLocks noChangeArrowheads="1"/>
        </xdr:cNvSpPr>
      </xdr:nvSpPr>
      <xdr:spPr bwMode="auto">
        <a:xfrm>
          <a:off x="8756650" y="5829300"/>
          <a:ext cx="100441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13</xdr:col>
      <xdr:colOff>375675</xdr:colOff>
      <xdr:row>10</xdr:row>
      <xdr:rowOff>53460</xdr:rowOff>
    </xdr:from>
    <xdr:to>
      <xdr:col>13</xdr:col>
      <xdr:colOff>568557</xdr:colOff>
      <xdr:row>13</xdr:row>
      <xdr:rowOff>111649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93624D0B-DFFE-4795-9972-87DFE130C003}"/>
            </a:ext>
          </a:extLst>
        </xdr:cNvPr>
        <xdr:cNvSpPr txBox="1">
          <a:spLocks noChangeArrowheads="1"/>
        </xdr:cNvSpPr>
      </xdr:nvSpPr>
      <xdr:spPr bwMode="auto">
        <a:xfrm flipV="1">
          <a:off x="8510025" y="1672710"/>
          <a:ext cx="192882" cy="5439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1424 rpm</a:t>
          </a:r>
        </a:p>
      </xdr:txBody>
    </xdr:sp>
    <xdr:clientData/>
  </xdr:twoCellAnchor>
  <xdr:twoCellAnchor>
    <xdr:from>
      <xdr:col>13</xdr:col>
      <xdr:colOff>553480</xdr:colOff>
      <xdr:row>10</xdr:row>
      <xdr:rowOff>35224</xdr:rowOff>
    </xdr:from>
    <xdr:to>
      <xdr:col>14</xdr:col>
      <xdr:colOff>123057</xdr:colOff>
      <xdr:row>13</xdr:row>
      <xdr:rowOff>69010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F05FC198-5F01-41BC-9F81-098B9249E5C9}"/>
            </a:ext>
          </a:extLst>
        </xdr:cNvPr>
        <xdr:cNvSpPr txBox="1">
          <a:spLocks noChangeArrowheads="1"/>
        </xdr:cNvSpPr>
      </xdr:nvSpPr>
      <xdr:spPr bwMode="auto">
        <a:xfrm flipV="1">
          <a:off x="8687830" y="1654474"/>
          <a:ext cx="179177" cy="5195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1780 rpm</a:t>
          </a:r>
        </a:p>
      </xdr:txBody>
    </xdr:sp>
    <xdr:clientData/>
  </xdr:twoCellAnchor>
  <xdr:twoCellAnchor>
    <xdr:from>
      <xdr:col>14</xdr:col>
      <xdr:colOff>231093</xdr:colOff>
      <xdr:row>10</xdr:row>
      <xdr:rowOff>42286</xdr:rowOff>
    </xdr:from>
    <xdr:to>
      <xdr:col>14</xdr:col>
      <xdr:colOff>425608</xdr:colOff>
      <xdr:row>13</xdr:row>
      <xdr:rowOff>66350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282C21E0-655D-4CC7-BA01-BBD3E9C91C06}"/>
            </a:ext>
          </a:extLst>
        </xdr:cNvPr>
        <xdr:cNvSpPr txBox="1">
          <a:spLocks noChangeArrowheads="1"/>
        </xdr:cNvSpPr>
      </xdr:nvSpPr>
      <xdr:spPr bwMode="auto">
        <a:xfrm flipH="1" flipV="1">
          <a:off x="8975043" y="1661536"/>
          <a:ext cx="194515" cy="5098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2136 rpm</a:t>
          </a:r>
        </a:p>
      </xdr:txBody>
    </xdr:sp>
    <xdr:clientData/>
  </xdr:twoCellAnchor>
  <xdr:twoCellAnchor>
    <xdr:from>
      <xdr:col>11</xdr:col>
      <xdr:colOff>487596</xdr:colOff>
      <xdr:row>9</xdr:row>
      <xdr:rowOff>110221</xdr:rowOff>
    </xdr:from>
    <xdr:to>
      <xdr:col>13</xdr:col>
      <xdr:colOff>204178</xdr:colOff>
      <xdr:row>11</xdr:row>
      <xdr:rowOff>72354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C30A54AE-2275-4ED5-83C8-4D2EADDEF5AC}"/>
            </a:ext>
          </a:extLst>
        </xdr:cNvPr>
        <xdr:cNvSpPr txBox="1">
          <a:spLocks noChangeArrowheads="1"/>
        </xdr:cNvSpPr>
      </xdr:nvSpPr>
      <xdr:spPr bwMode="auto">
        <a:xfrm>
          <a:off x="7402746" y="1567546"/>
          <a:ext cx="935782" cy="285983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Troublesome to persons</a:t>
          </a:r>
        </a:p>
      </xdr:txBody>
    </xdr:sp>
    <xdr:clientData/>
  </xdr:twoCellAnchor>
  <xdr:twoCellAnchor>
    <xdr:from>
      <xdr:col>16</xdr:col>
      <xdr:colOff>399415</xdr:colOff>
      <xdr:row>63</xdr:row>
      <xdr:rowOff>38100</xdr:rowOff>
    </xdr:from>
    <xdr:to>
      <xdr:col>18</xdr:col>
      <xdr:colOff>405992</xdr:colOff>
      <xdr:row>64</xdr:row>
      <xdr:rowOff>100478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AF1CCF20-08EA-4056-BB1E-92FD89AC7122}"/>
            </a:ext>
          </a:extLst>
        </xdr:cNvPr>
        <xdr:cNvSpPr txBox="1">
          <a:spLocks noChangeArrowheads="1"/>
        </xdr:cNvSpPr>
      </xdr:nvSpPr>
      <xdr:spPr bwMode="auto">
        <a:xfrm>
          <a:off x="10362565" y="10239375"/>
          <a:ext cx="1225777" cy="224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mooth</a:t>
          </a:r>
        </a:p>
      </xdr:txBody>
    </xdr:sp>
    <xdr:clientData/>
  </xdr:twoCellAnchor>
  <xdr:twoCellAnchor>
    <xdr:from>
      <xdr:col>16</xdr:col>
      <xdr:colOff>407670</xdr:colOff>
      <xdr:row>61</xdr:row>
      <xdr:rowOff>99060</xdr:rowOff>
    </xdr:from>
    <xdr:to>
      <xdr:col>18</xdr:col>
      <xdr:colOff>408807</xdr:colOff>
      <xdr:row>63</xdr:row>
      <xdr:rowOff>51090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A3054680-9D34-4E5C-A246-620F3AEDA046}"/>
            </a:ext>
          </a:extLst>
        </xdr:cNvPr>
        <xdr:cNvSpPr txBox="1">
          <a:spLocks noChangeArrowheads="1"/>
        </xdr:cNvSpPr>
      </xdr:nvSpPr>
      <xdr:spPr bwMode="auto">
        <a:xfrm>
          <a:off x="10370820" y="9976485"/>
          <a:ext cx="1220337" cy="275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smooth</a:t>
          </a:r>
        </a:p>
      </xdr:txBody>
    </xdr:sp>
    <xdr:clientData/>
  </xdr:twoCellAnchor>
  <xdr:twoCellAnchor>
    <xdr:from>
      <xdr:col>16</xdr:col>
      <xdr:colOff>405765</xdr:colOff>
      <xdr:row>60</xdr:row>
      <xdr:rowOff>62230</xdr:rowOff>
    </xdr:from>
    <xdr:to>
      <xdr:col>17</xdr:col>
      <xdr:colOff>409180</xdr:colOff>
      <xdr:row>62</xdr:row>
      <xdr:rowOff>14667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8C858396-00DE-4952-8406-DF65DBC2CBB6}"/>
            </a:ext>
          </a:extLst>
        </xdr:cNvPr>
        <xdr:cNvSpPr txBox="1">
          <a:spLocks noChangeArrowheads="1"/>
        </xdr:cNvSpPr>
      </xdr:nvSpPr>
      <xdr:spPr bwMode="auto">
        <a:xfrm>
          <a:off x="10368915" y="9777730"/>
          <a:ext cx="613015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smooth</a:t>
          </a:r>
        </a:p>
      </xdr:txBody>
    </xdr:sp>
    <xdr:clientData/>
  </xdr:twoCellAnchor>
  <xdr:twoCellAnchor>
    <xdr:from>
      <xdr:col>16</xdr:col>
      <xdr:colOff>407670</xdr:colOff>
      <xdr:row>59</xdr:row>
      <xdr:rowOff>50800</xdr:rowOff>
    </xdr:from>
    <xdr:to>
      <xdr:col>18</xdr:col>
      <xdr:colOff>57876</xdr:colOff>
      <xdr:row>60</xdr:row>
      <xdr:rowOff>145532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A6029D26-F65B-4575-8647-C24DD0810759}"/>
            </a:ext>
          </a:extLst>
        </xdr:cNvPr>
        <xdr:cNvSpPr txBox="1">
          <a:spLocks noChangeArrowheads="1"/>
        </xdr:cNvSpPr>
      </xdr:nvSpPr>
      <xdr:spPr bwMode="auto">
        <a:xfrm>
          <a:off x="10370820" y="9604375"/>
          <a:ext cx="869406" cy="2566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394170</xdr:colOff>
      <xdr:row>36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13CD1CE1-12E0-4406-BE30-D587749E33B3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59800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396327</xdr:colOff>
      <xdr:row>36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80BE5A88-0D65-45AD-B910-9F7B9A211244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60016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21</xdr:col>
      <xdr:colOff>0</xdr:colOff>
      <xdr:row>61</xdr:row>
      <xdr:rowOff>76200</xdr:rowOff>
    </xdr:from>
    <xdr:to>
      <xdr:col>21</xdr:col>
      <xdr:colOff>0</xdr:colOff>
      <xdr:row>61</xdr:row>
      <xdr:rowOff>76200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6CF4BCD9-C711-412C-96D6-7C831DBBAFA6}"/>
            </a:ext>
          </a:extLst>
        </xdr:cNvPr>
        <xdr:cNvSpPr>
          <a:spLocks noChangeShapeType="1"/>
        </xdr:cNvSpPr>
      </xdr:nvSpPr>
      <xdr:spPr bwMode="auto">
        <a:xfrm>
          <a:off x="13039725" y="9953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61</xdr:row>
      <xdr:rowOff>66675</xdr:rowOff>
    </xdr:from>
    <xdr:to>
      <xdr:col>21</xdr:col>
      <xdr:colOff>0</xdr:colOff>
      <xdr:row>61</xdr:row>
      <xdr:rowOff>66675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FD211C6C-090F-4293-8750-4744EB389ED8}"/>
            </a:ext>
          </a:extLst>
        </xdr:cNvPr>
        <xdr:cNvSpPr>
          <a:spLocks noChangeShapeType="1"/>
        </xdr:cNvSpPr>
      </xdr:nvSpPr>
      <xdr:spPr bwMode="auto">
        <a:xfrm>
          <a:off x="13039725" y="9944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76200</xdr:rowOff>
    </xdr:from>
    <xdr:to>
      <xdr:col>11</xdr:col>
      <xdr:colOff>0</xdr:colOff>
      <xdr:row>69</xdr:row>
      <xdr:rowOff>76200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4D21E3B7-6F21-4571-B13B-046DF19F0ECB}"/>
            </a:ext>
          </a:extLst>
        </xdr:cNvPr>
        <xdr:cNvSpPr>
          <a:spLocks noChangeShapeType="1"/>
        </xdr:cNvSpPr>
      </xdr:nvSpPr>
      <xdr:spPr bwMode="auto">
        <a:xfrm>
          <a:off x="6915150" y="11249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70</xdr:row>
      <xdr:rowOff>104775</xdr:rowOff>
    </xdr:from>
    <xdr:to>
      <xdr:col>11</xdr:col>
      <xdr:colOff>0</xdr:colOff>
      <xdr:row>70</xdr:row>
      <xdr:rowOff>104775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6C2027B1-72D5-4253-81A0-2D45EF65D17F}"/>
            </a:ext>
          </a:extLst>
        </xdr:cNvPr>
        <xdr:cNvSpPr>
          <a:spLocks noChangeShapeType="1"/>
        </xdr:cNvSpPr>
      </xdr:nvSpPr>
      <xdr:spPr bwMode="auto">
        <a:xfrm>
          <a:off x="6915150" y="114395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50</xdr:row>
      <xdr:rowOff>62230</xdr:rowOff>
    </xdr:from>
    <xdr:to>
      <xdr:col>12</xdr:col>
      <xdr:colOff>303892</xdr:colOff>
      <xdr:row>52</xdr:row>
      <xdr:rowOff>14667</xdr:rowOff>
    </xdr:to>
    <xdr:sp macro="" textlink="">
      <xdr:nvSpPr>
        <xdr:cNvPr id="26" name="Text Box 28">
          <a:extLst>
            <a:ext uri="{FF2B5EF4-FFF2-40B4-BE49-F238E27FC236}">
              <a16:creationId xmlns:a16="http://schemas.microsoft.com/office/drawing/2014/main" id="{5C860948-67B4-4DFB-9901-013A4C0D7775}"/>
            </a:ext>
          </a:extLst>
        </xdr:cNvPr>
        <xdr:cNvSpPr txBox="1">
          <a:spLocks noChangeArrowheads="1"/>
        </xdr:cNvSpPr>
      </xdr:nvSpPr>
      <xdr:spPr bwMode="auto">
        <a:xfrm>
          <a:off x="6972300" y="8158480"/>
          <a:ext cx="856342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201295</xdr:colOff>
      <xdr:row>46</xdr:row>
      <xdr:rowOff>43180</xdr:rowOff>
    </xdr:from>
    <xdr:to>
      <xdr:col>12</xdr:col>
      <xdr:colOff>411490</xdr:colOff>
      <xdr:row>48</xdr:row>
      <xdr:rowOff>1658</xdr:rowOff>
    </xdr:to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05425F0F-7203-4004-8A83-9ED7EEC41D24}"/>
            </a:ext>
          </a:extLst>
        </xdr:cNvPr>
        <xdr:cNvSpPr txBox="1">
          <a:spLocks noChangeArrowheads="1"/>
        </xdr:cNvSpPr>
      </xdr:nvSpPr>
      <xdr:spPr bwMode="auto">
        <a:xfrm>
          <a:off x="7116445" y="7491730"/>
          <a:ext cx="819795" cy="2823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43</xdr:row>
      <xdr:rowOff>43180</xdr:rowOff>
    </xdr:from>
    <xdr:to>
      <xdr:col>13</xdr:col>
      <xdr:colOff>333187</xdr:colOff>
      <xdr:row>45</xdr:row>
      <xdr:rowOff>1659</xdr:rowOff>
    </xdr:to>
    <xdr:sp macro="" textlink="">
      <xdr:nvSpPr>
        <xdr:cNvPr id="28" name="Text Box 30">
          <a:extLst>
            <a:ext uri="{FF2B5EF4-FFF2-40B4-BE49-F238E27FC236}">
              <a16:creationId xmlns:a16="http://schemas.microsoft.com/office/drawing/2014/main" id="{7C272252-F66A-4CC2-A6B4-7BDE04B7429D}"/>
            </a:ext>
          </a:extLst>
        </xdr:cNvPr>
        <xdr:cNvSpPr txBox="1">
          <a:spLocks noChangeArrowheads="1"/>
        </xdr:cNvSpPr>
      </xdr:nvSpPr>
      <xdr:spPr bwMode="auto">
        <a:xfrm>
          <a:off x="7611745" y="7005955"/>
          <a:ext cx="855792" cy="2823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Faulty</a:t>
          </a:r>
        </a:p>
      </xdr:txBody>
    </xdr:sp>
    <xdr:clientData/>
  </xdr:twoCellAnchor>
  <xdr:twoCellAnchor>
    <xdr:from>
      <xdr:col>14</xdr:col>
      <xdr:colOff>125095</xdr:colOff>
      <xdr:row>44</xdr:row>
      <xdr:rowOff>24130</xdr:rowOff>
    </xdr:from>
    <xdr:to>
      <xdr:col>16</xdr:col>
      <xdr:colOff>66584</xdr:colOff>
      <xdr:row>45</xdr:row>
      <xdr:rowOff>93763</xdr:rowOff>
    </xdr:to>
    <xdr:sp macro="" textlink="">
      <xdr:nvSpPr>
        <xdr:cNvPr id="29" name="Text Box 31">
          <a:extLst>
            <a:ext uri="{FF2B5EF4-FFF2-40B4-BE49-F238E27FC236}">
              <a16:creationId xmlns:a16="http://schemas.microsoft.com/office/drawing/2014/main" id="{9C8BC766-95ED-4880-9DB3-0BE7C3541895}"/>
            </a:ext>
          </a:extLst>
        </xdr:cNvPr>
        <xdr:cNvSpPr txBox="1">
          <a:spLocks noChangeArrowheads="1"/>
        </xdr:cNvSpPr>
      </xdr:nvSpPr>
      <xdr:spPr bwMode="auto">
        <a:xfrm>
          <a:off x="8869045" y="7148830"/>
          <a:ext cx="1160689" cy="231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16</xdr:col>
      <xdr:colOff>399415</xdr:colOff>
      <xdr:row>57</xdr:row>
      <xdr:rowOff>78105</xdr:rowOff>
    </xdr:from>
    <xdr:to>
      <xdr:col>17</xdr:col>
      <xdr:colOff>379792</xdr:colOff>
      <xdr:row>59</xdr:row>
      <xdr:rowOff>5851</xdr:rowOff>
    </xdr:to>
    <xdr:sp macro="" textlink="">
      <xdr:nvSpPr>
        <xdr:cNvPr id="30" name="Text Box 32">
          <a:extLst>
            <a:ext uri="{FF2B5EF4-FFF2-40B4-BE49-F238E27FC236}">
              <a16:creationId xmlns:a16="http://schemas.microsoft.com/office/drawing/2014/main" id="{5A94682E-EC16-4CA7-84DF-03575E70E637}"/>
            </a:ext>
          </a:extLst>
        </xdr:cNvPr>
        <xdr:cNvSpPr txBox="1">
          <a:spLocks noChangeArrowheads="1"/>
        </xdr:cNvSpPr>
      </xdr:nvSpPr>
      <xdr:spPr bwMode="auto">
        <a:xfrm>
          <a:off x="10362565" y="9307830"/>
          <a:ext cx="589977" cy="251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56</xdr:row>
      <xdr:rowOff>0</xdr:rowOff>
    </xdr:from>
    <xdr:to>
      <xdr:col>17</xdr:col>
      <xdr:colOff>394170</xdr:colOff>
      <xdr:row>57</xdr:row>
      <xdr:rowOff>92969</xdr:rowOff>
    </xdr:to>
    <xdr:sp macro="" textlink="">
      <xdr:nvSpPr>
        <xdr:cNvPr id="31" name="Text Box 33">
          <a:extLst>
            <a:ext uri="{FF2B5EF4-FFF2-40B4-BE49-F238E27FC236}">
              <a16:creationId xmlns:a16="http://schemas.microsoft.com/office/drawing/2014/main" id="{639ABFB8-EE53-490C-B07D-17DAECC03EBA}"/>
            </a:ext>
          </a:extLst>
        </xdr:cNvPr>
        <xdr:cNvSpPr txBox="1">
          <a:spLocks noChangeArrowheads="1"/>
        </xdr:cNvSpPr>
      </xdr:nvSpPr>
      <xdr:spPr bwMode="auto">
        <a:xfrm>
          <a:off x="10368915" y="9067800"/>
          <a:ext cx="598005" cy="25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16</xdr:col>
      <xdr:colOff>0</xdr:colOff>
      <xdr:row>135</xdr:row>
      <xdr:rowOff>0</xdr:rowOff>
    </xdr:from>
    <xdr:to>
      <xdr:col>16</xdr:col>
      <xdr:colOff>0</xdr:colOff>
      <xdr:row>135</xdr:row>
      <xdr:rowOff>37616</xdr:rowOff>
    </xdr:to>
    <xdr:sp macro="" textlink="">
      <xdr:nvSpPr>
        <xdr:cNvPr id="32" name="Text Box 35">
          <a:extLst>
            <a:ext uri="{FF2B5EF4-FFF2-40B4-BE49-F238E27FC236}">
              <a16:creationId xmlns:a16="http://schemas.microsoft.com/office/drawing/2014/main" id="{590679ED-D1CC-44A0-A49F-98E6EE79CFA1}"/>
            </a:ext>
          </a:extLst>
        </xdr:cNvPr>
        <xdr:cNvSpPr txBox="1">
          <a:spLocks noChangeArrowheads="1"/>
        </xdr:cNvSpPr>
      </xdr:nvSpPr>
      <xdr:spPr bwMode="auto">
        <a:xfrm>
          <a:off x="9963150" y="21859875"/>
          <a:ext cx="0" cy="376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smooth</a:t>
          </a:r>
        </a:p>
      </xdr:txBody>
    </xdr:sp>
    <xdr:clientData/>
  </xdr:twoCellAnchor>
  <xdr:twoCellAnchor>
    <xdr:from>
      <xdr:col>14</xdr:col>
      <xdr:colOff>590550</xdr:colOff>
      <xdr:row>63</xdr:row>
      <xdr:rowOff>123825</xdr:rowOff>
    </xdr:from>
    <xdr:to>
      <xdr:col>16</xdr:col>
      <xdr:colOff>552450</xdr:colOff>
      <xdr:row>63</xdr:row>
      <xdr:rowOff>123825</xdr:rowOff>
    </xdr:to>
    <xdr:sp macro="" textlink="">
      <xdr:nvSpPr>
        <xdr:cNvPr id="33" name="Line 43">
          <a:extLst>
            <a:ext uri="{FF2B5EF4-FFF2-40B4-BE49-F238E27FC236}">
              <a16:creationId xmlns:a16="http://schemas.microsoft.com/office/drawing/2014/main" id="{7763C5F3-EFE6-4E05-AAD7-7CD9D44DA562}"/>
            </a:ext>
          </a:extLst>
        </xdr:cNvPr>
        <xdr:cNvSpPr>
          <a:spLocks noChangeShapeType="1"/>
        </xdr:cNvSpPr>
      </xdr:nvSpPr>
      <xdr:spPr bwMode="auto">
        <a:xfrm>
          <a:off x="9334500" y="10325100"/>
          <a:ext cx="1181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62</xdr:row>
      <xdr:rowOff>47625</xdr:rowOff>
    </xdr:from>
    <xdr:to>
      <xdr:col>16</xdr:col>
      <xdr:colOff>533400</xdr:colOff>
      <xdr:row>62</xdr:row>
      <xdr:rowOff>47625</xdr:rowOff>
    </xdr:to>
    <xdr:sp macro="" textlink="">
      <xdr:nvSpPr>
        <xdr:cNvPr id="34" name="Line 44">
          <a:extLst>
            <a:ext uri="{FF2B5EF4-FFF2-40B4-BE49-F238E27FC236}">
              <a16:creationId xmlns:a16="http://schemas.microsoft.com/office/drawing/2014/main" id="{43D7CC21-233C-4FC9-B6BC-579D3014E7BD}"/>
            </a:ext>
          </a:extLst>
        </xdr:cNvPr>
        <xdr:cNvSpPr>
          <a:spLocks noChangeShapeType="1"/>
        </xdr:cNvSpPr>
      </xdr:nvSpPr>
      <xdr:spPr bwMode="auto">
        <a:xfrm>
          <a:off x="9505950" y="100869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61</xdr:row>
      <xdr:rowOff>0</xdr:rowOff>
    </xdr:from>
    <xdr:to>
      <xdr:col>16</xdr:col>
      <xdr:colOff>533400</xdr:colOff>
      <xdr:row>61</xdr:row>
      <xdr:rowOff>0</xdr:rowOff>
    </xdr:to>
    <xdr:sp macro="" textlink="">
      <xdr:nvSpPr>
        <xdr:cNvPr id="35" name="Line 45">
          <a:extLst>
            <a:ext uri="{FF2B5EF4-FFF2-40B4-BE49-F238E27FC236}">
              <a16:creationId xmlns:a16="http://schemas.microsoft.com/office/drawing/2014/main" id="{9D21DB34-CA9D-4FEF-8E6E-A7399AF36C88}"/>
            </a:ext>
          </a:extLst>
        </xdr:cNvPr>
        <xdr:cNvSpPr>
          <a:spLocks noChangeShapeType="1"/>
        </xdr:cNvSpPr>
      </xdr:nvSpPr>
      <xdr:spPr bwMode="auto">
        <a:xfrm>
          <a:off x="9505950" y="987742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59</xdr:row>
      <xdr:rowOff>104775</xdr:rowOff>
    </xdr:from>
    <xdr:to>
      <xdr:col>16</xdr:col>
      <xdr:colOff>552450</xdr:colOff>
      <xdr:row>59</xdr:row>
      <xdr:rowOff>114300</xdr:rowOff>
    </xdr:to>
    <xdr:sp macro="" textlink="">
      <xdr:nvSpPr>
        <xdr:cNvPr id="36" name="Line 46">
          <a:extLst>
            <a:ext uri="{FF2B5EF4-FFF2-40B4-BE49-F238E27FC236}">
              <a16:creationId xmlns:a16="http://schemas.microsoft.com/office/drawing/2014/main" id="{7568D7BE-57BC-4FD4-8D0F-820158536E61}"/>
            </a:ext>
          </a:extLst>
        </xdr:cNvPr>
        <xdr:cNvSpPr>
          <a:spLocks noChangeShapeType="1"/>
        </xdr:cNvSpPr>
      </xdr:nvSpPr>
      <xdr:spPr bwMode="auto">
        <a:xfrm>
          <a:off x="9525000" y="9658350"/>
          <a:ext cx="990600" cy="95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58</xdr:row>
      <xdr:rowOff>9525</xdr:rowOff>
    </xdr:from>
    <xdr:to>
      <xdr:col>16</xdr:col>
      <xdr:colOff>552450</xdr:colOff>
      <xdr:row>58</xdr:row>
      <xdr:rowOff>9525</xdr:rowOff>
    </xdr:to>
    <xdr:sp macro="" textlink="">
      <xdr:nvSpPr>
        <xdr:cNvPr id="37" name="Line 47">
          <a:extLst>
            <a:ext uri="{FF2B5EF4-FFF2-40B4-BE49-F238E27FC236}">
              <a16:creationId xmlns:a16="http://schemas.microsoft.com/office/drawing/2014/main" id="{A92019AF-5E63-4F12-B387-5723704D791E}"/>
            </a:ext>
          </a:extLst>
        </xdr:cNvPr>
        <xdr:cNvSpPr>
          <a:spLocks noChangeShapeType="1"/>
        </xdr:cNvSpPr>
      </xdr:nvSpPr>
      <xdr:spPr bwMode="auto">
        <a:xfrm>
          <a:off x="9563100" y="9401175"/>
          <a:ext cx="9525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257175</xdr:colOff>
      <xdr:row>56</xdr:row>
      <xdr:rowOff>85725</xdr:rowOff>
    </xdr:from>
    <xdr:to>
      <xdr:col>16</xdr:col>
      <xdr:colOff>542925</xdr:colOff>
      <xdr:row>56</xdr:row>
      <xdr:rowOff>85725</xdr:rowOff>
    </xdr:to>
    <xdr:sp macro="" textlink="">
      <xdr:nvSpPr>
        <xdr:cNvPr id="38" name="Line 48">
          <a:extLst>
            <a:ext uri="{FF2B5EF4-FFF2-40B4-BE49-F238E27FC236}">
              <a16:creationId xmlns:a16="http://schemas.microsoft.com/office/drawing/2014/main" id="{348C2C45-FD4C-4F3C-B83E-D65B73CDD248}"/>
            </a:ext>
          </a:extLst>
        </xdr:cNvPr>
        <xdr:cNvSpPr>
          <a:spLocks noChangeShapeType="1"/>
        </xdr:cNvSpPr>
      </xdr:nvSpPr>
      <xdr:spPr bwMode="auto">
        <a:xfrm>
          <a:off x="9610725" y="9153525"/>
          <a:ext cx="8953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62</xdr:row>
      <xdr:rowOff>28575</xdr:rowOff>
    </xdr:from>
    <xdr:to>
      <xdr:col>13</xdr:col>
      <xdr:colOff>190500</xdr:colOff>
      <xdr:row>65</xdr:row>
      <xdr:rowOff>66675</xdr:rowOff>
    </xdr:to>
    <xdr:sp macro="" textlink="">
      <xdr:nvSpPr>
        <xdr:cNvPr id="39" name="Text Box 52">
          <a:extLst>
            <a:ext uri="{FF2B5EF4-FFF2-40B4-BE49-F238E27FC236}">
              <a16:creationId xmlns:a16="http://schemas.microsoft.com/office/drawing/2014/main" id="{3C0F0EAC-48B6-4553-980C-C3B7E21232B3}"/>
            </a:ext>
          </a:extLst>
        </xdr:cNvPr>
        <xdr:cNvSpPr txBox="1">
          <a:spLocks noChangeArrowheads="1"/>
        </xdr:cNvSpPr>
      </xdr:nvSpPr>
      <xdr:spPr bwMode="auto">
        <a:xfrm>
          <a:off x="8096250" y="10067925"/>
          <a:ext cx="2286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62</xdr:row>
      <xdr:rowOff>85725</xdr:rowOff>
    </xdr:from>
    <xdr:to>
      <xdr:col>12</xdr:col>
      <xdr:colOff>266700</xdr:colOff>
      <xdr:row>65</xdr:row>
      <xdr:rowOff>47625</xdr:rowOff>
    </xdr:to>
    <xdr:sp macro="" textlink="">
      <xdr:nvSpPr>
        <xdr:cNvPr id="40" name="Text Box 54">
          <a:extLst>
            <a:ext uri="{FF2B5EF4-FFF2-40B4-BE49-F238E27FC236}">
              <a16:creationId xmlns:a16="http://schemas.microsoft.com/office/drawing/2014/main" id="{31C9F312-3CAC-4747-B91C-99B8E2499F4E}"/>
            </a:ext>
          </a:extLst>
        </xdr:cNvPr>
        <xdr:cNvSpPr txBox="1">
          <a:spLocks noChangeArrowheads="1"/>
        </xdr:cNvSpPr>
      </xdr:nvSpPr>
      <xdr:spPr bwMode="auto">
        <a:xfrm>
          <a:off x="7600950" y="10125075"/>
          <a:ext cx="1905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190500</xdr:colOff>
      <xdr:row>29</xdr:row>
      <xdr:rowOff>133350</xdr:rowOff>
    </xdr:from>
    <xdr:to>
      <xdr:col>13</xdr:col>
      <xdr:colOff>581025</xdr:colOff>
      <xdr:row>33</xdr:row>
      <xdr:rowOff>38100</xdr:rowOff>
    </xdr:to>
    <xdr:sp macro="" textlink="">
      <xdr:nvSpPr>
        <xdr:cNvPr id="41" name="Text Box 56">
          <a:extLst>
            <a:ext uri="{FF2B5EF4-FFF2-40B4-BE49-F238E27FC236}">
              <a16:creationId xmlns:a16="http://schemas.microsoft.com/office/drawing/2014/main" id="{14E55A0B-38BA-499B-B4F4-A06C385D81E1}"/>
            </a:ext>
          </a:extLst>
        </xdr:cNvPr>
        <xdr:cNvSpPr txBox="1">
          <a:spLocks noChangeArrowheads="1"/>
        </xdr:cNvSpPr>
      </xdr:nvSpPr>
      <xdr:spPr bwMode="auto">
        <a:xfrm>
          <a:off x="8324850" y="4829175"/>
          <a:ext cx="390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201244</xdr:colOff>
      <xdr:row>17</xdr:row>
      <xdr:rowOff>4008</xdr:rowOff>
    </xdr:from>
    <xdr:to>
      <xdr:col>18</xdr:col>
      <xdr:colOff>516642</xdr:colOff>
      <xdr:row>18</xdr:row>
      <xdr:rowOff>137095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2AC5AEE3-4661-4B4C-890C-3EAA638915BD}"/>
            </a:ext>
          </a:extLst>
        </xdr:cNvPr>
        <xdr:cNvSpPr txBox="1"/>
      </xdr:nvSpPr>
      <xdr:spPr>
        <a:xfrm>
          <a:off x="10164394" y="2756733"/>
          <a:ext cx="1534598" cy="295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Vendor</a:t>
          </a:r>
          <a:r>
            <a:rPr lang="en-US" sz="1000" baseline="0">
              <a:solidFill>
                <a:srgbClr val="FF0000"/>
              </a:solidFill>
            </a:rPr>
            <a:t> Limit = 0.7 mm/s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164246</xdr:colOff>
      <xdr:row>13</xdr:row>
      <xdr:rowOff>155345</xdr:rowOff>
    </xdr:from>
    <xdr:to>
      <xdr:col>19</xdr:col>
      <xdr:colOff>89927</xdr:colOff>
      <xdr:row>15</xdr:row>
      <xdr:rowOff>133291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976FC6A-ED01-4328-9979-8811B11192AE}"/>
            </a:ext>
          </a:extLst>
        </xdr:cNvPr>
        <xdr:cNvSpPr txBox="1"/>
      </xdr:nvSpPr>
      <xdr:spPr>
        <a:xfrm>
          <a:off x="10722342" y="2250845"/>
          <a:ext cx="1156604" cy="3003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Industry</a:t>
          </a:r>
          <a:r>
            <a:rPr lang="en-US" sz="1000" baseline="0">
              <a:solidFill>
                <a:srgbClr val="FF0000"/>
              </a:solidFill>
            </a:rPr>
            <a:t> Limit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0.01077</cdr:x>
      <cdr:y>0.0122</cdr:y>
    </cdr:from>
    <cdr:to>
      <cdr:x>0.14929</cdr:x>
      <cdr:y>0.1303</cdr:y>
    </cdr:to>
    <cdr:sp macro="" textlink="">
      <cdr:nvSpPr>
        <cdr:cNvPr id="64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666583" cy="477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0.01053</cdr:x>
      <cdr:y>0.06494</cdr:y>
    </cdr:from>
    <cdr:to>
      <cdr:x>0.0771</cdr:x>
      <cdr:y>0.28791</cdr:y>
    </cdr:to>
    <cdr:sp macro="" textlink="">
      <cdr:nvSpPr>
        <cdr:cNvPr id="64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315575" cy="163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40</xdr:row>
      <xdr:rowOff>0</xdr:rowOff>
    </xdr:from>
    <xdr:to>
      <xdr:col>16</xdr:col>
      <xdr:colOff>485775</xdr:colOff>
      <xdr:row>67</xdr:row>
      <xdr:rowOff>114300</xdr:rowOff>
    </xdr:to>
    <xdr:graphicFrame macro="">
      <xdr:nvGraphicFramePr>
        <xdr:cNvPr id="2" name="Chart 27">
          <a:extLst>
            <a:ext uri="{FF2B5EF4-FFF2-40B4-BE49-F238E27FC236}">
              <a16:creationId xmlns:a16="http://schemas.microsoft.com/office/drawing/2014/main" id="{1B517EAA-A8E0-4FEC-BBD0-2D6870F313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5</xdr:row>
      <xdr:rowOff>104776</xdr:rowOff>
    </xdr:from>
    <xdr:to>
      <xdr:col>19</xdr:col>
      <xdr:colOff>57150</xdr:colOff>
      <xdr:row>32</xdr:row>
      <xdr:rowOff>33130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FBC4E30B-4E51-44C5-83A2-6460F444B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11</xdr:col>
      <xdr:colOff>88510</xdr:colOff>
      <xdr:row>16</xdr:row>
      <xdr:rowOff>150886</xdr:rowOff>
    </xdr:from>
    <xdr:to>
      <xdr:col>12</xdr:col>
      <xdr:colOff>232398</xdr:colOff>
      <xdr:row>19</xdr:row>
      <xdr:rowOff>62715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E5A7CB5F-15D1-409F-9917-2FAED2F75C65}"/>
            </a:ext>
          </a:extLst>
        </xdr:cNvPr>
        <xdr:cNvSpPr txBox="1">
          <a:spLocks noChangeArrowheads="1"/>
        </xdr:cNvSpPr>
      </xdr:nvSpPr>
      <xdr:spPr bwMode="auto">
        <a:xfrm>
          <a:off x="7003660" y="2741686"/>
          <a:ext cx="753488" cy="39760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 noticeable to persons</a:t>
          </a:r>
        </a:p>
      </xdr:txBody>
    </xdr:sp>
    <xdr:clientData/>
  </xdr:twoCellAnchor>
  <xdr:twoCellAnchor>
    <xdr:from>
      <xdr:col>11</xdr:col>
      <xdr:colOff>294358</xdr:colOff>
      <xdr:row>14</xdr:row>
      <xdr:rowOff>131562</xdr:rowOff>
    </xdr:from>
    <xdr:to>
      <xdr:col>12</xdr:col>
      <xdr:colOff>598813</xdr:colOff>
      <xdr:row>16</xdr:row>
      <xdr:rowOff>56326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9E686E4A-59DB-42D6-B0B2-7F004F1DA867}"/>
            </a:ext>
          </a:extLst>
        </xdr:cNvPr>
        <xdr:cNvSpPr txBox="1">
          <a:spLocks noChangeArrowheads="1"/>
        </xdr:cNvSpPr>
      </xdr:nvSpPr>
      <xdr:spPr bwMode="auto">
        <a:xfrm>
          <a:off x="7209508" y="2398512"/>
          <a:ext cx="914055" cy="24861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Barely noticeable to persons</a:t>
          </a:r>
        </a:p>
      </xdr:txBody>
    </xdr:sp>
    <xdr:clientData/>
  </xdr:twoCellAnchor>
  <xdr:twoCellAnchor>
    <xdr:from>
      <xdr:col>11</xdr:col>
      <xdr:colOff>327880</xdr:colOff>
      <xdr:row>12</xdr:row>
      <xdr:rowOff>46112</xdr:rowOff>
    </xdr:from>
    <xdr:to>
      <xdr:col>13</xdr:col>
      <xdr:colOff>21981</xdr:colOff>
      <xdr:row>13</xdr:row>
      <xdr:rowOff>139212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89D21A56-7FBB-44F6-938F-AB91F0E8367D}"/>
            </a:ext>
          </a:extLst>
        </xdr:cNvPr>
        <xdr:cNvSpPr txBox="1">
          <a:spLocks noChangeArrowheads="1"/>
        </xdr:cNvSpPr>
      </xdr:nvSpPr>
      <xdr:spPr bwMode="auto">
        <a:xfrm>
          <a:off x="7243030" y="1989212"/>
          <a:ext cx="913301" cy="25502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Easily noticeable to persons</a:t>
          </a:r>
        </a:p>
      </xdr:txBody>
    </xdr:sp>
    <xdr:clientData/>
  </xdr:twoCellAnchor>
  <xdr:twoCellAnchor>
    <xdr:from>
      <xdr:col>9</xdr:col>
      <xdr:colOff>238125</xdr:colOff>
      <xdr:row>36</xdr:row>
      <xdr:rowOff>0</xdr:rowOff>
    </xdr:from>
    <xdr:to>
      <xdr:col>16</xdr:col>
      <xdr:colOff>485775</xdr:colOff>
      <xdr:row>36</xdr:row>
      <xdr:rowOff>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95EAE574-2478-4D72-ACE7-C159D2E15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36</xdr:row>
      <xdr:rowOff>0</xdr:rowOff>
    </xdr:from>
    <xdr:to>
      <xdr:col>12</xdr:col>
      <xdr:colOff>303892</xdr:colOff>
      <xdr:row>36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29DC0277-FF2F-4C27-8B88-E9C5CD5DF38B}"/>
            </a:ext>
          </a:extLst>
        </xdr:cNvPr>
        <xdr:cNvSpPr txBox="1">
          <a:spLocks noChangeArrowheads="1"/>
        </xdr:cNvSpPr>
      </xdr:nvSpPr>
      <xdr:spPr bwMode="auto">
        <a:xfrm>
          <a:off x="6972300" y="5829300"/>
          <a:ext cx="85634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296545</xdr:colOff>
      <xdr:row>36</xdr:row>
      <xdr:rowOff>0</xdr:rowOff>
    </xdr:from>
    <xdr:to>
      <xdr:col>12</xdr:col>
      <xdr:colOff>406598</xdr:colOff>
      <xdr:row>36</xdr:row>
      <xdr:rowOff>0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95002CCC-0129-4FBE-A962-2254E527B8FE}"/>
            </a:ext>
          </a:extLst>
        </xdr:cNvPr>
        <xdr:cNvSpPr txBox="1">
          <a:spLocks noChangeArrowheads="1"/>
        </xdr:cNvSpPr>
      </xdr:nvSpPr>
      <xdr:spPr bwMode="auto">
        <a:xfrm>
          <a:off x="7211695" y="5829300"/>
          <a:ext cx="71965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36</xdr:row>
      <xdr:rowOff>0</xdr:rowOff>
    </xdr:from>
    <xdr:to>
      <xdr:col>13</xdr:col>
      <xdr:colOff>333187</xdr:colOff>
      <xdr:row>36</xdr:row>
      <xdr:rowOff>0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49A5C7B0-E9FA-4E74-A9BC-0547189952E7}"/>
            </a:ext>
          </a:extLst>
        </xdr:cNvPr>
        <xdr:cNvSpPr txBox="1">
          <a:spLocks noChangeArrowheads="1"/>
        </xdr:cNvSpPr>
      </xdr:nvSpPr>
      <xdr:spPr bwMode="auto">
        <a:xfrm>
          <a:off x="7611745" y="5829300"/>
          <a:ext cx="85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</a:t>
          </a:r>
        </a:p>
      </xdr:txBody>
    </xdr:sp>
    <xdr:clientData/>
  </xdr:twoCellAnchor>
  <xdr:twoCellAnchor>
    <xdr:from>
      <xdr:col>14</xdr:col>
      <xdr:colOff>12700</xdr:colOff>
      <xdr:row>36</xdr:row>
      <xdr:rowOff>0</xdr:rowOff>
    </xdr:from>
    <xdr:to>
      <xdr:col>15</xdr:col>
      <xdr:colOff>407515</xdr:colOff>
      <xdr:row>36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F368CC49-ACAF-422A-A12B-74F35BD808FA}"/>
            </a:ext>
          </a:extLst>
        </xdr:cNvPr>
        <xdr:cNvSpPr txBox="1">
          <a:spLocks noChangeArrowheads="1"/>
        </xdr:cNvSpPr>
      </xdr:nvSpPr>
      <xdr:spPr bwMode="auto">
        <a:xfrm>
          <a:off x="8756650" y="5829300"/>
          <a:ext cx="100441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13</xdr:col>
      <xdr:colOff>375675</xdr:colOff>
      <xdr:row>10</xdr:row>
      <xdr:rowOff>53460</xdr:rowOff>
    </xdr:from>
    <xdr:to>
      <xdr:col>13</xdr:col>
      <xdr:colOff>568557</xdr:colOff>
      <xdr:row>13</xdr:row>
      <xdr:rowOff>111649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7D21631D-16D8-4DAE-B019-294F6AFB7BDF}"/>
            </a:ext>
          </a:extLst>
        </xdr:cNvPr>
        <xdr:cNvSpPr txBox="1">
          <a:spLocks noChangeArrowheads="1"/>
        </xdr:cNvSpPr>
      </xdr:nvSpPr>
      <xdr:spPr bwMode="auto">
        <a:xfrm flipV="1">
          <a:off x="8510025" y="1672710"/>
          <a:ext cx="192882" cy="5439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1424 rpm</a:t>
          </a:r>
        </a:p>
      </xdr:txBody>
    </xdr:sp>
    <xdr:clientData/>
  </xdr:twoCellAnchor>
  <xdr:twoCellAnchor>
    <xdr:from>
      <xdr:col>13</xdr:col>
      <xdr:colOff>553480</xdr:colOff>
      <xdr:row>10</xdr:row>
      <xdr:rowOff>35224</xdr:rowOff>
    </xdr:from>
    <xdr:to>
      <xdr:col>14</xdr:col>
      <xdr:colOff>123057</xdr:colOff>
      <xdr:row>13</xdr:row>
      <xdr:rowOff>69010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F61337A-D9A2-47DC-8BF8-2D1A2D2489DB}"/>
            </a:ext>
          </a:extLst>
        </xdr:cNvPr>
        <xdr:cNvSpPr txBox="1">
          <a:spLocks noChangeArrowheads="1"/>
        </xdr:cNvSpPr>
      </xdr:nvSpPr>
      <xdr:spPr bwMode="auto">
        <a:xfrm flipV="1">
          <a:off x="8687830" y="1654474"/>
          <a:ext cx="179177" cy="5195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1780 rpm</a:t>
          </a:r>
        </a:p>
      </xdr:txBody>
    </xdr:sp>
    <xdr:clientData/>
  </xdr:twoCellAnchor>
  <xdr:twoCellAnchor>
    <xdr:from>
      <xdr:col>14</xdr:col>
      <xdr:colOff>231093</xdr:colOff>
      <xdr:row>10</xdr:row>
      <xdr:rowOff>42286</xdr:rowOff>
    </xdr:from>
    <xdr:to>
      <xdr:col>14</xdr:col>
      <xdr:colOff>425608</xdr:colOff>
      <xdr:row>13</xdr:row>
      <xdr:rowOff>66350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DA68CB6E-970D-44D2-8D67-A79ED93B8E0A}"/>
            </a:ext>
          </a:extLst>
        </xdr:cNvPr>
        <xdr:cNvSpPr txBox="1">
          <a:spLocks noChangeArrowheads="1"/>
        </xdr:cNvSpPr>
      </xdr:nvSpPr>
      <xdr:spPr bwMode="auto">
        <a:xfrm flipH="1" flipV="1">
          <a:off x="8975043" y="1661536"/>
          <a:ext cx="194515" cy="5098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2136 rpm</a:t>
          </a:r>
        </a:p>
      </xdr:txBody>
    </xdr:sp>
    <xdr:clientData/>
  </xdr:twoCellAnchor>
  <xdr:twoCellAnchor>
    <xdr:from>
      <xdr:col>11</xdr:col>
      <xdr:colOff>487596</xdr:colOff>
      <xdr:row>9</xdr:row>
      <xdr:rowOff>110221</xdr:rowOff>
    </xdr:from>
    <xdr:to>
      <xdr:col>13</xdr:col>
      <xdr:colOff>204178</xdr:colOff>
      <xdr:row>11</xdr:row>
      <xdr:rowOff>72354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429653F1-12D5-4564-BF63-45A12BE10022}"/>
            </a:ext>
          </a:extLst>
        </xdr:cNvPr>
        <xdr:cNvSpPr txBox="1">
          <a:spLocks noChangeArrowheads="1"/>
        </xdr:cNvSpPr>
      </xdr:nvSpPr>
      <xdr:spPr bwMode="auto">
        <a:xfrm>
          <a:off x="7402746" y="1567546"/>
          <a:ext cx="935782" cy="285983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Troublesome to persons</a:t>
          </a:r>
        </a:p>
      </xdr:txBody>
    </xdr:sp>
    <xdr:clientData/>
  </xdr:twoCellAnchor>
  <xdr:twoCellAnchor>
    <xdr:from>
      <xdr:col>16</xdr:col>
      <xdr:colOff>399415</xdr:colOff>
      <xdr:row>63</xdr:row>
      <xdr:rowOff>38100</xdr:rowOff>
    </xdr:from>
    <xdr:to>
      <xdr:col>18</xdr:col>
      <xdr:colOff>405992</xdr:colOff>
      <xdr:row>64</xdr:row>
      <xdr:rowOff>100478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CEECFE76-2AF1-44B8-9B7D-69B555439399}"/>
            </a:ext>
          </a:extLst>
        </xdr:cNvPr>
        <xdr:cNvSpPr txBox="1">
          <a:spLocks noChangeArrowheads="1"/>
        </xdr:cNvSpPr>
      </xdr:nvSpPr>
      <xdr:spPr bwMode="auto">
        <a:xfrm>
          <a:off x="10362565" y="10239375"/>
          <a:ext cx="1225777" cy="224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mooth</a:t>
          </a:r>
        </a:p>
      </xdr:txBody>
    </xdr:sp>
    <xdr:clientData/>
  </xdr:twoCellAnchor>
  <xdr:twoCellAnchor>
    <xdr:from>
      <xdr:col>16</xdr:col>
      <xdr:colOff>407670</xdr:colOff>
      <xdr:row>61</xdr:row>
      <xdr:rowOff>99060</xdr:rowOff>
    </xdr:from>
    <xdr:to>
      <xdr:col>18</xdr:col>
      <xdr:colOff>408807</xdr:colOff>
      <xdr:row>63</xdr:row>
      <xdr:rowOff>51090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1466B453-3A39-4587-B7F6-C01CA13F3C99}"/>
            </a:ext>
          </a:extLst>
        </xdr:cNvPr>
        <xdr:cNvSpPr txBox="1">
          <a:spLocks noChangeArrowheads="1"/>
        </xdr:cNvSpPr>
      </xdr:nvSpPr>
      <xdr:spPr bwMode="auto">
        <a:xfrm>
          <a:off x="10370820" y="9976485"/>
          <a:ext cx="1220337" cy="275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smooth</a:t>
          </a:r>
        </a:p>
      </xdr:txBody>
    </xdr:sp>
    <xdr:clientData/>
  </xdr:twoCellAnchor>
  <xdr:twoCellAnchor>
    <xdr:from>
      <xdr:col>16</xdr:col>
      <xdr:colOff>405765</xdr:colOff>
      <xdr:row>60</xdr:row>
      <xdr:rowOff>62230</xdr:rowOff>
    </xdr:from>
    <xdr:to>
      <xdr:col>17</xdr:col>
      <xdr:colOff>409180</xdr:colOff>
      <xdr:row>62</xdr:row>
      <xdr:rowOff>14667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31300D7C-08B3-4925-B282-AF2440C1BA87}"/>
            </a:ext>
          </a:extLst>
        </xdr:cNvPr>
        <xdr:cNvSpPr txBox="1">
          <a:spLocks noChangeArrowheads="1"/>
        </xdr:cNvSpPr>
      </xdr:nvSpPr>
      <xdr:spPr bwMode="auto">
        <a:xfrm>
          <a:off x="10368915" y="9777730"/>
          <a:ext cx="613015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smooth</a:t>
          </a:r>
        </a:p>
      </xdr:txBody>
    </xdr:sp>
    <xdr:clientData/>
  </xdr:twoCellAnchor>
  <xdr:twoCellAnchor>
    <xdr:from>
      <xdr:col>16</xdr:col>
      <xdr:colOff>407670</xdr:colOff>
      <xdr:row>59</xdr:row>
      <xdr:rowOff>50800</xdr:rowOff>
    </xdr:from>
    <xdr:to>
      <xdr:col>18</xdr:col>
      <xdr:colOff>57876</xdr:colOff>
      <xdr:row>60</xdr:row>
      <xdr:rowOff>145532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5EBB019D-B3D8-4D28-B11C-405059BBB90C}"/>
            </a:ext>
          </a:extLst>
        </xdr:cNvPr>
        <xdr:cNvSpPr txBox="1">
          <a:spLocks noChangeArrowheads="1"/>
        </xdr:cNvSpPr>
      </xdr:nvSpPr>
      <xdr:spPr bwMode="auto">
        <a:xfrm>
          <a:off x="10370820" y="9604375"/>
          <a:ext cx="869406" cy="2566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394170</xdr:colOff>
      <xdr:row>36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44947F39-C050-4AB2-8F61-AA2B63A3E110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59800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396327</xdr:colOff>
      <xdr:row>36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7B032C9F-DF46-4778-95D7-AD2E70F6965F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60016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21</xdr:col>
      <xdr:colOff>0</xdr:colOff>
      <xdr:row>61</xdr:row>
      <xdr:rowOff>76200</xdr:rowOff>
    </xdr:from>
    <xdr:to>
      <xdr:col>21</xdr:col>
      <xdr:colOff>0</xdr:colOff>
      <xdr:row>61</xdr:row>
      <xdr:rowOff>76200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B9E7E4DB-0949-4D39-9728-1EE7BDB61286}"/>
            </a:ext>
          </a:extLst>
        </xdr:cNvPr>
        <xdr:cNvSpPr>
          <a:spLocks noChangeShapeType="1"/>
        </xdr:cNvSpPr>
      </xdr:nvSpPr>
      <xdr:spPr bwMode="auto">
        <a:xfrm>
          <a:off x="13039725" y="9953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61</xdr:row>
      <xdr:rowOff>66675</xdr:rowOff>
    </xdr:from>
    <xdr:to>
      <xdr:col>21</xdr:col>
      <xdr:colOff>0</xdr:colOff>
      <xdr:row>61</xdr:row>
      <xdr:rowOff>66675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7042B703-A195-4089-8549-9813AD3289CF}"/>
            </a:ext>
          </a:extLst>
        </xdr:cNvPr>
        <xdr:cNvSpPr>
          <a:spLocks noChangeShapeType="1"/>
        </xdr:cNvSpPr>
      </xdr:nvSpPr>
      <xdr:spPr bwMode="auto">
        <a:xfrm>
          <a:off x="13039725" y="9944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76200</xdr:rowOff>
    </xdr:from>
    <xdr:to>
      <xdr:col>11</xdr:col>
      <xdr:colOff>0</xdr:colOff>
      <xdr:row>69</xdr:row>
      <xdr:rowOff>76200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747FF9BB-2786-45D1-BD80-DF2520435BE3}"/>
            </a:ext>
          </a:extLst>
        </xdr:cNvPr>
        <xdr:cNvSpPr>
          <a:spLocks noChangeShapeType="1"/>
        </xdr:cNvSpPr>
      </xdr:nvSpPr>
      <xdr:spPr bwMode="auto">
        <a:xfrm>
          <a:off x="6915150" y="11249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70</xdr:row>
      <xdr:rowOff>104775</xdr:rowOff>
    </xdr:from>
    <xdr:to>
      <xdr:col>11</xdr:col>
      <xdr:colOff>0</xdr:colOff>
      <xdr:row>70</xdr:row>
      <xdr:rowOff>104775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EE595EBB-47A0-4436-8CD9-C1B28504D54D}"/>
            </a:ext>
          </a:extLst>
        </xdr:cNvPr>
        <xdr:cNvSpPr>
          <a:spLocks noChangeShapeType="1"/>
        </xdr:cNvSpPr>
      </xdr:nvSpPr>
      <xdr:spPr bwMode="auto">
        <a:xfrm>
          <a:off x="6915150" y="114395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50</xdr:row>
      <xdr:rowOff>62230</xdr:rowOff>
    </xdr:from>
    <xdr:to>
      <xdr:col>12</xdr:col>
      <xdr:colOff>303892</xdr:colOff>
      <xdr:row>52</xdr:row>
      <xdr:rowOff>14667</xdr:rowOff>
    </xdr:to>
    <xdr:sp macro="" textlink="">
      <xdr:nvSpPr>
        <xdr:cNvPr id="26" name="Text Box 28">
          <a:extLst>
            <a:ext uri="{FF2B5EF4-FFF2-40B4-BE49-F238E27FC236}">
              <a16:creationId xmlns:a16="http://schemas.microsoft.com/office/drawing/2014/main" id="{C65A46AE-B8A1-42A0-86D5-C5FF5875FD2F}"/>
            </a:ext>
          </a:extLst>
        </xdr:cNvPr>
        <xdr:cNvSpPr txBox="1">
          <a:spLocks noChangeArrowheads="1"/>
        </xdr:cNvSpPr>
      </xdr:nvSpPr>
      <xdr:spPr bwMode="auto">
        <a:xfrm>
          <a:off x="6972300" y="8158480"/>
          <a:ext cx="856342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201295</xdr:colOff>
      <xdr:row>46</xdr:row>
      <xdr:rowOff>43180</xdr:rowOff>
    </xdr:from>
    <xdr:to>
      <xdr:col>12</xdr:col>
      <xdr:colOff>411490</xdr:colOff>
      <xdr:row>48</xdr:row>
      <xdr:rowOff>1658</xdr:rowOff>
    </xdr:to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3A2181AF-6DDB-42C8-B7DD-FFD0300EED6D}"/>
            </a:ext>
          </a:extLst>
        </xdr:cNvPr>
        <xdr:cNvSpPr txBox="1">
          <a:spLocks noChangeArrowheads="1"/>
        </xdr:cNvSpPr>
      </xdr:nvSpPr>
      <xdr:spPr bwMode="auto">
        <a:xfrm>
          <a:off x="7116445" y="7491730"/>
          <a:ext cx="819795" cy="2823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43</xdr:row>
      <xdr:rowOff>43180</xdr:rowOff>
    </xdr:from>
    <xdr:to>
      <xdr:col>13</xdr:col>
      <xdr:colOff>333187</xdr:colOff>
      <xdr:row>45</xdr:row>
      <xdr:rowOff>1659</xdr:rowOff>
    </xdr:to>
    <xdr:sp macro="" textlink="">
      <xdr:nvSpPr>
        <xdr:cNvPr id="28" name="Text Box 30">
          <a:extLst>
            <a:ext uri="{FF2B5EF4-FFF2-40B4-BE49-F238E27FC236}">
              <a16:creationId xmlns:a16="http://schemas.microsoft.com/office/drawing/2014/main" id="{32C49ED7-95BB-485D-A459-E9377B46E5ED}"/>
            </a:ext>
          </a:extLst>
        </xdr:cNvPr>
        <xdr:cNvSpPr txBox="1">
          <a:spLocks noChangeArrowheads="1"/>
        </xdr:cNvSpPr>
      </xdr:nvSpPr>
      <xdr:spPr bwMode="auto">
        <a:xfrm>
          <a:off x="7611745" y="7005955"/>
          <a:ext cx="855792" cy="2823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Faulty</a:t>
          </a:r>
        </a:p>
      </xdr:txBody>
    </xdr:sp>
    <xdr:clientData/>
  </xdr:twoCellAnchor>
  <xdr:twoCellAnchor>
    <xdr:from>
      <xdr:col>14</xdr:col>
      <xdr:colOff>125095</xdr:colOff>
      <xdr:row>44</xdr:row>
      <xdr:rowOff>24130</xdr:rowOff>
    </xdr:from>
    <xdr:to>
      <xdr:col>16</xdr:col>
      <xdr:colOff>66584</xdr:colOff>
      <xdr:row>45</xdr:row>
      <xdr:rowOff>93763</xdr:rowOff>
    </xdr:to>
    <xdr:sp macro="" textlink="">
      <xdr:nvSpPr>
        <xdr:cNvPr id="29" name="Text Box 31">
          <a:extLst>
            <a:ext uri="{FF2B5EF4-FFF2-40B4-BE49-F238E27FC236}">
              <a16:creationId xmlns:a16="http://schemas.microsoft.com/office/drawing/2014/main" id="{2CCC2693-22C1-47BB-ACED-DC5E8C15E37D}"/>
            </a:ext>
          </a:extLst>
        </xdr:cNvPr>
        <xdr:cNvSpPr txBox="1">
          <a:spLocks noChangeArrowheads="1"/>
        </xdr:cNvSpPr>
      </xdr:nvSpPr>
      <xdr:spPr bwMode="auto">
        <a:xfrm>
          <a:off x="8869045" y="7148830"/>
          <a:ext cx="1160689" cy="231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16</xdr:col>
      <xdr:colOff>399415</xdr:colOff>
      <xdr:row>57</xdr:row>
      <xdr:rowOff>78105</xdr:rowOff>
    </xdr:from>
    <xdr:to>
      <xdr:col>17</xdr:col>
      <xdr:colOff>379792</xdr:colOff>
      <xdr:row>59</xdr:row>
      <xdr:rowOff>5851</xdr:rowOff>
    </xdr:to>
    <xdr:sp macro="" textlink="">
      <xdr:nvSpPr>
        <xdr:cNvPr id="30" name="Text Box 32">
          <a:extLst>
            <a:ext uri="{FF2B5EF4-FFF2-40B4-BE49-F238E27FC236}">
              <a16:creationId xmlns:a16="http://schemas.microsoft.com/office/drawing/2014/main" id="{1A0816AC-3CD1-451E-B560-DBC184D56ABA}"/>
            </a:ext>
          </a:extLst>
        </xdr:cNvPr>
        <xdr:cNvSpPr txBox="1">
          <a:spLocks noChangeArrowheads="1"/>
        </xdr:cNvSpPr>
      </xdr:nvSpPr>
      <xdr:spPr bwMode="auto">
        <a:xfrm>
          <a:off x="10362565" y="9307830"/>
          <a:ext cx="589977" cy="251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56</xdr:row>
      <xdr:rowOff>0</xdr:rowOff>
    </xdr:from>
    <xdr:to>
      <xdr:col>17</xdr:col>
      <xdr:colOff>394170</xdr:colOff>
      <xdr:row>57</xdr:row>
      <xdr:rowOff>92969</xdr:rowOff>
    </xdr:to>
    <xdr:sp macro="" textlink="">
      <xdr:nvSpPr>
        <xdr:cNvPr id="31" name="Text Box 33">
          <a:extLst>
            <a:ext uri="{FF2B5EF4-FFF2-40B4-BE49-F238E27FC236}">
              <a16:creationId xmlns:a16="http://schemas.microsoft.com/office/drawing/2014/main" id="{6144599A-D2CF-4478-861D-125ED71CAA4C}"/>
            </a:ext>
          </a:extLst>
        </xdr:cNvPr>
        <xdr:cNvSpPr txBox="1">
          <a:spLocks noChangeArrowheads="1"/>
        </xdr:cNvSpPr>
      </xdr:nvSpPr>
      <xdr:spPr bwMode="auto">
        <a:xfrm>
          <a:off x="10368915" y="9067800"/>
          <a:ext cx="598005" cy="25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16</xdr:col>
      <xdr:colOff>0</xdr:colOff>
      <xdr:row>135</xdr:row>
      <xdr:rowOff>0</xdr:rowOff>
    </xdr:from>
    <xdr:to>
      <xdr:col>16</xdr:col>
      <xdr:colOff>0</xdr:colOff>
      <xdr:row>135</xdr:row>
      <xdr:rowOff>37616</xdr:rowOff>
    </xdr:to>
    <xdr:sp macro="" textlink="">
      <xdr:nvSpPr>
        <xdr:cNvPr id="32" name="Text Box 35">
          <a:extLst>
            <a:ext uri="{FF2B5EF4-FFF2-40B4-BE49-F238E27FC236}">
              <a16:creationId xmlns:a16="http://schemas.microsoft.com/office/drawing/2014/main" id="{5CD4E38A-5A41-4F10-B413-9B799AB59B91}"/>
            </a:ext>
          </a:extLst>
        </xdr:cNvPr>
        <xdr:cNvSpPr txBox="1">
          <a:spLocks noChangeArrowheads="1"/>
        </xdr:cNvSpPr>
      </xdr:nvSpPr>
      <xdr:spPr bwMode="auto">
        <a:xfrm>
          <a:off x="9963150" y="21859875"/>
          <a:ext cx="0" cy="376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smooth</a:t>
          </a:r>
        </a:p>
      </xdr:txBody>
    </xdr:sp>
    <xdr:clientData/>
  </xdr:twoCellAnchor>
  <xdr:twoCellAnchor>
    <xdr:from>
      <xdr:col>14</xdr:col>
      <xdr:colOff>590550</xdr:colOff>
      <xdr:row>63</xdr:row>
      <xdr:rowOff>123825</xdr:rowOff>
    </xdr:from>
    <xdr:to>
      <xdr:col>16</xdr:col>
      <xdr:colOff>552450</xdr:colOff>
      <xdr:row>63</xdr:row>
      <xdr:rowOff>123825</xdr:rowOff>
    </xdr:to>
    <xdr:sp macro="" textlink="">
      <xdr:nvSpPr>
        <xdr:cNvPr id="33" name="Line 43">
          <a:extLst>
            <a:ext uri="{FF2B5EF4-FFF2-40B4-BE49-F238E27FC236}">
              <a16:creationId xmlns:a16="http://schemas.microsoft.com/office/drawing/2014/main" id="{C2390973-0883-4666-927D-7C4597DC5BAD}"/>
            </a:ext>
          </a:extLst>
        </xdr:cNvPr>
        <xdr:cNvSpPr>
          <a:spLocks noChangeShapeType="1"/>
        </xdr:cNvSpPr>
      </xdr:nvSpPr>
      <xdr:spPr bwMode="auto">
        <a:xfrm>
          <a:off x="9334500" y="10325100"/>
          <a:ext cx="1181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62</xdr:row>
      <xdr:rowOff>47625</xdr:rowOff>
    </xdr:from>
    <xdr:to>
      <xdr:col>16</xdr:col>
      <xdr:colOff>533400</xdr:colOff>
      <xdr:row>62</xdr:row>
      <xdr:rowOff>47625</xdr:rowOff>
    </xdr:to>
    <xdr:sp macro="" textlink="">
      <xdr:nvSpPr>
        <xdr:cNvPr id="34" name="Line 44">
          <a:extLst>
            <a:ext uri="{FF2B5EF4-FFF2-40B4-BE49-F238E27FC236}">
              <a16:creationId xmlns:a16="http://schemas.microsoft.com/office/drawing/2014/main" id="{352B42ED-7535-4563-88CE-C52B49B0E317}"/>
            </a:ext>
          </a:extLst>
        </xdr:cNvPr>
        <xdr:cNvSpPr>
          <a:spLocks noChangeShapeType="1"/>
        </xdr:cNvSpPr>
      </xdr:nvSpPr>
      <xdr:spPr bwMode="auto">
        <a:xfrm>
          <a:off x="9505950" y="100869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61</xdr:row>
      <xdr:rowOff>0</xdr:rowOff>
    </xdr:from>
    <xdr:to>
      <xdr:col>16</xdr:col>
      <xdr:colOff>533400</xdr:colOff>
      <xdr:row>61</xdr:row>
      <xdr:rowOff>0</xdr:rowOff>
    </xdr:to>
    <xdr:sp macro="" textlink="">
      <xdr:nvSpPr>
        <xdr:cNvPr id="35" name="Line 45">
          <a:extLst>
            <a:ext uri="{FF2B5EF4-FFF2-40B4-BE49-F238E27FC236}">
              <a16:creationId xmlns:a16="http://schemas.microsoft.com/office/drawing/2014/main" id="{F45C207E-A454-4E54-9145-D455B7094E3E}"/>
            </a:ext>
          </a:extLst>
        </xdr:cNvPr>
        <xdr:cNvSpPr>
          <a:spLocks noChangeShapeType="1"/>
        </xdr:cNvSpPr>
      </xdr:nvSpPr>
      <xdr:spPr bwMode="auto">
        <a:xfrm>
          <a:off x="9505950" y="987742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59</xdr:row>
      <xdr:rowOff>104775</xdr:rowOff>
    </xdr:from>
    <xdr:to>
      <xdr:col>16</xdr:col>
      <xdr:colOff>552450</xdr:colOff>
      <xdr:row>59</xdr:row>
      <xdr:rowOff>114300</xdr:rowOff>
    </xdr:to>
    <xdr:sp macro="" textlink="">
      <xdr:nvSpPr>
        <xdr:cNvPr id="36" name="Line 46">
          <a:extLst>
            <a:ext uri="{FF2B5EF4-FFF2-40B4-BE49-F238E27FC236}">
              <a16:creationId xmlns:a16="http://schemas.microsoft.com/office/drawing/2014/main" id="{C50FE1A4-70AD-48B8-80B2-B9729671DB99}"/>
            </a:ext>
          </a:extLst>
        </xdr:cNvPr>
        <xdr:cNvSpPr>
          <a:spLocks noChangeShapeType="1"/>
        </xdr:cNvSpPr>
      </xdr:nvSpPr>
      <xdr:spPr bwMode="auto">
        <a:xfrm>
          <a:off x="9525000" y="9658350"/>
          <a:ext cx="990600" cy="95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58</xdr:row>
      <xdr:rowOff>9525</xdr:rowOff>
    </xdr:from>
    <xdr:to>
      <xdr:col>16</xdr:col>
      <xdr:colOff>552450</xdr:colOff>
      <xdr:row>58</xdr:row>
      <xdr:rowOff>9525</xdr:rowOff>
    </xdr:to>
    <xdr:sp macro="" textlink="">
      <xdr:nvSpPr>
        <xdr:cNvPr id="37" name="Line 47">
          <a:extLst>
            <a:ext uri="{FF2B5EF4-FFF2-40B4-BE49-F238E27FC236}">
              <a16:creationId xmlns:a16="http://schemas.microsoft.com/office/drawing/2014/main" id="{EE69DB47-80B4-42E4-BAB3-68DED7E57396}"/>
            </a:ext>
          </a:extLst>
        </xdr:cNvPr>
        <xdr:cNvSpPr>
          <a:spLocks noChangeShapeType="1"/>
        </xdr:cNvSpPr>
      </xdr:nvSpPr>
      <xdr:spPr bwMode="auto">
        <a:xfrm>
          <a:off x="9563100" y="9401175"/>
          <a:ext cx="9525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257175</xdr:colOff>
      <xdr:row>56</xdr:row>
      <xdr:rowOff>85725</xdr:rowOff>
    </xdr:from>
    <xdr:to>
      <xdr:col>16</xdr:col>
      <xdr:colOff>542925</xdr:colOff>
      <xdr:row>56</xdr:row>
      <xdr:rowOff>85725</xdr:rowOff>
    </xdr:to>
    <xdr:sp macro="" textlink="">
      <xdr:nvSpPr>
        <xdr:cNvPr id="38" name="Line 48">
          <a:extLst>
            <a:ext uri="{FF2B5EF4-FFF2-40B4-BE49-F238E27FC236}">
              <a16:creationId xmlns:a16="http://schemas.microsoft.com/office/drawing/2014/main" id="{70C2EADD-94E3-4E9C-9372-F9D5118ADC1B}"/>
            </a:ext>
          </a:extLst>
        </xdr:cNvPr>
        <xdr:cNvSpPr>
          <a:spLocks noChangeShapeType="1"/>
        </xdr:cNvSpPr>
      </xdr:nvSpPr>
      <xdr:spPr bwMode="auto">
        <a:xfrm>
          <a:off x="9610725" y="9153525"/>
          <a:ext cx="8953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62</xdr:row>
      <xdr:rowOff>28575</xdr:rowOff>
    </xdr:from>
    <xdr:to>
      <xdr:col>13</xdr:col>
      <xdr:colOff>190500</xdr:colOff>
      <xdr:row>65</xdr:row>
      <xdr:rowOff>66675</xdr:rowOff>
    </xdr:to>
    <xdr:sp macro="" textlink="">
      <xdr:nvSpPr>
        <xdr:cNvPr id="39" name="Text Box 52">
          <a:extLst>
            <a:ext uri="{FF2B5EF4-FFF2-40B4-BE49-F238E27FC236}">
              <a16:creationId xmlns:a16="http://schemas.microsoft.com/office/drawing/2014/main" id="{821EBBAF-3A0E-4E53-A5E2-388B29D4A5C6}"/>
            </a:ext>
          </a:extLst>
        </xdr:cNvPr>
        <xdr:cNvSpPr txBox="1">
          <a:spLocks noChangeArrowheads="1"/>
        </xdr:cNvSpPr>
      </xdr:nvSpPr>
      <xdr:spPr bwMode="auto">
        <a:xfrm>
          <a:off x="8096250" y="10067925"/>
          <a:ext cx="2286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62</xdr:row>
      <xdr:rowOff>85725</xdr:rowOff>
    </xdr:from>
    <xdr:to>
      <xdr:col>12</xdr:col>
      <xdr:colOff>266700</xdr:colOff>
      <xdr:row>65</xdr:row>
      <xdr:rowOff>47625</xdr:rowOff>
    </xdr:to>
    <xdr:sp macro="" textlink="">
      <xdr:nvSpPr>
        <xdr:cNvPr id="40" name="Text Box 54">
          <a:extLst>
            <a:ext uri="{FF2B5EF4-FFF2-40B4-BE49-F238E27FC236}">
              <a16:creationId xmlns:a16="http://schemas.microsoft.com/office/drawing/2014/main" id="{A9F2A035-3DFB-4D7F-9585-BB2FF1E70924}"/>
            </a:ext>
          </a:extLst>
        </xdr:cNvPr>
        <xdr:cNvSpPr txBox="1">
          <a:spLocks noChangeArrowheads="1"/>
        </xdr:cNvSpPr>
      </xdr:nvSpPr>
      <xdr:spPr bwMode="auto">
        <a:xfrm>
          <a:off x="7600950" y="10125075"/>
          <a:ext cx="1905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190500</xdr:colOff>
      <xdr:row>29</xdr:row>
      <xdr:rowOff>133350</xdr:rowOff>
    </xdr:from>
    <xdr:to>
      <xdr:col>13</xdr:col>
      <xdr:colOff>581025</xdr:colOff>
      <xdr:row>33</xdr:row>
      <xdr:rowOff>38100</xdr:rowOff>
    </xdr:to>
    <xdr:sp macro="" textlink="">
      <xdr:nvSpPr>
        <xdr:cNvPr id="41" name="Text Box 56">
          <a:extLst>
            <a:ext uri="{FF2B5EF4-FFF2-40B4-BE49-F238E27FC236}">
              <a16:creationId xmlns:a16="http://schemas.microsoft.com/office/drawing/2014/main" id="{76404663-C601-4AF6-94B5-2BA5FE92C951}"/>
            </a:ext>
          </a:extLst>
        </xdr:cNvPr>
        <xdr:cNvSpPr txBox="1">
          <a:spLocks noChangeArrowheads="1"/>
        </xdr:cNvSpPr>
      </xdr:nvSpPr>
      <xdr:spPr bwMode="auto">
        <a:xfrm>
          <a:off x="8324850" y="4829175"/>
          <a:ext cx="390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201244</xdr:colOff>
      <xdr:row>17</xdr:row>
      <xdr:rowOff>4008</xdr:rowOff>
    </xdr:from>
    <xdr:to>
      <xdr:col>18</xdr:col>
      <xdr:colOff>516642</xdr:colOff>
      <xdr:row>18</xdr:row>
      <xdr:rowOff>137095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D1007C1-4FA7-4D33-A6BD-179F25B8778A}"/>
            </a:ext>
          </a:extLst>
        </xdr:cNvPr>
        <xdr:cNvSpPr txBox="1"/>
      </xdr:nvSpPr>
      <xdr:spPr>
        <a:xfrm>
          <a:off x="10164394" y="2756733"/>
          <a:ext cx="1534598" cy="295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Vendor</a:t>
          </a:r>
          <a:r>
            <a:rPr lang="en-US" sz="1000" baseline="0">
              <a:solidFill>
                <a:srgbClr val="FF0000"/>
              </a:solidFill>
            </a:rPr>
            <a:t> Limit = 0.7 mm/s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171572</xdr:colOff>
      <xdr:row>14</xdr:row>
      <xdr:rowOff>1480</xdr:rowOff>
    </xdr:from>
    <xdr:to>
      <xdr:col>19</xdr:col>
      <xdr:colOff>97253</xdr:colOff>
      <xdr:row>15</xdr:row>
      <xdr:rowOff>140618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EAB559F-E954-40F9-9DD9-F4DA2E7B3C1B}"/>
            </a:ext>
          </a:extLst>
        </xdr:cNvPr>
        <xdr:cNvSpPr txBox="1"/>
      </xdr:nvSpPr>
      <xdr:spPr>
        <a:xfrm>
          <a:off x="10729668" y="2258172"/>
          <a:ext cx="1156604" cy="3003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Industry</a:t>
          </a:r>
          <a:r>
            <a:rPr lang="en-US" sz="1000" baseline="0">
              <a:solidFill>
                <a:srgbClr val="FF0000"/>
              </a:solidFill>
            </a:rPr>
            <a:t> Limit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0.01077</cdr:x>
      <cdr:y>0.0122</cdr:y>
    </cdr:from>
    <cdr:to>
      <cdr:x>0.14929</cdr:x>
      <cdr:y>0.1303</cdr:y>
    </cdr:to>
    <cdr:sp macro="" textlink="">
      <cdr:nvSpPr>
        <cdr:cNvPr id="64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666583" cy="477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0.01053</cdr:x>
      <cdr:y>0.06494</cdr:y>
    </cdr:from>
    <cdr:to>
      <cdr:x>0.0771</cdr:x>
      <cdr:y>0.28791</cdr:y>
    </cdr:to>
    <cdr:sp macro="" textlink="">
      <cdr:nvSpPr>
        <cdr:cNvPr id="64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315575" cy="163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40</xdr:row>
      <xdr:rowOff>0</xdr:rowOff>
    </xdr:from>
    <xdr:to>
      <xdr:col>16</xdr:col>
      <xdr:colOff>485775</xdr:colOff>
      <xdr:row>67</xdr:row>
      <xdr:rowOff>114300</xdr:rowOff>
    </xdr:to>
    <xdr:graphicFrame macro="">
      <xdr:nvGraphicFramePr>
        <xdr:cNvPr id="2" name="Chart 27">
          <a:extLst>
            <a:ext uri="{FF2B5EF4-FFF2-40B4-BE49-F238E27FC236}">
              <a16:creationId xmlns:a16="http://schemas.microsoft.com/office/drawing/2014/main" id="{E28E0779-8C88-43C8-A6E4-D2357BBC3E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5</xdr:row>
      <xdr:rowOff>104776</xdr:rowOff>
    </xdr:from>
    <xdr:to>
      <xdr:col>19</xdr:col>
      <xdr:colOff>57150</xdr:colOff>
      <xdr:row>32</xdr:row>
      <xdr:rowOff>33130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975A447-CEDC-455B-A2A6-210A949399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11</xdr:col>
      <xdr:colOff>88510</xdr:colOff>
      <xdr:row>16</xdr:row>
      <xdr:rowOff>150886</xdr:rowOff>
    </xdr:from>
    <xdr:to>
      <xdr:col>12</xdr:col>
      <xdr:colOff>232398</xdr:colOff>
      <xdr:row>19</xdr:row>
      <xdr:rowOff>62715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20EFBFF4-6236-4627-BB2D-10F2A225D50E}"/>
            </a:ext>
          </a:extLst>
        </xdr:cNvPr>
        <xdr:cNvSpPr txBox="1">
          <a:spLocks noChangeArrowheads="1"/>
        </xdr:cNvSpPr>
      </xdr:nvSpPr>
      <xdr:spPr bwMode="auto">
        <a:xfrm>
          <a:off x="7003660" y="2741686"/>
          <a:ext cx="753488" cy="39760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 noticeable to persons</a:t>
          </a:r>
        </a:p>
      </xdr:txBody>
    </xdr:sp>
    <xdr:clientData/>
  </xdr:twoCellAnchor>
  <xdr:twoCellAnchor>
    <xdr:from>
      <xdr:col>11</xdr:col>
      <xdr:colOff>294358</xdr:colOff>
      <xdr:row>14</xdr:row>
      <xdr:rowOff>131562</xdr:rowOff>
    </xdr:from>
    <xdr:to>
      <xdr:col>12</xdr:col>
      <xdr:colOff>598813</xdr:colOff>
      <xdr:row>16</xdr:row>
      <xdr:rowOff>56326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08FDE3DE-D130-4B9D-A2F3-018601450E08}"/>
            </a:ext>
          </a:extLst>
        </xdr:cNvPr>
        <xdr:cNvSpPr txBox="1">
          <a:spLocks noChangeArrowheads="1"/>
        </xdr:cNvSpPr>
      </xdr:nvSpPr>
      <xdr:spPr bwMode="auto">
        <a:xfrm>
          <a:off x="7209508" y="2398512"/>
          <a:ext cx="914055" cy="24861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Barely noticeable to persons</a:t>
          </a:r>
        </a:p>
      </xdr:txBody>
    </xdr:sp>
    <xdr:clientData/>
  </xdr:twoCellAnchor>
  <xdr:twoCellAnchor>
    <xdr:from>
      <xdr:col>11</xdr:col>
      <xdr:colOff>327880</xdr:colOff>
      <xdr:row>12</xdr:row>
      <xdr:rowOff>46112</xdr:rowOff>
    </xdr:from>
    <xdr:to>
      <xdr:col>13</xdr:col>
      <xdr:colOff>21981</xdr:colOff>
      <xdr:row>13</xdr:row>
      <xdr:rowOff>139212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F56D4D16-25BB-47A6-A698-7718BF017147}"/>
            </a:ext>
          </a:extLst>
        </xdr:cNvPr>
        <xdr:cNvSpPr txBox="1">
          <a:spLocks noChangeArrowheads="1"/>
        </xdr:cNvSpPr>
      </xdr:nvSpPr>
      <xdr:spPr bwMode="auto">
        <a:xfrm>
          <a:off x="7243030" y="1989212"/>
          <a:ext cx="913301" cy="25502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Easily noticeable to persons</a:t>
          </a:r>
        </a:p>
      </xdr:txBody>
    </xdr:sp>
    <xdr:clientData/>
  </xdr:twoCellAnchor>
  <xdr:twoCellAnchor>
    <xdr:from>
      <xdr:col>9</xdr:col>
      <xdr:colOff>238125</xdr:colOff>
      <xdr:row>36</xdr:row>
      <xdr:rowOff>0</xdr:rowOff>
    </xdr:from>
    <xdr:to>
      <xdr:col>16</xdr:col>
      <xdr:colOff>485775</xdr:colOff>
      <xdr:row>36</xdr:row>
      <xdr:rowOff>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5EA68BB4-D314-4535-832D-9FB4158B68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36</xdr:row>
      <xdr:rowOff>0</xdr:rowOff>
    </xdr:from>
    <xdr:to>
      <xdr:col>12</xdr:col>
      <xdr:colOff>303892</xdr:colOff>
      <xdr:row>36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829B1214-4166-4CC9-8A16-C722933A87D1}"/>
            </a:ext>
          </a:extLst>
        </xdr:cNvPr>
        <xdr:cNvSpPr txBox="1">
          <a:spLocks noChangeArrowheads="1"/>
        </xdr:cNvSpPr>
      </xdr:nvSpPr>
      <xdr:spPr bwMode="auto">
        <a:xfrm>
          <a:off x="6972300" y="5829300"/>
          <a:ext cx="85634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296545</xdr:colOff>
      <xdr:row>36</xdr:row>
      <xdr:rowOff>0</xdr:rowOff>
    </xdr:from>
    <xdr:to>
      <xdr:col>12</xdr:col>
      <xdr:colOff>406598</xdr:colOff>
      <xdr:row>36</xdr:row>
      <xdr:rowOff>0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427A4346-1FF0-4797-A844-269A6C033CBA}"/>
            </a:ext>
          </a:extLst>
        </xdr:cNvPr>
        <xdr:cNvSpPr txBox="1">
          <a:spLocks noChangeArrowheads="1"/>
        </xdr:cNvSpPr>
      </xdr:nvSpPr>
      <xdr:spPr bwMode="auto">
        <a:xfrm>
          <a:off x="7211695" y="5829300"/>
          <a:ext cx="71965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36</xdr:row>
      <xdr:rowOff>0</xdr:rowOff>
    </xdr:from>
    <xdr:to>
      <xdr:col>13</xdr:col>
      <xdr:colOff>333187</xdr:colOff>
      <xdr:row>36</xdr:row>
      <xdr:rowOff>0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E6A9A7BF-4398-4C3F-BADE-F8C93E453020}"/>
            </a:ext>
          </a:extLst>
        </xdr:cNvPr>
        <xdr:cNvSpPr txBox="1">
          <a:spLocks noChangeArrowheads="1"/>
        </xdr:cNvSpPr>
      </xdr:nvSpPr>
      <xdr:spPr bwMode="auto">
        <a:xfrm>
          <a:off x="7611745" y="5829300"/>
          <a:ext cx="85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</a:t>
          </a:r>
        </a:p>
      </xdr:txBody>
    </xdr:sp>
    <xdr:clientData/>
  </xdr:twoCellAnchor>
  <xdr:twoCellAnchor>
    <xdr:from>
      <xdr:col>14</xdr:col>
      <xdr:colOff>12700</xdr:colOff>
      <xdr:row>36</xdr:row>
      <xdr:rowOff>0</xdr:rowOff>
    </xdr:from>
    <xdr:to>
      <xdr:col>15</xdr:col>
      <xdr:colOff>407515</xdr:colOff>
      <xdr:row>36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F180FB67-C0E4-42C8-9B68-A177A62D33B1}"/>
            </a:ext>
          </a:extLst>
        </xdr:cNvPr>
        <xdr:cNvSpPr txBox="1">
          <a:spLocks noChangeArrowheads="1"/>
        </xdr:cNvSpPr>
      </xdr:nvSpPr>
      <xdr:spPr bwMode="auto">
        <a:xfrm>
          <a:off x="8756650" y="5829300"/>
          <a:ext cx="100441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13</xdr:col>
      <xdr:colOff>375675</xdr:colOff>
      <xdr:row>10</xdr:row>
      <xdr:rowOff>53460</xdr:rowOff>
    </xdr:from>
    <xdr:to>
      <xdr:col>13</xdr:col>
      <xdr:colOff>568557</xdr:colOff>
      <xdr:row>13</xdr:row>
      <xdr:rowOff>111649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C7DE5A9E-0798-4C53-AF05-42803848743D}"/>
            </a:ext>
          </a:extLst>
        </xdr:cNvPr>
        <xdr:cNvSpPr txBox="1">
          <a:spLocks noChangeArrowheads="1"/>
        </xdr:cNvSpPr>
      </xdr:nvSpPr>
      <xdr:spPr bwMode="auto">
        <a:xfrm flipV="1">
          <a:off x="8510025" y="1672710"/>
          <a:ext cx="192882" cy="5439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1424 rpm</a:t>
          </a:r>
        </a:p>
      </xdr:txBody>
    </xdr:sp>
    <xdr:clientData/>
  </xdr:twoCellAnchor>
  <xdr:twoCellAnchor>
    <xdr:from>
      <xdr:col>13</xdr:col>
      <xdr:colOff>553480</xdr:colOff>
      <xdr:row>10</xdr:row>
      <xdr:rowOff>35224</xdr:rowOff>
    </xdr:from>
    <xdr:to>
      <xdr:col>14</xdr:col>
      <xdr:colOff>123057</xdr:colOff>
      <xdr:row>13</xdr:row>
      <xdr:rowOff>69010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1C666623-117F-45E6-B20D-991AF91C374A}"/>
            </a:ext>
          </a:extLst>
        </xdr:cNvPr>
        <xdr:cNvSpPr txBox="1">
          <a:spLocks noChangeArrowheads="1"/>
        </xdr:cNvSpPr>
      </xdr:nvSpPr>
      <xdr:spPr bwMode="auto">
        <a:xfrm flipV="1">
          <a:off x="8687830" y="1654474"/>
          <a:ext cx="179177" cy="5195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1780 rpm</a:t>
          </a:r>
        </a:p>
      </xdr:txBody>
    </xdr:sp>
    <xdr:clientData/>
  </xdr:twoCellAnchor>
  <xdr:twoCellAnchor>
    <xdr:from>
      <xdr:col>14</xdr:col>
      <xdr:colOff>231093</xdr:colOff>
      <xdr:row>10</xdr:row>
      <xdr:rowOff>42286</xdr:rowOff>
    </xdr:from>
    <xdr:to>
      <xdr:col>14</xdr:col>
      <xdr:colOff>425608</xdr:colOff>
      <xdr:row>13</xdr:row>
      <xdr:rowOff>66350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8BD78835-DDDF-4279-B407-5E45C096B6CF}"/>
            </a:ext>
          </a:extLst>
        </xdr:cNvPr>
        <xdr:cNvSpPr txBox="1">
          <a:spLocks noChangeArrowheads="1"/>
        </xdr:cNvSpPr>
      </xdr:nvSpPr>
      <xdr:spPr bwMode="auto">
        <a:xfrm flipH="1" flipV="1">
          <a:off x="8975043" y="1661536"/>
          <a:ext cx="194515" cy="5098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2136 rpm</a:t>
          </a:r>
        </a:p>
      </xdr:txBody>
    </xdr:sp>
    <xdr:clientData/>
  </xdr:twoCellAnchor>
  <xdr:twoCellAnchor>
    <xdr:from>
      <xdr:col>11</xdr:col>
      <xdr:colOff>487596</xdr:colOff>
      <xdr:row>9</xdr:row>
      <xdr:rowOff>110221</xdr:rowOff>
    </xdr:from>
    <xdr:to>
      <xdr:col>13</xdr:col>
      <xdr:colOff>204178</xdr:colOff>
      <xdr:row>11</xdr:row>
      <xdr:rowOff>72354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578814AF-2AC9-4BA6-8B63-26732B51262D}"/>
            </a:ext>
          </a:extLst>
        </xdr:cNvPr>
        <xdr:cNvSpPr txBox="1">
          <a:spLocks noChangeArrowheads="1"/>
        </xdr:cNvSpPr>
      </xdr:nvSpPr>
      <xdr:spPr bwMode="auto">
        <a:xfrm>
          <a:off x="7402746" y="1567546"/>
          <a:ext cx="935782" cy="285983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Troublesome to persons</a:t>
          </a:r>
        </a:p>
      </xdr:txBody>
    </xdr:sp>
    <xdr:clientData/>
  </xdr:twoCellAnchor>
  <xdr:twoCellAnchor>
    <xdr:from>
      <xdr:col>16</xdr:col>
      <xdr:colOff>399415</xdr:colOff>
      <xdr:row>63</xdr:row>
      <xdr:rowOff>38100</xdr:rowOff>
    </xdr:from>
    <xdr:to>
      <xdr:col>18</xdr:col>
      <xdr:colOff>405992</xdr:colOff>
      <xdr:row>64</xdr:row>
      <xdr:rowOff>100478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F046B52F-ACEC-44C3-9429-302ACF5643E6}"/>
            </a:ext>
          </a:extLst>
        </xdr:cNvPr>
        <xdr:cNvSpPr txBox="1">
          <a:spLocks noChangeArrowheads="1"/>
        </xdr:cNvSpPr>
      </xdr:nvSpPr>
      <xdr:spPr bwMode="auto">
        <a:xfrm>
          <a:off x="10362565" y="10239375"/>
          <a:ext cx="1225777" cy="224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mooth</a:t>
          </a:r>
        </a:p>
      </xdr:txBody>
    </xdr:sp>
    <xdr:clientData/>
  </xdr:twoCellAnchor>
  <xdr:twoCellAnchor>
    <xdr:from>
      <xdr:col>16</xdr:col>
      <xdr:colOff>407670</xdr:colOff>
      <xdr:row>61</xdr:row>
      <xdr:rowOff>99060</xdr:rowOff>
    </xdr:from>
    <xdr:to>
      <xdr:col>18</xdr:col>
      <xdr:colOff>408807</xdr:colOff>
      <xdr:row>63</xdr:row>
      <xdr:rowOff>51090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AAE0CC20-A9EF-4BB9-9A0E-9DCC8C9C9025}"/>
            </a:ext>
          </a:extLst>
        </xdr:cNvPr>
        <xdr:cNvSpPr txBox="1">
          <a:spLocks noChangeArrowheads="1"/>
        </xdr:cNvSpPr>
      </xdr:nvSpPr>
      <xdr:spPr bwMode="auto">
        <a:xfrm>
          <a:off x="10370820" y="9976485"/>
          <a:ext cx="1220337" cy="275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smooth</a:t>
          </a:r>
        </a:p>
      </xdr:txBody>
    </xdr:sp>
    <xdr:clientData/>
  </xdr:twoCellAnchor>
  <xdr:twoCellAnchor>
    <xdr:from>
      <xdr:col>16</xdr:col>
      <xdr:colOff>405765</xdr:colOff>
      <xdr:row>60</xdr:row>
      <xdr:rowOff>62230</xdr:rowOff>
    </xdr:from>
    <xdr:to>
      <xdr:col>17</xdr:col>
      <xdr:colOff>409180</xdr:colOff>
      <xdr:row>62</xdr:row>
      <xdr:rowOff>14667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75708162-F48C-4163-B45B-BC4DE1266744}"/>
            </a:ext>
          </a:extLst>
        </xdr:cNvPr>
        <xdr:cNvSpPr txBox="1">
          <a:spLocks noChangeArrowheads="1"/>
        </xdr:cNvSpPr>
      </xdr:nvSpPr>
      <xdr:spPr bwMode="auto">
        <a:xfrm>
          <a:off x="10368915" y="9777730"/>
          <a:ext cx="613015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smooth</a:t>
          </a:r>
        </a:p>
      </xdr:txBody>
    </xdr:sp>
    <xdr:clientData/>
  </xdr:twoCellAnchor>
  <xdr:twoCellAnchor>
    <xdr:from>
      <xdr:col>16</xdr:col>
      <xdr:colOff>407670</xdr:colOff>
      <xdr:row>59</xdr:row>
      <xdr:rowOff>50800</xdr:rowOff>
    </xdr:from>
    <xdr:to>
      <xdr:col>18</xdr:col>
      <xdr:colOff>57876</xdr:colOff>
      <xdr:row>60</xdr:row>
      <xdr:rowOff>145532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5FF8904D-04A9-4FDF-9267-1C0D91636621}"/>
            </a:ext>
          </a:extLst>
        </xdr:cNvPr>
        <xdr:cNvSpPr txBox="1">
          <a:spLocks noChangeArrowheads="1"/>
        </xdr:cNvSpPr>
      </xdr:nvSpPr>
      <xdr:spPr bwMode="auto">
        <a:xfrm>
          <a:off x="10370820" y="9604375"/>
          <a:ext cx="869406" cy="2566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394170</xdr:colOff>
      <xdr:row>36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A7D140D3-DAA7-449D-8419-A993F94E0BB0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59800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396327</xdr:colOff>
      <xdr:row>36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545ACCB0-B3C8-4548-9BB6-ECCEF895371B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60016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21</xdr:col>
      <xdr:colOff>0</xdr:colOff>
      <xdr:row>61</xdr:row>
      <xdr:rowOff>76200</xdr:rowOff>
    </xdr:from>
    <xdr:to>
      <xdr:col>21</xdr:col>
      <xdr:colOff>0</xdr:colOff>
      <xdr:row>61</xdr:row>
      <xdr:rowOff>76200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CD7B8FFF-B8F5-4240-B033-50EE4820202A}"/>
            </a:ext>
          </a:extLst>
        </xdr:cNvPr>
        <xdr:cNvSpPr>
          <a:spLocks noChangeShapeType="1"/>
        </xdr:cNvSpPr>
      </xdr:nvSpPr>
      <xdr:spPr bwMode="auto">
        <a:xfrm>
          <a:off x="13039725" y="9953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61</xdr:row>
      <xdr:rowOff>66675</xdr:rowOff>
    </xdr:from>
    <xdr:to>
      <xdr:col>21</xdr:col>
      <xdr:colOff>0</xdr:colOff>
      <xdr:row>61</xdr:row>
      <xdr:rowOff>66675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7AEEB97F-4418-4D1C-85D1-42529DCD1902}"/>
            </a:ext>
          </a:extLst>
        </xdr:cNvPr>
        <xdr:cNvSpPr>
          <a:spLocks noChangeShapeType="1"/>
        </xdr:cNvSpPr>
      </xdr:nvSpPr>
      <xdr:spPr bwMode="auto">
        <a:xfrm>
          <a:off x="13039725" y="9944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76200</xdr:rowOff>
    </xdr:from>
    <xdr:to>
      <xdr:col>11</xdr:col>
      <xdr:colOff>0</xdr:colOff>
      <xdr:row>69</xdr:row>
      <xdr:rowOff>76200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0EFFB6FE-3378-4DB9-94A4-646AD822AE8D}"/>
            </a:ext>
          </a:extLst>
        </xdr:cNvPr>
        <xdr:cNvSpPr>
          <a:spLocks noChangeShapeType="1"/>
        </xdr:cNvSpPr>
      </xdr:nvSpPr>
      <xdr:spPr bwMode="auto">
        <a:xfrm>
          <a:off x="6915150" y="11249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70</xdr:row>
      <xdr:rowOff>104775</xdr:rowOff>
    </xdr:from>
    <xdr:to>
      <xdr:col>11</xdr:col>
      <xdr:colOff>0</xdr:colOff>
      <xdr:row>70</xdr:row>
      <xdr:rowOff>104775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A255D39E-A3CE-4149-B268-85441505D17A}"/>
            </a:ext>
          </a:extLst>
        </xdr:cNvPr>
        <xdr:cNvSpPr>
          <a:spLocks noChangeShapeType="1"/>
        </xdr:cNvSpPr>
      </xdr:nvSpPr>
      <xdr:spPr bwMode="auto">
        <a:xfrm>
          <a:off x="6915150" y="114395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50</xdr:row>
      <xdr:rowOff>62230</xdr:rowOff>
    </xdr:from>
    <xdr:to>
      <xdr:col>12</xdr:col>
      <xdr:colOff>303892</xdr:colOff>
      <xdr:row>52</xdr:row>
      <xdr:rowOff>14667</xdr:rowOff>
    </xdr:to>
    <xdr:sp macro="" textlink="">
      <xdr:nvSpPr>
        <xdr:cNvPr id="26" name="Text Box 28">
          <a:extLst>
            <a:ext uri="{FF2B5EF4-FFF2-40B4-BE49-F238E27FC236}">
              <a16:creationId xmlns:a16="http://schemas.microsoft.com/office/drawing/2014/main" id="{4A5EB8E6-0449-4B2A-86D6-5FAB3A56F0FF}"/>
            </a:ext>
          </a:extLst>
        </xdr:cNvPr>
        <xdr:cNvSpPr txBox="1">
          <a:spLocks noChangeArrowheads="1"/>
        </xdr:cNvSpPr>
      </xdr:nvSpPr>
      <xdr:spPr bwMode="auto">
        <a:xfrm>
          <a:off x="6972300" y="8158480"/>
          <a:ext cx="856342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201295</xdr:colOff>
      <xdr:row>46</xdr:row>
      <xdr:rowOff>43180</xdr:rowOff>
    </xdr:from>
    <xdr:to>
      <xdr:col>12</xdr:col>
      <xdr:colOff>411490</xdr:colOff>
      <xdr:row>48</xdr:row>
      <xdr:rowOff>1658</xdr:rowOff>
    </xdr:to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BBA2954E-BE75-477B-A2A2-ABE0A81098DF}"/>
            </a:ext>
          </a:extLst>
        </xdr:cNvPr>
        <xdr:cNvSpPr txBox="1">
          <a:spLocks noChangeArrowheads="1"/>
        </xdr:cNvSpPr>
      </xdr:nvSpPr>
      <xdr:spPr bwMode="auto">
        <a:xfrm>
          <a:off x="7116445" y="7491730"/>
          <a:ext cx="819795" cy="2823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43</xdr:row>
      <xdr:rowOff>43180</xdr:rowOff>
    </xdr:from>
    <xdr:to>
      <xdr:col>13</xdr:col>
      <xdr:colOff>333187</xdr:colOff>
      <xdr:row>45</xdr:row>
      <xdr:rowOff>1659</xdr:rowOff>
    </xdr:to>
    <xdr:sp macro="" textlink="">
      <xdr:nvSpPr>
        <xdr:cNvPr id="28" name="Text Box 30">
          <a:extLst>
            <a:ext uri="{FF2B5EF4-FFF2-40B4-BE49-F238E27FC236}">
              <a16:creationId xmlns:a16="http://schemas.microsoft.com/office/drawing/2014/main" id="{08690A3D-F454-430F-B961-0A80897EBAF4}"/>
            </a:ext>
          </a:extLst>
        </xdr:cNvPr>
        <xdr:cNvSpPr txBox="1">
          <a:spLocks noChangeArrowheads="1"/>
        </xdr:cNvSpPr>
      </xdr:nvSpPr>
      <xdr:spPr bwMode="auto">
        <a:xfrm>
          <a:off x="7611745" y="7005955"/>
          <a:ext cx="855792" cy="2823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Faulty</a:t>
          </a:r>
        </a:p>
      </xdr:txBody>
    </xdr:sp>
    <xdr:clientData/>
  </xdr:twoCellAnchor>
  <xdr:twoCellAnchor>
    <xdr:from>
      <xdr:col>14</xdr:col>
      <xdr:colOff>125095</xdr:colOff>
      <xdr:row>44</xdr:row>
      <xdr:rowOff>24130</xdr:rowOff>
    </xdr:from>
    <xdr:to>
      <xdr:col>16</xdr:col>
      <xdr:colOff>66584</xdr:colOff>
      <xdr:row>45</xdr:row>
      <xdr:rowOff>93763</xdr:rowOff>
    </xdr:to>
    <xdr:sp macro="" textlink="">
      <xdr:nvSpPr>
        <xdr:cNvPr id="29" name="Text Box 31">
          <a:extLst>
            <a:ext uri="{FF2B5EF4-FFF2-40B4-BE49-F238E27FC236}">
              <a16:creationId xmlns:a16="http://schemas.microsoft.com/office/drawing/2014/main" id="{27AA88D9-C581-4D97-9423-C238D449A0F6}"/>
            </a:ext>
          </a:extLst>
        </xdr:cNvPr>
        <xdr:cNvSpPr txBox="1">
          <a:spLocks noChangeArrowheads="1"/>
        </xdr:cNvSpPr>
      </xdr:nvSpPr>
      <xdr:spPr bwMode="auto">
        <a:xfrm>
          <a:off x="8869045" y="7148830"/>
          <a:ext cx="1160689" cy="231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16</xdr:col>
      <xdr:colOff>399415</xdr:colOff>
      <xdr:row>57</xdr:row>
      <xdr:rowOff>78105</xdr:rowOff>
    </xdr:from>
    <xdr:to>
      <xdr:col>17</xdr:col>
      <xdr:colOff>379792</xdr:colOff>
      <xdr:row>59</xdr:row>
      <xdr:rowOff>5851</xdr:rowOff>
    </xdr:to>
    <xdr:sp macro="" textlink="">
      <xdr:nvSpPr>
        <xdr:cNvPr id="30" name="Text Box 32">
          <a:extLst>
            <a:ext uri="{FF2B5EF4-FFF2-40B4-BE49-F238E27FC236}">
              <a16:creationId xmlns:a16="http://schemas.microsoft.com/office/drawing/2014/main" id="{BFD2F32E-4EFB-44D5-8731-D284207EC794}"/>
            </a:ext>
          </a:extLst>
        </xdr:cNvPr>
        <xdr:cNvSpPr txBox="1">
          <a:spLocks noChangeArrowheads="1"/>
        </xdr:cNvSpPr>
      </xdr:nvSpPr>
      <xdr:spPr bwMode="auto">
        <a:xfrm>
          <a:off x="10362565" y="9307830"/>
          <a:ext cx="589977" cy="251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56</xdr:row>
      <xdr:rowOff>0</xdr:rowOff>
    </xdr:from>
    <xdr:to>
      <xdr:col>17</xdr:col>
      <xdr:colOff>394170</xdr:colOff>
      <xdr:row>57</xdr:row>
      <xdr:rowOff>92969</xdr:rowOff>
    </xdr:to>
    <xdr:sp macro="" textlink="">
      <xdr:nvSpPr>
        <xdr:cNvPr id="31" name="Text Box 33">
          <a:extLst>
            <a:ext uri="{FF2B5EF4-FFF2-40B4-BE49-F238E27FC236}">
              <a16:creationId xmlns:a16="http://schemas.microsoft.com/office/drawing/2014/main" id="{358E7E0D-E746-4AE3-81A9-C089944A7255}"/>
            </a:ext>
          </a:extLst>
        </xdr:cNvPr>
        <xdr:cNvSpPr txBox="1">
          <a:spLocks noChangeArrowheads="1"/>
        </xdr:cNvSpPr>
      </xdr:nvSpPr>
      <xdr:spPr bwMode="auto">
        <a:xfrm>
          <a:off x="10368915" y="9067800"/>
          <a:ext cx="598005" cy="25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16</xdr:col>
      <xdr:colOff>0</xdr:colOff>
      <xdr:row>135</xdr:row>
      <xdr:rowOff>0</xdr:rowOff>
    </xdr:from>
    <xdr:to>
      <xdr:col>16</xdr:col>
      <xdr:colOff>0</xdr:colOff>
      <xdr:row>135</xdr:row>
      <xdr:rowOff>37616</xdr:rowOff>
    </xdr:to>
    <xdr:sp macro="" textlink="">
      <xdr:nvSpPr>
        <xdr:cNvPr id="32" name="Text Box 35">
          <a:extLst>
            <a:ext uri="{FF2B5EF4-FFF2-40B4-BE49-F238E27FC236}">
              <a16:creationId xmlns:a16="http://schemas.microsoft.com/office/drawing/2014/main" id="{A402DB80-8153-456F-B0C1-1F9524B7798B}"/>
            </a:ext>
          </a:extLst>
        </xdr:cNvPr>
        <xdr:cNvSpPr txBox="1">
          <a:spLocks noChangeArrowheads="1"/>
        </xdr:cNvSpPr>
      </xdr:nvSpPr>
      <xdr:spPr bwMode="auto">
        <a:xfrm>
          <a:off x="9963150" y="21859875"/>
          <a:ext cx="0" cy="376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smooth</a:t>
          </a:r>
        </a:p>
      </xdr:txBody>
    </xdr:sp>
    <xdr:clientData/>
  </xdr:twoCellAnchor>
  <xdr:twoCellAnchor>
    <xdr:from>
      <xdr:col>14</xdr:col>
      <xdr:colOff>590550</xdr:colOff>
      <xdr:row>63</xdr:row>
      <xdr:rowOff>123825</xdr:rowOff>
    </xdr:from>
    <xdr:to>
      <xdr:col>16</xdr:col>
      <xdr:colOff>552450</xdr:colOff>
      <xdr:row>63</xdr:row>
      <xdr:rowOff>123825</xdr:rowOff>
    </xdr:to>
    <xdr:sp macro="" textlink="">
      <xdr:nvSpPr>
        <xdr:cNvPr id="33" name="Line 43">
          <a:extLst>
            <a:ext uri="{FF2B5EF4-FFF2-40B4-BE49-F238E27FC236}">
              <a16:creationId xmlns:a16="http://schemas.microsoft.com/office/drawing/2014/main" id="{612AC337-C40A-4A62-9B1C-1EB164182079}"/>
            </a:ext>
          </a:extLst>
        </xdr:cNvPr>
        <xdr:cNvSpPr>
          <a:spLocks noChangeShapeType="1"/>
        </xdr:cNvSpPr>
      </xdr:nvSpPr>
      <xdr:spPr bwMode="auto">
        <a:xfrm>
          <a:off x="9334500" y="10325100"/>
          <a:ext cx="1181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62</xdr:row>
      <xdr:rowOff>47625</xdr:rowOff>
    </xdr:from>
    <xdr:to>
      <xdr:col>16</xdr:col>
      <xdr:colOff>533400</xdr:colOff>
      <xdr:row>62</xdr:row>
      <xdr:rowOff>47625</xdr:rowOff>
    </xdr:to>
    <xdr:sp macro="" textlink="">
      <xdr:nvSpPr>
        <xdr:cNvPr id="34" name="Line 44">
          <a:extLst>
            <a:ext uri="{FF2B5EF4-FFF2-40B4-BE49-F238E27FC236}">
              <a16:creationId xmlns:a16="http://schemas.microsoft.com/office/drawing/2014/main" id="{07CBED17-2506-4B3D-872F-C0357E751E8F}"/>
            </a:ext>
          </a:extLst>
        </xdr:cNvPr>
        <xdr:cNvSpPr>
          <a:spLocks noChangeShapeType="1"/>
        </xdr:cNvSpPr>
      </xdr:nvSpPr>
      <xdr:spPr bwMode="auto">
        <a:xfrm>
          <a:off x="9505950" y="100869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61</xdr:row>
      <xdr:rowOff>0</xdr:rowOff>
    </xdr:from>
    <xdr:to>
      <xdr:col>16</xdr:col>
      <xdr:colOff>533400</xdr:colOff>
      <xdr:row>61</xdr:row>
      <xdr:rowOff>0</xdr:rowOff>
    </xdr:to>
    <xdr:sp macro="" textlink="">
      <xdr:nvSpPr>
        <xdr:cNvPr id="35" name="Line 45">
          <a:extLst>
            <a:ext uri="{FF2B5EF4-FFF2-40B4-BE49-F238E27FC236}">
              <a16:creationId xmlns:a16="http://schemas.microsoft.com/office/drawing/2014/main" id="{C47CDB61-F51B-415B-BF4B-5B7D0140EB62}"/>
            </a:ext>
          </a:extLst>
        </xdr:cNvPr>
        <xdr:cNvSpPr>
          <a:spLocks noChangeShapeType="1"/>
        </xdr:cNvSpPr>
      </xdr:nvSpPr>
      <xdr:spPr bwMode="auto">
        <a:xfrm>
          <a:off x="9505950" y="987742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59</xdr:row>
      <xdr:rowOff>104775</xdr:rowOff>
    </xdr:from>
    <xdr:to>
      <xdr:col>16</xdr:col>
      <xdr:colOff>552450</xdr:colOff>
      <xdr:row>59</xdr:row>
      <xdr:rowOff>114300</xdr:rowOff>
    </xdr:to>
    <xdr:sp macro="" textlink="">
      <xdr:nvSpPr>
        <xdr:cNvPr id="36" name="Line 46">
          <a:extLst>
            <a:ext uri="{FF2B5EF4-FFF2-40B4-BE49-F238E27FC236}">
              <a16:creationId xmlns:a16="http://schemas.microsoft.com/office/drawing/2014/main" id="{6C9A3974-3E7D-4DD9-BDEF-B39F95B0C197}"/>
            </a:ext>
          </a:extLst>
        </xdr:cNvPr>
        <xdr:cNvSpPr>
          <a:spLocks noChangeShapeType="1"/>
        </xdr:cNvSpPr>
      </xdr:nvSpPr>
      <xdr:spPr bwMode="auto">
        <a:xfrm>
          <a:off x="9525000" y="9658350"/>
          <a:ext cx="990600" cy="95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58</xdr:row>
      <xdr:rowOff>9525</xdr:rowOff>
    </xdr:from>
    <xdr:to>
      <xdr:col>16</xdr:col>
      <xdr:colOff>552450</xdr:colOff>
      <xdr:row>58</xdr:row>
      <xdr:rowOff>9525</xdr:rowOff>
    </xdr:to>
    <xdr:sp macro="" textlink="">
      <xdr:nvSpPr>
        <xdr:cNvPr id="37" name="Line 47">
          <a:extLst>
            <a:ext uri="{FF2B5EF4-FFF2-40B4-BE49-F238E27FC236}">
              <a16:creationId xmlns:a16="http://schemas.microsoft.com/office/drawing/2014/main" id="{1F5440CB-59B7-4025-BCF0-3F3A07E973E2}"/>
            </a:ext>
          </a:extLst>
        </xdr:cNvPr>
        <xdr:cNvSpPr>
          <a:spLocks noChangeShapeType="1"/>
        </xdr:cNvSpPr>
      </xdr:nvSpPr>
      <xdr:spPr bwMode="auto">
        <a:xfrm>
          <a:off x="9563100" y="9401175"/>
          <a:ext cx="9525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257175</xdr:colOff>
      <xdr:row>56</xdr:row>
      <xdr:rowOff>85725</xdr:rowOff>
    </xdr:from>
    <xdr:to>
      <xdr:col>16</xdr:col>
      <xdr:colOff>542925</xdr:colOff>
      <xdr:row>56</xdr:row>
      <xdr:rowOff>85725</xdr:rowOff>
    </xdr:to>
    <xdr:sp macro="" textlink="">
      <xdr:nvSpPr>
        <xdr:cNvPr id="38" name="Line 48">
          <a:extLst>
            <a:ext uri="{FF2B5EF4-FFF2-40B4-BE49-F238E27FC236}">
              <a16:creationId xmlns:a16="http://schemas.microsoft.com/office/drawing/2014/main" id="{287C8B24-399A-4C32-AA41-7A8A61E0DA14}"/>
            </a:ext>
          </a:extLst>
        </xdr:cNvPr>
        <xdr:cNvSpPr>
          <a:spLocks noChangeShapeType="1"/>
        </xdr:cNvSpPr>
      </xdr:nvSpPr>
      <xdr:spPr bwMode="auto">
        <a:xfrm>
          <a:off x="9610725" y="9153525"/>
          <a:ext cx="8953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62</xdr:row>
      <xdr:rowOff>28575</xdr:rowOff>
    </xdr:from>
    <xdr:to>
      <xdr:col>13</xdr:col>
      <xdr:colOff>190500</xdr:colOff>
      <xdr:row>65</xdr:row>
      <xdr:rowOff>66675</xdr:rowOff>
    </xdr:to>
    <xdr:sp macro="" textlink="">
      <xdr:nvSpPr>
        <xdr:cNvPr id="39" name="Text Box 52">
          <a:extLst>
            <a:ext uri="{FF2B5EF4-FFF2-40B4-BE49-F238E27FC236}">
              <a16:creationId xmlns:a16="http://schemas.microsoft.com/office/drawing/2014/main" id="{49B730CA-8CEF-4DF3-A510-2112456150C2}"/>
            </a:ext>
          </a:extLst>
        </xdr:cNvPr>
        <xdr:cNvSpPr txBox="1">
          <a:spLocks noChangeArrowheads="1"/>
        </xdr:cNvSpPr>
      </xdr:nvSpPr>
      <xdr:spPr bwMode="auto">
        <a:xfrm>
          <a:off x="8096250" y="10067925"/>
          <a:ext cx="2286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62</xdr:row>
      <xdr:rowOff>85725</xdr:rowOff>
    </xdr:from>
    <xdr:to>
      <xdr:col>12</xdr:col>
      <xdr:colOff>266700</xdr:colOff>
      <xdr:row>65</xdr:row>
      <xdr:rowOff>47625</xdr:rowOff>
    </xdr:to>
    <xdr:sp macro="" textlink="">
      <xdr:nvSpPr>
        <xdr:cNvPr id="40" name="Text Box 54">
          <a:extLst>
            <a:ext uri="{FF2B5EF4-FFF2-40B4-BE49-F238E27FC236}">
              <a16:creationId xmlns:a16="http://schemas.microsoft.com/office/drawing/2014/main" id="{1B4010F1-6061-4501-B7C6-473BA2C61CD4}"/>
            </a:ext>
          </a:extLst>
        </xdr:cNvPr>
        <xdr:cNvSpPr txBox="1">
          <a:spLocks noChangeArrowheads="1"/>
        </xdr:cNvSpPr>
      </xdr:nvSpPr>
      <xdr:spPr bwMode="auto">
        <a:xfrm>
          <a:off x="7600950" y="10125075"/>
          <a:ext cx="1905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190500</xdr:colOff>
      <xdr:row>29</xdr:row>
      <xdr:rowOff>133350</xdr:rowOff>
    </xdr:from>
    <xdr:to>
      <xdr:col>13</xdr:col>
      <xdr:colOff>581025</xdr:colOff>
      <xdr:row>33</xdr:row>
      <xdr:rowOff>38100</xdr:rowOff>
    </xdr:to>
    <xdr:sp macro="" textlink="">
      <xdr:nvSpPr>
        <xdr:cNvPr id="41" name="Text Box 56">
          <a:extLst>
            <a:ext uri="{FF2B5EF4-FFF2-40B4-BE49-F238E27FC236}">
              <a16:creationId xmlns:a16="http://schemas.microsoft.com/office/drawing/2014/main" id="{E240A14B-37DF-4230-8BA0-888F6AF5B364}"/>
            </a:ext>
          </a:extLst>
        </xdr:cNvPr>
        <xdr:cNvSpPr txBox="1">
          <a:spLocks noChangeArrowheads="1"/>
        </xdr:cNvSpPr>
      </xdr:nvSpPr>
      <xdr:spPr bwMode="auto">
        <a:xfrm>
          <a:off x="8324850" y="4829175"/>
          <a:ext cx="390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201244</xdr:colOff>
      <xdr:row>17</xdr:row>
      <xdr:rowOff>4008</xdr:rowOff>
    </xdr:from>
    <xdr:to>
      <xdr:col>18</xdr:col>
      <xdr:colOff>516642</xdr:colOff>
      <xdr:row>18</xdr:row>
      <xdr:rowOff>137095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683418D-095A-4D5B-8F73-4EE95EAEB8E5}"/>
            </a:ext>
          </a:extLst>
        </xdr:cNvPr>
        <xdr:cNvSpPr txBox="1"/>
      </xdr:nvSpPr>
      <xdr:spPr>
        <a:xfrm>
          <a:off x="10164394" y="2756733"/>
          <a:ext cx="1534598" cy="295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Vendor</a:t>
          </a:r>
          <a:r>
            <a:rPr lang="en-US" sz="1000" baseline="0">
              <a:solidFill>
                <a:srgbClr val="FF0000"/>
              </a:solidFill>
            </a:rPr>
            <a:t> Limit = 0.7 mm/s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157929</xdr:colOff>
      <xdr:row>13</xdr:row>
      <xdr:rowOff>148776</xdr:rowOff>
    </xdr:from>
    <xdr:to>
      <xdr:col>19</xdr:col>
      <xdr:colOff>91694</xdr:colOff>
      <xdr:row>15</xdr:row>
      <xdr:rowOff>126722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EFD15F4-BC51-4FEA-87F8-E15BC1C586EA}"/>
            </a:ext>
          </a:extLst>
        </xdr:cNvPr>
        <xdr:cNvSpPr txBox="1"/>
      </xdr:nvSpPr>
      <xdr:spPr>
        <a:xfrm>
          <a:off x="10753670" y="2283690"/>
          <a:ext cx="1162162" cy="3063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Industry</a:t>
          </a:r>
          <a:r>
            <a:rPr lang="en-US" sz="1000" baseline="0">
              <a:solidFill>
                <a:srgbClr val="FF0000"/>
              </a:solidFill>
            </a:rPr>
            <a:t> Limit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0.01077</cdr:x>
      <cdr:y>0.0122</cdr:y>
    </cdr:from>
    <cdr:to>
      <cdr:x>0.14929</cdr:x>
      <cdr:y>0.1303</cdr:y>
    </cdr:to>
    <cdr:sp macro="" textlink="">
      <cdr:nvSpPr>
        <cdr:cNvPr id="64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666583" cy="477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0.01053</cdr:x>
      <cdr:y>0.06494</cdr:y>
    </cdr:from>
    <cdr:to>
      <cdr:x>0.0771</cdr:x>
      <cdr:y>0.28791</cdr:y>
    </cdr:to>
    <cdr:sp macro="" textlink="">
      <cdr:nvSpPr>
        <cdr:cNvPr id="64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315575" cy="163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40</xdr:row>
      <xdr:rowOff>0</xdr:rowOff>
    </xdr:from>
    <xdr:to>
      <xdr:col>16</xdr:col>
      <xdr:colOff>485775</xdr:colOff>
      <xdr:row>67</xdr:row>
      <xdr:rowOff>114300</xdr:rowOff>
    </xdr:to>
    <xdr:graphicFrame macro="">
      <xdr:nvGraphicFramePr>
        <xdr:cNvPr id="2" name="Chart 27">
          <a:extLst>
            <a:ext uri="{FF2B5EF4-FFF2-40B4-BE49-F238E27FC236}">
              <a16:creationId xmlns:a16="http://schemas.microsoft.com/office/drawing/2014/main" id="{EF8BF4B5-A85B-4E5C-99E4-A7D5CBEC96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5</xdr:row>
      <xdr:rowOff>104776</xdr:rowOff>
    </xdr:from>
    <xdr:to>
      <xdr:col>19</xdr:col>
      <xdr:colOff>57150</xdr:colOff>
      <xdr:row>32</xdr:row>
      <xdr:rowOff>33130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CDE81F7-771F-42E8-9E98-FFDF8F8B0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11</xdr:col>
      <xdr:colOff>88510</xdr:colOff>
      <xdr:row>16</xdr:row>
      <xdr:rowOff>150886</xdr:rowOff>
    </xdr:from>
    <xdr:to>
      <xdr:col>12</xdr:col>
      <xdr:colOff>232398</xdr:colOff>
      <xdr:row>19</xdr:row>
      <xdr:rowOff>62715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92AF4225-07B3-4322-832D-2DEDC342871D}"/>
            </a:ext>
          </a:extLst>
        </xdr:cNvPr>
        <xdr:cNvSpPr txBox="1">
          <a:spLocks noChangeArrowheads="1"/>
        </xdr:cNvSpPr>
      </xdr:nvSpPr>
      <xdr:spPr bwMode="auto">
        <a:xfrm>
          <a:off x="7003660" y="2741686"/>
          <a:ext cx="753488" cy="39760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 noticeable to persons</a:t>
          </a:r>
        </a:p>
      </xdr:txBody>
    </xdr:sp>
    <xdr:clientData/>
  </xdr:twoCellAnchor>
  <xdr:twoCellAnchor>
    <xdr:from>
      <xdr:col>11</xdr:col>
      <xdr:colOff>294358</xdr:colOff>
      <xdr:row>14</xdr:row>
      <xdr:rowOff>131562</xdr:rowOff>
    </xdr:from>
    <xdr:to>
      <xdr:col>12</xdr:col>
      <xdr:colOff>598813</xdr:colOff>
      <xdr:row>16</xdr:row>
      <xdr:rowOff>56326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E62025A5-B0E7-41FD-9E4D-2271CF3EF257}"/>
            </a:ext>
          </a:extLst>
        </xdr:cNvPr>
        <xdr:cNvSpPr txBox="1">
          <a:spLocks noChangeArrowheads="1"/>
        </xdr:cNvSpPr>
      </xdr:nvSpPr>
      <xdr:spPr bwMode="auto">
        <a:xfrm>
          <a:off x="7209508" y="2398512"/>
          <a:ext cx="914055" cy="24861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Barely noticeable to persons</a:t>
          </a:r>
        </a:p>
      </xdr:txBody>
    </xdr:sp>
    <xdr:clientData/>
  </xdr:twoCellAnchor>
  <xdr:twoCellAnchor>
    <xdr:from>
      <xdr:col>11</xdr:col>
      <xdr:colOff>327880</xdr:colOff>
      <xdr:row>12</xdr:row>
      <xdr:rowOff>46112</xdr:rowOff>
    </xdr:from>
    <xdr:to>
      <xdr:col>13</xdr:col>
      <xdr:colOff>21981</xdr:colOff>
      <xdr:row>13</xdr:row>
      <xdr:rowOff>139212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5E7D9AF3-576B-4D06-A1E3-D433ACEE859A}"/>
            </a:ext>
          </a:extLst>
        </xdr:cNvPr>
        <xdr:cNvSpPr txBox="1">
          <a:spLocks noChangeArrowheads="1"/>
        </xdr:cNvSpPr>
      </xdr:nvSpPr>
      <xdr:spPr bwMode="auto">
        <a:xfrm>
          <a:off x="7243030" y="1989212"/>
          <a:ext cx="913301" cy="25502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Easily noticeable to persons</a:t>
          </a:r>
        </a:p>
      </xdr:txBody>
    </xdr:sp>
    <xdr:clientData/>
  </xdr:twoCellAnchor>
  <xdr:twoCellAnchor>
    <xdr:from>
      <xdr:col>9</xdr:col>
      <xdr:colOff>238125</xdr:colOff>
      <xdr:row>36</xdr:row>
      <xdr:rowOff>0</xdr:rowOff>
    </xdr:from>
    <xdr:to>
      <xdr:col>16</xdr:col>
      <xdr:colOff>485775</xdr:colOff>
      <xdr:row>36</xdr:row>
      <xdr:rowOff>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5CC0D878-CAF8-4A2C-B676-91DADBF6E5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36</xdr:row>
      <xdr:rowOff>0</xdr:rowOff>
    </xdr:from>
    <xdr:to>
      <xdr:col>12</xdr:col>
      <xdr:colOff>303892</xdr:colOff>
      <xdr:row>36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AC5C40F9-6AD5-4D67-8C91-8E25A15DAC3F}"/>
            </a:ext>
          </a:extLst>
        </xdr:cNvPr>
        <xdr:cNvSpPr txBox="1">
          <a:spLocks noChangeArrowheads="1"/>
        </xdr:cNvSpPr>
      </xdr:nvSpPr>
      <xdr:spPr bwMode="auto">
        <a:xfrm>
          <a:off x="6972300" y="5829300"/>
          <a:ext cx="85634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296545</xdr:colOff>
      <xdr:row>36</xdr:row>
      <xdr:rowOff>0</xdr:rowOff>
    </xdr:from>
    <xdr:to>
      <xdr:col>12</xdr:col>
      <xdr:colOff>406598</xdr:colOff>
      <xdr:row>36</xdr:row>
      <xdr:rowOff>0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85527BFE-9FBB-4E35-8B47-A52FC16F7D8B}"/>
            </a:ext>
          </a:extLst>
        </xdr:cNvPr>
        <xdr:cNvSpPr txBox="1">
          <a:spLocks noChangeArrowheads="1"/>
        </xdr:cNvSpPr>
      </xdr:nvSpPr>
      <xdr:spPr bwMode="auto">
        <a:xfrm>
          <a:off x="7211695" y="5829300"/>
          <a:ext cx="71965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36</xdr:row>
      <xdr:rowOff>0</xdr:rowOff>
    </xdr:from>
    <xdr:to>
      <xdr:col>13</xdr:col>
      <xdr:colOff>333187</xdr:colOff>
      <xdr:row>36</xdr:row>
      <xdr:rowOff>0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75B27744-CB83-4EB5-9902-D9277109CB81}"/>
            </a:ext>
          </a:extLst>
        </xdr:cNvPr>
        <xdr:cNvSpPr txBox="1">
          <a:spLocks noChangeArrowheads="1"/>
        </xdr:cNvSpPr>
      </xdr:nvSpPr>
      <xdr:spPr bwMode="auto">
        <a:xfrm>
          <a:off x="7611745" y="5829300"/>
          <a:ext cx="85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</a:t>
          </a:r>
        </a:p>
      </xdr:txBody>
    </xdr:sp>
    <xdr:clientData/>
  </xdr:twoCellAnchor>
  <xdr:twoCellAnchor>
    <xdr:from>
      <xdr:col>14</xdr:col>
      <xdr:colOff>12700</xdr:colOff>
      <xdr:row>36</xdr:row>
      <xdr:rowOff>0</xdr:rowOff>
    </xdr:from>
    <xdr:to>
      <xdr:col>15</xdr:col>
      <xdr:colOff>407515</xdr:colOff>
      <xdr:row>36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92CE1438-F703-4FF8-A1DF-CE1314337296}"/>
            </a:ext>
          </a:extLst>
        </xdr:cNvPr>
        <xdr:cNvSpPr txBox="1">
          <a:spLocks noChangeArrowheads="1"/>
        </xdr:cNvSpPr>
      </xdr:nvSpPr>
      <xdr:spPr bwMode="auto">
        <a:xfrm>
          <a:off x="8756650" y="5829300"/>
          <a:ext cx="100441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13</xdr:col>
      <xdr:colOff>375675</xdr:colOff>
      <xdr:row>10</xdr:row>
      <xdr:rowOff>53460</xdr:rowOff>
    </xdr:from>
    <xdr:to>
      <xdr:col>13</xdr:col>
      <xdr:colOff>568557</xdr:colOff>
      <xdr:row>13</xdr:row>
      <xdr:rowOff>111649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6A1EEDD6-5B12-4F98-983B-C3025019DE4C}"/>
            </a:ext>
          </a:extLst>
        </xdr:cNvPr>
        <xdr:cNvSpPr txBox="1">
          <a:spLocks noChangeArrowheads="1"/>
        </xdr:cNvSpPr>
      </xdr:nvSpPr>
      <xdr:spPr bwMode="auto">
        <a:xfrm flipV="1">
          <a:off x="8510025" y="1672710"/>
          <a:ext cx="192882" cy="5439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1424 rpm</a:t>
          </a:r>
        </a:p>
      </xdr:txBody>
    </xdr:sp>
    <xdr:clientData/>
  </xdr:twoCellAnchor>
  <xdr:twoCellAnchor>
    <xdr:from>
      <xdr:col>13</xdr:col>
      <xdr:colOff>553480</xdr:colOff>
      <xdr:row>10</xdr:row>
      <xdr:rowOff>35224</xdr:rowOff>
    </xdr:from>
    <xdr:to>
      <xdr:col>14</xdr:col>
      <xdr:colOff>123057</xdr:colOff>
      <xdr:row>13</xdr:row>
      <xdr:rowOff>69010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C81CCDF5-9D75-4C86-BC6C-9D03486DE076}"/>
            </a:ext>
          </a:extLst>
        </xdr:cNvPr>
        <xdr:cNvSpPr txBox="1">
          <a:spLocks noChangeArrowheads="1"/>
        </xdr:cNvSpPr>
      </xdr:nvSpPr>
      <xdr:spPr bwMode="auto">
        <a:xfrm flipV="1">
          <a:off x="8687830" y="1654474"/>
          <a:ext cx="179177" cy="5195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1780 rpm</a:t>
          </a:r>
        </a:p>
      </xdr:txBody>
    </xdr:sp>
    <xdr:clientData/>
  </xdr:twoCellAnchor>
  <xdr:twoCellAnchor>
    <xdr:from>
      <xdr:col>14</xdr:col>
      <xdr:colOff>231093</xdr:colOff>
      <xdr:row>10</xdr:row>
      <xdr:rowOff>42286</xdr:rowOff>
    </xdr:from>
    <xdr:to>
      <xdr:col>14</xdr:col>
      <xdr:colOff>425608</xdr:colOff>
      <xdr:row>13</xdr:row>
      <xdr:rowOff>66350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343EB9D4-E676-463B-9251-DC54D6C99A5F}"/>
            </a:ext>
          </a:extLst>
        </xdr:cNvPr>
        <xdr:cNvSpPr txBox="1">
          <a:spLocks noChangeArrowheads="1"/>
        </xdr:cNvSpPr>
      </xdr:nvSpPr>
      <xdr:spPr bwMode="auto">
        <a:xfrm flipH="1" flipV="1">
          <a:off x="8975043" y="1661536"/>
          <a:ext cx="194515" cy="5098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2136 rpm</a:t>
          </a:r>
        </a:p>
      </xdr:txBody>
    </xdr:sp>
    <xdr:clientData/>
  </xdr:twoCellAnchor>
  <xdr:twoCellAnchor>
    <xdr:from>
      <xdr:col>11</xdr:col>
      <xdr:colOff>487596</xdr:colOff>
      <xdr:row>9</xdr:row>
      <xdr:rowOff>110221</xdr:rowOff>
    </xdr:from>
    <xdr:to>
      <xdr:col>13</xdr:col>
      <xdr:colOff>204178</xdr:colOff>
      <xdr:row>11</xdr:row>
      <xdr:rowOff>72354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B029C948-2E94-42EB-BB58-499736744396}"/>
            </a:ext>
          </a:extLst>
        </xdr:cNvPr>
        <xdr:cNvSpPr txBox="1">
          <a:spLocks noChangeArrowheads="1"/>
        </xdr:cNvSpPr>
      </xdr:nvSpPr>
      <xdr:spPr bwMode="auto">
        <a:xfrm>
          <a:off x="7402746" y="1567546"/>
          <a:ext cx="935782" cy="285983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Troublesome to persons</a:t>
          </a:r>
        </a:p>
      </xdr:txBody>
    </xdr:sp>
    <xdr:clientData/>
  </xdr:twoCellAnchor>
  <xdr:twoCellAnchor>
    <xdr:from>
      <xdr:col>16</xdr:col>
      <xdr:colOff>399415</xdr:colOff>
      <xdr:row>63</xdr:row>
      <xdr:rowOff>38100</xdr:rowOff>
    </xdr:from>
    <xdr:to>
      <xdr:col>18</xdr:col>
      <xdr:colOff>405992</xdr:colOff>
      <xdr:row>64</xdr:row>
      <xdr:rowOff>100478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EF858EDF-DA0D-493C-ADCD-F48D31F7F509}"/>
            </a:ext>
          </a:extLst>
        </xdr:cNvPr>
        <xdr:cNvSpPr txBox="1">
          <a:spLocks noChangeArrowheads="1"/>
        </xdr:cNvSpPr>
      </xdr:nvSpPr>
      <xdr:spPr bwMode="auto">
        <a:xfrm>
          <a:off x="10362565" y="10239375"/>
          <a:ext cx="1225777" cy="224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mooth</a:t>
          </a:r>
        </a:p>
      </xdr:txBody>
    </xdr:sp>
    <xdr:clientData/>
  </xdr:twoCellAnchor>
  <xdr:twoCellAnchor>
    <xdr:from>
      <xdr:col>16</xdr:col>
      <xdr:colOff>407670</xdr:colOff>
      <xdr:row>61</xdr:row>
      <xdr:rowOff>99060</xdr:rowOff>
    </xdr:from>
    <xdr:to>
      <xdr:col>18</xdr:col>
      <xdr:colOff>408807</xdr:colOff>
      <xdr:row>63</xdr:row>
      <xdr:rowOff>51090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1AF53F99-684A-4649-90B1-B9B9F4A60FEF}"/>
            </a:ext>
          </a:extLst>
        </xdr:cNvPr>
        <xdr:cNvSpPr txBox="1">
          <a:spLocks noChangeArrowheads="1"/>
        </xdr:cNvSpPr>
      </xdr:nvSpPr>
      <xdr:spPr bwMode="auto">
        <a:xfrm>
          <a:off x="10370820" y="9976485"/>
          <a:ext cx="1220337" cy="275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smooth</a:t>
          </a:r>
        </a:p>
      </xdr:txBody>
    </xdr:sp>
    <xdr:clientData/>
  </xdr:twoCellAnchor>
  <xdr:twoCellAnchor>
    <xdr:from>
      <xdr:col>16</xdr:col>
      <xdr:colOff>405765</xdr:colOff>
      <xdr:row>60</xdr:row>
      <xdr:rowOff>62230</xdr:rowOff>
    </xdr:from>
    <xdr:to>
      <xdr:col>17</xdr:col>
      <xdr:colOff>409180</xdr:colOff>
      <xdr:row>62</xdr:row>
      <xdr:rowOff>14667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F104B614-C077-4652-9BF4-A84B7195DB39}"/>
            </a:ext>
          </a:extLst>
        </xdr:cNvPr>
        <xdr:cNvSpPr txBox="1">
          <a:spLocks noChangeArrowheads="1"/>
        </xdr:cNvSpPr>
      </xdr:nvSpPr>
      <xdr:spPr bwMode="auto">
        <a:xfrm>
          <a:off x="10368915" y="9777730"/>
          <a:ext cx="613015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smooth</a:t>
          </a:r>
        </a:p>
      </xdr:txBody>
    </xdr:sp>
    <xdr:clientData/>
  </xdr:twoCellAnchor>
  <xdr:twoCellAnchor>
    <xdr:from>
      <xdr:col>16</xdr:col>
      <xdr:colOff>407670</xdr:colOff>
      <xdr:row>59</xdr:row>
      <xdr:rowOff>50800</xdr:rowOff>
    </xdr:from>
    <xdr:to>
      <xdr:col>18</xdr:col>
      <xdr:colOff>57876</xdr:colOff>
      <xdr:row>60</xdr:row>
      <xdr:rowOff>145532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82AF9387-1BD5-412C-B5AB-CE5F85BF858E}"/>
            </a:ext>
          </a:extLst>
        </xdr:cNvPr>
        <xdr:cNvSpPr txBox="1">
          <a:spLocks noChangeArrowheads="1"/>
        </xdr:cNvSpPr>
      </xdr:nvSpPr>
      <xdr:spPr bwMode="auto">
        <a:xfrm>
          <a:off x="10370820" y="9604375"/>
          <a:ext cx="869406" cy="2566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394170</xdr:colOff>
      <xdr:row>36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2406444F-0F35-4F25-A125-0B2AC756A9F2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59800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396327</xdr:colOff>
      <xdr:row>36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1256237B-0277-4A12-B35E-4DEB0D225174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60016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21</xdr:col>
      <xdr:colOff>0</xdr:colOff>
      <xdr:row>61</xdr:row>
      <xdr:rowOff>76200</xdr:rowOff>
    </xdr:from>
    <xdr:to>
      <xdr:col>21</xdr:col>
      <xdr:colOff>0</xdr:colOff>
      <xdr:row>61</xdr:row>
      <xdr:rowOff>76200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E1EFE4D6-9F69-48D4-8C78-BA3BEE89FAC2}"/>
            </a:ext>
          </a:extLst>
        </xdr:cNvPr>
        <xdr:cNvSpPr>
          <a:spLocks noChangeShapeType="1"/>
        </xdr:cNvSpPr>
      </xdr:nvSpPr>
      <xdr:spPr bwMode="auto">
        <a:xfrm>
          <a:off x="13039725" y="9953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61</xdr:row>
      <xdr:rowOff>66675</xdr:rowOff>
    </xdr:from>
    <xdr:to>
      <xdr:col>21</xdr:col>
      <xdr:colOff>0</xdr:colOff>
      <xdr:row>61</xdr:row>
      <xdr:rowOff>66675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CA7ECCC9-1473-49FD-8BC1-EE62001262AE}"/>
            </a:ext>
          </a:extLst>
        </xdr:cNvPr>
        <xdr:cNvSpPr>
          <a:spLocks noChangeShapeType="1"/>
        </xdr:cNvSpPr>
      </xdr:nvSpPr>
      <xdr:spPr bwMode="auto">
        <a:xfrm>
          <a:off x="13039725" y="9944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76200</xdr:rowOff>
    </xdr:from>
    <xdr:to>
      <xdr:col>11</xdr:col>
      <xdr:colOff>0</xdr:colOff>
      <xdr:row>69</xdr:row>
      <xdr:rowOff>76200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6E49F684-EA80-4FE3-8925-F6E1FAEEA777}"/>
            </a:ext>
          </a:extLst>
        </xdr:cNvPr>
        <xdr:cNvSpPr>
          <a:spLocks noChangeShapeType="1"/>
        </xdr:cNvSpPr>
      </xdr:nvSpPr>
      <xdr:spPr bwMode="auto">
        <a:xfrm>
          <a:off x="6915150" y="11249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70</xdr:row>
      <xdr:rowOff>104775</xdr:rowOff>
    </xdr:from>
    <xdr:to>
      <xdr:col>11</xdr:col>
      <xdr:colOff>0</xdr:colOff>
      <xdr:row>70</xdr:row>
      <xdr:rowOff>104775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AE955B7C-5466-4E42-8D0D-BF3F250C4E9B}"/>
            </a:ext>
          </a:extLst>
        </xdr:cNvPr>
        <xdr:cNvSpPr>
          <a:spLocks noChangeShapeType="1"/>
        </xdr:cNvSpPr>
      </xdr:nvSpPr>
      <xdr:spPr bwMode="auto">
        <a:xfrm>
          <a:off x="6915150" y="114395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50</xdr:row>
      <xdr:rowOff>62230</xdr:rowOff>
    </xdr:from>
    <xdr:to>
      <xdr:col>12</xdr:col>
      <xdr:colOff>303892</xdr:colOff>
      <xdr:row>52</xdr:row>
      <xdr:rowOff>14667</xdr:rowOff>
    </xdr:to>
    <xdr:sp macro="" textlink="">
      <xdr:nvSpPr>
        <xdr:cNvPr id="26" name="Text Box 28">
          <a:extLst>
            <a:ext uri="{FF2B5EF4-FFF2-40B4-BE49-F238E27FC236}">
              <a16:creationId xmlns:a16="http://schemas.microsoft.com/office/drawing/2014/main" id="{5AE5E361-1862-4D61-B003-7E64810C2001}"/>
            </a:ext>
          </a:extLst>
        </xdr:cNvPr>
        <xdr:cNvSpPr txBox="1">
          <a:spLocks noChangeArrowheads="1"/>
        </xdr:cNvSpPr>
      </xdr:nvSpPr>
      <xdr:spPr bwMode="auto">
        <a:xfrm>
          <a:off x="6972300" y="8158480"/>
          <a:ext cx="856342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201295</xdr:colOff>
      <xdr:row>46</xdr:row>
      <xdr:rowOff>43180</xdr:rowOff>
    </xdr:from>
    <xdr:to>
      <xdr:col>12</xdr:col>
      <xdr:colOff>411490</xdr:colOff>
      <xdr:row>48</xdr:row>
      <xdr:rowOff>1658</xdr:rowOff>
    </xdr:to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D02CAF84-AB6B-4A2B-AF7C-E541280393AD}"/>
            </a:ext>
          </a:extLst>
        </xdr:cNvPr>
        <xdr:cNvSpPr txBox="1">
          <a:spLocks noChangeArrowheads="1"/>
        </xdr:cNvSpPr>
      </xdr:nvSpPr>
      <xdr:spPr bwMode="auto">
        <a:xfrm>
          <a:off x="7116445" y="7491730"/>
          <a:ext cx="819795" cy="2823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43</xdr:row>
      <xdr:rowOff>43180</xdr:rowOff>
    </xdr:from>
    <xdr:to>
      <xdr:col>13</xdr:col>
      <xdr:colOff>333187</xdr:colOff>
      <xdr:row>45</xdr:row>
      <xdr:rowOff>1659</xdr:rowOff>
    </xdr:to>
    <xdr:sp macro="" textlink="">
      <xdr:nvSpPr>
        <xdr:cNvPr id="28" name="Text Box 30">
          <a:extLst>
            <a:ext uri="{FF2B5EF4-FFF2-40B4-BE49-F238E27FC236}">
              <a16:creationId xmlns:a16="http://schemas.microsoft.com/office/drawing/2014/main" id="{51B97C9D-8EE7-45E8-8FA1-44A0B5034D1A}"/>
            </a:ext>
          </a:extLst>
        </xdr:cNvPr>
        <xdr:cNvSpPr txBox="1">
          <a:spLocks noChangeArrowheads="1"/>
        </xdr:cNvSpPr>
      </xdr:nvSpPr>
      <xdr:spPr bwMode="auto">
        <a:xfrm>
          <a:off x="7611745" y="7005955"/>
          <a:ext cx="855792" cy="2823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Faulty</a:t>
          </a:r>
        </a:p>
      </xdr:txBody>
    </xdr:sp>
    <xdr:clientData/>
  </xdr:twoCellAnchor>
  <xdr:twoCellAnchor>
    <xdr:from>
      <xdr:col>14</xdr:col>
      <xdr:colOff>125095</xdr:colOff>
      <xdr:row>44</xdr:row>
      <xdr:rowOff>24130</xdr:rowOff>
    </xdr:from>
    <xdr:to>
      <xdr:col>16</xdr:col>
      <xdr:colOff>66584</xdr:colOff>
      <xdr:row>45</xdr:row>
      <xdr:rowOff>93763</xdr:rowOff>
    </xdr:to>
    <xdr:sp macro="" textlink="">
      <xdr:nvSpPr>
        <xdr:cNvPr id="29" name="Text Box 31">
          <a:extLst>
            <a:ext uri="{FF2B5EF4-FFF2-40B4-BE49-F238E27FC236}">
              <a16:creationId xmlns:a16="http://schemas.microsoft.com/office/drawing/2014/main" id="{19F72E1F-64E6-4195-9DFF-86AB6CD9081A}"/>
            </a:ext>
          </a:extLst>
        </xdr:cNvPr>
        <xdr:cNvSpPr txBox="1">
          <a:spLocks noChangeArrowheads="1"/>
        </xdr:cNvSpPr>
      </xdr:nvSpPr>
      <xdr:spPr bwMode="auto">
        <a:xfrm>
          <a:off x="8869045" y="7148830"/>
          <a:ext cx="1160689" cy="231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16</xdr:col>
      <xdr:colOff>399415</xdr:colOff>
      <xdr:row>57</xdr:row>
      <xdr:rowOff>78105</xdr:rowOff>
    </xdr:from>
    <xdr:to>
      <xdr:col>17</xdr:col>
      <xdr:colOff>379792</xdr:colOff>
      <xdr:row>59</xdr:row>
      <xdr:rowOff>5851</xdr:rowOff>
    </xdr:to>
    <xdr:sp macro="" textlink="">
      <xdr:nvSpPr>
        <xdr:cNvPr id="30" name="Text Box 32">
          <a:extLst>
            <a:ext uri="{FF2B5EF4-FFF2-40B4-BE49-F238E27FC236}">
              <a16:creationId xmlns:a16="http://schemas.microsoft.com/office/drawing/2014/main" id="{D449F7A0-DCD6-4821-8F3E-244C7481B7F4}"/>
            </a:ext>
          </a:extLst>
        </xdr:cNvPr>
        <xdr:cNvSpPr txBox="1">
          <a:spLocks noChangeArrowheads="1"/>
        </xdr:cNvSpPr>
      </xdr:nvSpPr>
      <xdr:spPr bwMode="auto">
        <a:xfrm>
          <a:off x="10362565" y="9307830"/>
          <a:ext cx="589977" cy="251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56</xdr:row>
      <xdr:rowOff>0</xdr:rowOff>
    </xdr:from>
    <xdr:to>
      <xdr:col>17</xdr:col>
      <xdr:colOff>394170</xdr:colOff>
      <xdr:row>57</xdr:row>
      <xdr:rowOff>92969</xdr:rowOff>
    </xdr:to>
    <xdr:sp macro="" textlink="">
      <xdr:nvSpPr>
        <xdr:cNvPr id="31" name="Text Box 33">
          <a:extLst>
            <a:ext uri="{FF2B5EF4-FFF2-40B4-BE49-F238E27FC236}">
              <a16:creationId xmlns:a16="http://schemas.microsoft.com/office/drawing/2014/main" id="{3C0CE4AE-23AD-4994-9FEE-6DB4AA527EE7}"/>
            </a:ext>
          </a:extLst>
        </xdr:cNvPr>
        <xdr:cNvSpPr txBox="1">
          <a:spLocks noChangeArrowheads="1"/>
        </xdr:cNvSpPr>
      </xdr:nvSpPr>
      <xdr:spPr bwMode="auto">
        <a:xfrm>
          <a:off x="10368915" y="9067800"/>
          <a:ext cx="598005" cy="25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16</xdr:col>
      <xdr:colOff>0</xdr:colOff>
      <xdr:row>135</xdr:row>
      <xdr:rowOff>0</xdr:rowOff>
    </xdr:from>
    <xdr:to>
      <xdr:col>16</xdr:col>
      <xdr:colOff>0</xdr:colOff>
      <xdr:row>135</xdr:row>
      <xdr:rowOff>37616</xdr:rowOff>
    </xdr:to>
    <xdr:sp macro="" textlink="">
      <xdr:nvSpPr>
        <xdr:cNvPr id="32" name="Text Box 35">
          <a:extLst>
            <a:ext uri="{FF2B5EF4-FFF2-40B4-BE49-F238E27FC236}">
              <a16:creationId xmlns:a16="http://schemas.microsoft.com/office/drawing/2014/main" id="{BD25562D-9BDB-4F21-B8F1-F57EDC3882E6}"/>
            </a:ext>
          </a:extLst>
        </xdr:cNvPr>
        <xdr:cNvSpPr txBox="1">
          <a:spLocks noChangeArrowheads="1"/>
        </xdr:cNvSpPr>
      </xdr:nvSpPr>
      <xdr:spPr bwMode="auto">
        <a:xfrm>
          <a:off x="9963150" y="21859875"/>
          <a:ext cx="0" cy="376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smooth</a:t>
          </a:r>
        </a:p>
      </xdr:txBody>
    </xdr:sp>
    <xdr:clientData/>
  </xdr:twoCellAnchor>
  <xdr:twoCellAnchor>
    <xdr:from>
      <xdr:col>14</xdr:col>
      <xdr:colOff>590550</xdr:colOff>
      <xdr:row>63</xdr:row>
      <xdr:rowOff>123825</xdr:rowOff>
    </xdr:from>
    <xdr:to>
      <xdr:col>16</xdr:col>
      <xdr:colOff>552450</xdr:colOff>
      <xdr:row>63</xdr:row>
      <xdr:rowOff>123825</xdr:rowOff>
    </xdr:to>
    <xdr:sp macro="" textlink="">
      <xdr:nvSpPr>
        <xdr:cNvPr id="33" name="Line 43">
          <a:extLst>
            <a:ext uri="{FF2B5EF4-FFF2-40B4-BE49-F238E27FC236}">
              <a16:creationId xmlns:a16="http://schemas.microsoft.com/office/drawing/2014/main" id="{041744B1-E693-468F-87F0-4134FDD8F711}"/>
            </a:ext>
          </a:extLst>
        </xdr:cNvPr>
        <xdr:cNvSpPr>
          <a:spLocks noChangeShapeType="1"/>
        </xdr:cNvSpPr>
      </xdr:nvSpPr>
      <xdr:spPr bwMode="auto">
        <a:xfrm>
          <a:off x="9334500" y="10325100"/>
          <a:ext cx="1181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62</xdr:row>
      <xdr:rowOff>47625</xdr:rowOff>
    </xdr:from>
    <xdr:to>
      <xdr:col>16</xdr:col>
      <xdr:colOff>533400</xdr:colOff>
      <xdr:row>62</xdr:row>
      <xdr:rowOff>47625</xdr:rowOff>
    </xdr:to>
    <xdr:sp macro="" textlink="">
      <xdr:nvSpPr>
        <xdr:cNvPr id="34" name="Line 44">
          <a:extLst>
            <a:ext uri="{FF2B5EF4-FFF2-40B4-BE49-F238E27FC236}">
              <a16:creationId xmlns:a16="http://schemas.microsoft.com/office/drawing/2014/main" id="{FF0C9B6B-BF68-4FFC-91A7-3F5D104F16E4}"/>
            </a:ext>
          </a:extLst>
        </xdr:cNvPr>
        <xdr:cNvSpPr>
          <a:spLocks noChangeShapeType="1"/>
        </xdr:cNvSpPr>
      </xdr:nvSpPr>
      <xdr:spPr bwMode="auto">
        <a:xfrm>
          <a:off x="9505950" y="100869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61</xdr:row>
      <xdr:rowOff>0</xdr:rowOff>
    </xdr:from>
    <xdr:to>
      <xdr:col>16</xdr:col>
      <xdr:colOff>533400</xdr:colOff>
      <xdr:row>61</xdr:row>
      <xdr:rowOff>0</xdr:rowOff>
    </xdr:to>
    <xdr:sp macro="" textlink="">
      <xdr:nvSpPr>
        <xdr:cNvPr id="35" name="Line 45">
          <a:extLst>
            <a:ext uri="{FF2B5EF4-FFF2-40B4-BE49-F238E27FC236}">
              <a16:creationId xmlns:a16="http://schemas.microsoft.com/office/drawing/2014/main" id="{041D9B7F-2DDB-4F42-AD1F-5C05B074EF3F}"/>
            </a:ext>
          </a:extLst>
        </xdr:cNvPr>
        <xdr:cNvSpPr>
          <a:spLocks noChangeShapeType="1"/>
        </xdr:cNvSpPr>
      </xdr:nvSpPr>
      <xdr:spPr bwMode="auto">
        <a:xfrm>
          <a:off x="9505950" y="987742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59</xdr:row>
      <xdr:rowOff>104775</xdr:rowOff>
    </xdr:from>
    <xdr:to>
      <xdr:col>16</xdr:col>
      <xdr:colOff>552450</xdr:colOff>
      <xdr:row>59</xdr:row>
      <xdr:rowOff>114300</xdr:rowOff>
    </xdr:to>
    <xdr:sp macro="" textlink="">
      <xdr:nvSpPr>
        <xdr:cNvPr id="36" name="Line 46">
          <a:extLst>
            <a:ext uri="{FF2B5EF4-FFF2-40B4-BE49-F238E27FC236}">
              <a16:creationId xmlns:a16="http://schemas.microsoft.com/office/drawing/2014/main" id="{9925744F-3546-4317-8BE5-FDEAFC79B11A}"/>
            </a:ext>
          </a:extLst>
        </xdr:cNvPr>
        <xdr:cNvSpPr>
          <a:spLocks noChangeShapeType="1"/>
        </xdr:cNvSpPr>
      </xdr:nvSpPr>
      <xdr:spPr bwMode="auto">
        <a:xfrm>
          <a:off x="9525000" y="9658350"/>
          <a:ext cx="990600" cy="95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58</xdr:row>
      <xdr:rowOff>9525</xdr:rowOff>
    </xdr:from>
    <xdr:to>
      <xdr:col>16</xdr:col>
      <xdr:colOff>552450</xdr:colOff>
      <xdr:row>58</xdr:row>
      <xdr:rowOff>9525</xdr:rowOff>
    </xdr:to>
    <xdr:sp macro="" textlink="">
      <xdr:nvSpPr>
        <xdr:cNvPr id="37" name="Line 47">
          <a:extLst>
            <a:ext uri="{FF2B5EF4-FFF2-40B4-BE49-F238E27FC236}">
              <a16:creationId xmlns:a16="http://schemas.microsoft.com/office/drawing/2014/main" id="{2335BF52-123C-4C7E-8F5D-B70D555EB14A}"/>
            </a:ext>
          </a:extLst>
        </xdr:cNvPr>
        <xdr:cNvSpPr>
          <a:spLocks noChangeShapeType="1"/>
        </xdr:cNvSpPr>
      </xdr:nvSpPr>
      <xdr:spPr bwMode="auto">
        <a:xfrm>
          <a:off x="9563100" y="9401175"/>
          <a:ext cx="9525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257175</xdr:colOff>
      <xdr:row>56</xdr:row>
      <xdr:rowOff>85725</xdr:rowOff>
    </xdr:from>
    <xdr:to>
      <xdr:col>16</xdr:col>
      <xdr:colOff>542925</xdr:colOff>
      <xdr:row>56</xdr:row>
      <xdr:rowOff>85725</xdr:rowOff>
    </xdr:to>
    <xdr:sp macro="" textlink="">
      <xdr:nvSpPr>
        <xdr:cNvPr id="38" name="Line 48">
          <a:extLst>
            <a:ext uri="{FF2B5EF4-FFF2-40B4-BE49-F238E27FC236}">
              <a16:creationId xmlns:a16="http://schemas.microsoft.com/office/drawing/2014/main" id="{EDEA9C7D-BF02-450D-BDC7-9A933C0E847D}"/>
            </a:ext>
          </a:extLst>
        </xdr:cNvPr>
        <xdr:cNvSpPr>
          <a:spLocks noChangeShapeType="1"/>
        </xdr:cNvSpPr>
      </xdr:nvSpPr>
      <xdr:spPr bwMode="auto">
        <a:xfrm>
          <a:off x="9610725" y="9153525"/>
          <a:ext cx="8953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62</xdr:row>
      <xdr:rowOff>28575</xdr:rowOff>
    </xdr:from>
    <xdr:to>
      <xdr:col>13</xdr:col>
      <xdr:colOff>190500</xdr:colOff>
      <xdr:row>65</xdr:row>
      <xdr:rowOff>66675</xdr:rowOff>
    </xdr:to>
    <xdr:sp macro="" textlink="">
      <xdr:nvSpPr>
        <xdr:cNvPr id="39" name="Text Box 52">
          <a:extLst>
            <a:ext uri="{FF2B5EF4-FFF2-40B4-BE49-F238E27FC236}">
              <a16:creationId xmlns:a16="http://schemas.microsoft.com/office/drawing/2014/main" id="{BE7EE2B5-BD0B-4049-AC5D-E5CD7645AB7D}"/>
            </a:ext>
          </a:extLst>
        </xdr:cNvPr>
        <xdr:cNvSpPr txBox="1">
          <a:spLocks noChangeArrowheads="1"/>
        </xdr:cNvSpPr>
      </xdr:nvSpPr>
      <xdr:spPr bwMode="auto">
        <a:xfrm>
          <a:off x="8096250" y="10067925"/>
          <a:ext cx="2286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62</xdr:row>
      <xdr:rowOff>85725</xdr:rowOff>
    </xdr:from>
    <xdr:to>
      <xdr:col>12</xdr:col>
      <xdr:colOff>266700</xdr:colOff>
      <xdr:row>65</xdr:row>
      <xdr:rowOff>47625</xdr:rowOff>
    </xdr:to>
    <xdr:sp macro="" textlink="">
      <xdr:nvSpPr>
        <xdr:cNvPr id="40" name="Text Box 54">
          <a:extLst>
            <a:ext uri="{FF2B5EF4-FFF2-40B4-BE49-F238E27FC236}">
              <a16:creationId xmlns:a16="http://schemas.microsoft.com/office/drawing/2014/main" id="{9B7C004C-50BD-43F8-B0A5-E35BB1B780F8}"/>
            </a:ext>
          </a:extLst>
        </xdr:cNvPr>
        <xdr:cNvSpPr txBox="1">
          <a:spLocks noChangeArrowheads="1"/>
        </xdr:cNvSpPr>
      </xdr:nvSpPr>
      <xdr:spPr bwMode="auto">
        <a:xfrm>
          <a:off x="7600950" y="10125075"/>
          <a:ext cx="1905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190500</xdr:colOff>
      <xdr:row>29</xdr:row>
      <xdr:rowOff>133350</xdr:rowOff>
    </xdr:from>
    <xdr:to>
      <xdr:col>13</xdr:col>
      <xdr:colOff>581025</xdr:colOff>
      <xdr:row>33</xdr:row>
      <xdr:rowOff>38100</xdr:rowOff>
    </xdr:to>
    <xdr:sp macro="" textlink="">
      <xdr:nvSpPr>
        <xdr:cNvPr id="41" name="Text Box 56">
          <a:extLst>
            <a:ext uri="{FF2B5EF4-FFF2-40B4-BE49-F238E27FC236}">
              <a16:creationId xmlns:a16="http://schemas.microsoft.com/office/drawing/2014/main" id="{14615F26-FCF8-4D9E-AE46-CDE0758604A0}"/>
            </a:ext>
          </a:extLst>
        </xdr:cNvPr>
        <xdr:cNvSpPr txBox="1">
          <a:spLocks noChangeArrowheads="1"/>
        </xdr:cNvSpPr>
      </xdr:nvSpPr>
      <xdr:spPr bwMode="auto">
        <a:xfrm>
          <a:off x="8324850" y="4829175"/>
          <a:ext cx="390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201244</xdr:colOff>
      <xdr:row>17</xdr:row>
      <xdr:rowOff>4008</xdr:rowOff>
    </xdr:from>
    <xdr:to>
      <xdr:col>18</xdr:col>
      <xdr:colOff>516642</xdr:colOff>
      <xdr:row>18</xdr:row>
      <xdr:rowOff>137095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1B08538-C774-49EF-AB12-10C0F3EA69F3}"/>
            </a:ext>
          </a:extLst>
        </xdr:cNvPr>
        <xdr:cNvSpPr txBox="1"/>
      </xdr:nvSpPr>
      <xdr:spPr>
        <a:xfrm>
          <a:off x="10164394" y="2756733"/>
          <a:ext cx="1534598" cy="295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Vendor</a:t>
          </a:r>
          <a:r>
            <a:rPr lang="en-US" sz="1000" baseline="0">
              <a:solidFill>
                <a:srgbClr val="FF0000"/>
              </a:solidFill>
            </a:rPr>
            <a:t> Limit = 0.7 mm/s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142264</xdr:colOff>
      <xdr:row>13</xdr:row>
      <xdr:rowOff>155345</xdr:rowOff>
    </xdr:from>
    <xdr:to>
      <xdr:col>19</xdr:col>
      <xdr:colOff>67945</xdr:colOff>
      <xdr:row>15</xdr:row>
      <xdr:rowOff>133291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7EA49F5-6499-46D0-B9CB-9241443A0A14}"/>
            </a:ext>
          </a:extLst>
        </xdr:cNvPr>
        <xdr:cNvSpPr txBox="1"/>
      </xdr:nvSpPr>
      <xdr:spPr>
        <a:xfrm>
          <a:off x="10700360" y="2250845"/>
          <a:ext cx="1156604" cy="3003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Industry</a:t>
          </a:r>
          <a:r>
            <a:rPr lang="en-US" sz="1000" baseline="0">
              <a:solidFill>
                <a:srgbClr val="FF0000"/>
              </a:solidFill>
            </a:rPr>
            <a:t> Limit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0.01077</cdr:x>
      <cdr:y>0.0122</cdr:y>
    </cdr:from>
    <cdr:to>
      <cdr:x>0.14929</cdr:x>
      <cdr:y>0.1303</cdr:y>
    </cdr:to>
    <cdr:sp macro="" textlink="">
      <cdr:nvSpPr>
        <cdr:cNvPr id="64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666583" cy="477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0.01053</cdr:x>
      <cdr:y>0.06494</cdr:y>
    </cdr:from>
    <cdr:to>
      <cdr:x>0.0771</cdr:x>
      <cdr:y>0.28791</cdr:y>
    </cdr:to>
    <cdr:sp macro="" textlink="">
      <cdr:nvSpPr>
        <cdr:cNvPr id="64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315575" cy="163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40</xdr:row>
      <xdr:rowOff>0</xdr:rowOff>
    </xdr:from>
    <xdr:to>
      <xdr:col>16</xdr:col>
      <xdr:colOff>485775</xdr:colOff>
      <xdr:row>67</xdr:row>
      <xdr:rowOff>114300</xdr:rowOff>
    </xdr:to>
    <xdr:graphicFrame macro="">
      <xdr:nvGraphicFramePr>
        <xdr:cNvPr id="2" name="Chart 27">
          <a:extLst>
            <a:ext uri="{FF2B5EF4-FFF2-40B4-BE49-F238E27FC236}">
              <a16:creationId xmlns:a16="http://schemas.microsoft.com/office/drawing/2014/main" id="{5CF6ACC1-E7F7-4C89-AA9F-0FDBCF12FA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5</xdr:row>
      <xdr:rowOff>104776</xdr:rowOff>
    </xdr:from>
    <xdr:to>
      <xdr:col>19</xdr:col>
      <xdr:colOff>57150</xdr:colOff>
      <xdr:row>32</xdr:row>
      <xdr:rowOff>33130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17C82CEA-E94A-4BE2-B112-CB711071E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11</xdr:col>
      <xdr:colOff>88510</xdr:colOff>
      <xdr:row>16</xdr:row>
      <xdr:rowOff>150886</xdr:rowOff>
    </xdr:from>
    <xdr:to>
      <xdr:col>12</xdr:col>
      <xdr:colOff>232398</xdr:colOff>
      <xdr:row>19</xdr:row>
      <xdr:rowOff>62715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869A79E2-8D33-45DC-8F29-7B8C3052449D}"/>
            </a:ext>
          </a:extLst>
        </xdr:cNvPr>
        <xdr:cNvSpPr txBox="1">
          <a:spLocks noChangeArrowheads="1"/>
        </xdr:cNvSpPr>
      </xdr:nvSpPr>
      <xdr:spPr bwMode="auto">
        <a:xfrm>
          <a:off x="7003660" y="2741686"/>
          <a:ext cx="753488" cy="39760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 noticeable to persons</a:t>
          </a:r>
        </a:p>
      </xdr:txBody>
    </xdr:sp>
    <xdr:clientData/>
  </xdr:twoCellAnchor>
  <xdr:twoCellAnchor>
    <xdr:from>
      <xdr:col>11</xdr:col>
      <xdr:colOff>294358</xdr:colOff>
      <xdr:row>14</xdr:row>
      <xdr:rowOff>131562</xdr:rowOff>
    </xdr:from>
    <xdr:to>
      <xdr:col>12</xdr:col>
      <xdr:colOff>598813</xdr:colOff>
      <xdr:row>16</xdr:row>
      <xdr:rowOff>56326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41BD6211-64EC-4A69-A781-22A90DEA16C2}"/>
            </a:ext>
          </a:extLst>
        </xdr:cNvPr>
        <xdr:cNvSpPr txBox="1">
          <a:spLocks noChangeArrowheads="1"/>
        </xdr:cNvSpPr>
      </xdr:nvSpPr>
      <xdr:spPr bwMode="auto">
        <a:xfrm>
          <a:off x="7209508" y="2398512"/>
          <a:ext cx="914055" cy="24861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Barely noticeable to persons</a:t>
          </a:r>
        </a:p>
      </xdr:txBody>
    </xdr:sp>
    <xdr:clientData/>
  </xdr:twoCellAnchor>
  <xdr:twoCellAnchor>
    <xdr:from>
      <xdr:col>11</xdr:col>
      <xdr:colOff>327880</xdr:colOff>
      <xdr:row>12</xdr:row>
      <xdr:rowOff>46112</xdr:rowOff>
    </xdr:from>
    <xdr:to>
      <xdr:col>13</xdr:col>
      <xdr:colOff>21981</xdr:colOff>
      <xdr:row>13</xdr:row>
      <xdr:rowOff>139212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B71280-1E1F-43AA-AA37-6750D9091F8E}"/>
            </a:ext>
          </a:extLst>
        </xdr:cNvPr>
        <xdr:cNvSpPr txBox="1">
          <a:spLocks noChangeArrowheads="1"/>
        </xdr:cNvSpPr>
      </xdr:nvSpPr>
      <xdr:spPr bwMode="auto">
        <a:xfrm>
          <a:off x="7243030" y="1989212"/>
          <a:ext cx="913301" cy="25502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Easily noticeable to persons</a:t>
          </a:r>
        </a:p>
      </xdr:txBody>
    </xdr:sp>
    <xdr:clientData/>
  </xdr:twoCellAnchor>
  <xdr:twoCellAnchor>
    <xdr:from>
      <xdr:col>9</xdr:col>
      <xdr:colOff>238125</xdr:colOff>
      <xdr:row>36</xdr:row>
      <xdr:rowOff>0</xdr:rowOff>
    </xdr:from>
    <xdr:to>
      <xdr:col>16</xdr:col>
      <xdr:colOff>485775</xdr:colOff>
      <xdr:row>36</xdr:row>
      <xdr:rowOff>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8BABD575-3943-45BC-A5F4-B26B3D7D1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36</xdr:row>
      <xdr:rowOff>0</xdr:rowOff>
    </xdr:from>
    <xdr:to>
      <xdr:col>12</xdr:col>
      <xdr:colOff>303892</xdr:colOff>
      <xdr:row>36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AB5135E5-1C78-402C-B6D7-289E83EDCAFC}"/>
            </a:ext>
          </a:extLst>
        </xdr:cNvPr>
        <xdr:cNvSpPr txBox="1">
          <a:spLocks noChangeArrowheads="1"/>
        </xdr:cNvSpPr>
      </xdr:nvSpPr>
      <xdr:spPr bwMode="auto">
        <a:xfrm>
          <a:off x="6972300" y="5829300"/>
          <a:ext cx="85634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296545</xdr:colOff>
      <xdr:row>36</xdr:row>
      <xdr:rowOff>0</xdr:rowOff>
    </xdr:from>
    <xdr:to>
      <xdr:col>12</xdr:col>
      <xdr:colOff>406598</xdr:colOff>
      <xdr:row>36</xdr:row>
      <xdr:rowOff>0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D182A5A2-7E3F-4391-90A4-EC0F98AA2355}"/>
            </a:ext>
          </a:extLst>
        </xdr:cNvPr>
        <xdr:cNvSpPr txBox="1">
          <a:spLocks noChangeArrowheads="1"/>
        </xdr:cNvSpPr>
      </xdr:nvSpPr>
      <xdr:spPr bwMode="auto">
        <a:xfrm>
          <a:off x="7211695" y="5829300"/>
          <a:ext cx="71965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36</xdr:row>
      <xdr:rowOff>0</xdr:rowOff>
    </xdr:from>
    <xdr:to>
      <xdr:col>13</xdr:col>
      <xdr:colOff>333187</xdr:colOff>
      <xdr:row>36</xdr:row>
      <xdr:rowOff>0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9FFF7151-D24C-4EF3-AFD2-E7A981911CAC}"/>
            </a:ext>
          </a:extLst>
        </xdr:cNvPr>
        <xdr:cNvSpPr txBox="1">
          <a:spLocks noChangeArrowheads="1"/>
        </xdr:cNvSpPr>
      </xdr:nvSpPr>
      <xdr:spPr bwMode="auto">
        <a:xfrm>
          <a:off x="7611745" y="5829300"/>
          <a:ext cx="85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</a:t>
          </a:r>
        </a:p>
      </xdr:txBody>
    </xdr:sp>
    <xdr:clientData/>
  </xdr:twoCellAnchor>
  <xdr:twoCellAnchor>
    <xdr:from>
      <xdr:col>14</xdr:col>
      <xdr:colOff>12700</xdr:colOff>
      <xdr:row>36</xdr:row>
      <xdr:rowOff>0</xdr:rowOff>
    </xdr:from>
    <xdr:to>
      <xdr:col>15</xdr:col>
      <xdr:colOff>407515</xdr:colOff>
      <xdr:row>36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B3FB7501-A757-46DB-86B5-F52F1C869DB2}"/>
            </a:ext>
          </a:extLst>
        </xdr:cNvPr>
        <xdr:cNvSpPr txBox="1">
          <a:spLocks noChangeArrowheads="1"/>
        </xdr:cNvSpPr>
      </xdr:nvSpPr>
      <xdr:spPr bwMode="auto">
        <a:xfrm>
          <a:off x="8756650" y="5829300"/>
          <a:ext cx="100441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13</xdr:col>
      <xdr:colOff>375675</xdr:colOff>
      <xdr:row>10</xdr:row>
      <xdr:rowOff>53460</xdr:rowOff>
    </xdr:from>
    <xdr:to>
      <xdr:col>13</xdr:col>
      <xdr:colOff>568557</xdr:colOff>
      <xdr:row>13</xdr:row>
      <xdr:rowOff>111649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CF139E05-9334-4F5E-97E7-FCA4707DEA40}"/>
            </a:ext>
          </a:extLst>
        </xdr:cNvPr>
        <xdr:cNvSpPr txBox="1">
          <a:spLocks noChangeArrowheads="1"/>
        </xdr:cNvSpPr>
      </xdr:nvSpPr>
      <xdr:spPr bwMode="auto">
        <a:xfrm flipV="1">
          <a:off x="8510025" y="1672710"/>
          <a:ext cx="192882" cy="5439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1424 rpm</a:t>
          </a:r>
        </a:p>
      </xdr:txBody>
    </xdr:sp>
    <xdr:clientData/>
  </xdr:twoCellAnchor>
  <xdr:twoCellAnchor>
    <xdr:from>
      <xdr:col>13</xdr:col>
      <xdr:colOff>553480</xdr:colOff>
      <xdr:row>10</xdr:row>
      <xdr:rowOff>35224</xdr:rowOff>
    </xdr:from>
    <xdr:to>
      <xdr:col>14</xdr:col>
      <xdr:colOff>123057</xdr:colOff>
      <xdr:row>13</xdr:row>
      <xdr:rowOff>69010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B947B080-B77B-497A-A7BD-57007C6DB512}"/>
            </a:ext>
          </a:extLst>
        </xdr:cNvPr>
        <xdr:cNvSpPr txBox="1">
          <a:spLocks noChangeArrowheads="1"/>
        </xdr:cNvSpPr>
      </xdr:nvSpPr>
      <xdr:spPr bwMode="auto">
        <a:xfrm flipV="1">
          <a:off x="8687830" y="1654474"/>
          <a:ext cx="179177" cy="5195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1780 rpm</a:t>
          </a:r>
        </a:p>
      </xdr:txBody>
    </xdr:sp>
    <xdr:clientData/>
  </xdr:twoCellAnchor>
  <xdr:twoCellAnchor>
    <xdr:from>
      <xdr:col>14</xdr:col>
      <xdr:colOff>231093</xdr:colOff>
      <xdr:row>10</xdr:row>
      <xdr:rowOff>42286</xdr:rowOff>
    </xdr:from>
    <xdr:to>
      <xdr:col>14</xdr:col>
      <xdr:colOff>425608</xdr:colOff>
      <xdr:row>13</xdr:row>
      <xdr:rowOff>66350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EEF9113D-0C4B-47BE-A8F9-472E935CFB7D}"/>
            </a:ext>
          </a:extLst>
        </xdr:cNvPr>
        <xdr:cNvSpPr txBox="1">
          <a:spLocks noChangeArrowheads="1"/>
        </xdr:cNvSpPr>
      </xdr:nvSpPr>
      <xdr:spPr bwMode="auto">
        <a:xfrm flipH="1" flipV="1">
          <a:off x="8975043" y="1661536"/>
          <a:ext cx="194515" cy="5098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2136 rpm</a:t>
          </a:r>
        </a:p>
      </xdr:txBody>
    </xdr:sp>
    <xdr:clientData/>
  </xdr:twoCellAnchor>
  <xdr:twoCellAnchor>
    <xdr:from>
      <xdr:col>11</xdr:col>
      <xdr:colOff>487596</xdr:colOff>
      <xdr:row>9</xdr:row>
      <xdr:rowOff>110221</xdr:rowOff>
    </xdr:from>
    <xdr:to>
      <xdr:col>13</xdr:col>
      <xdr:colOff>204178</xdr:colOff>
      <xdr:row>11</xdr:row>
      <xdr:rowOff>72354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D51DE31F-B0D1-4D37-A589-B6E5182370C7}"/>
            </a:ext>
          </a:extLst>
        </xdr:cNvPr>
        <xdr:cNvSpPr txBox="1">
          <a:spLocks noChangeArrowheads="1"/>
        </xdr:cNvSpPr>
      </xdr:nvSpPr>
      <xdr:spPr bwMode="auto">
        <a:xfrm>
          <a:off x="7402746" y="1567546"/>
          <a:ext cx="935782" cy="285983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Troublesome to persons</a:t>
          </a:r>
        </a:p>
      </xdr:txBody>
    </xdr:sp>
    <xdr:clientData/>
  </xdr:twoCellAnchor>
  <xdr:twoCellAnchor>
    <xdr:from>
      <xdr:col>16</xdr:col>
      <xdr:colOff>399415</xdr:colOff>
      <xdr:row>63</xdr:row>
      <xdr:rowOff>38100</xdr:rowOff>
    </xdr:from>
    <xdr:to>
      <xdr:col>18</xdr:col>
      <xdr:colOff>405992</xdr:colOff>
      <xdr:row>64</xdr:row>
      <xdr:rowOff>100478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7BD8BE08-5389-44B9-8B6B-4E52F9164697}"/>
            </a:ext>
          </a:extLst>
        </xdr:cNvPr>
        <xdr:cNvSpPr txBox="1">
          <a:spLocks noChangeArrowheads="1"/>
        </xdr:cNvSpPr>
      </xdr:nvSpPr>
      <xdr:spPr bwMode="auto">
        <a:xfrm>
          <a:off x="10362565" y="10239375"/>
          <a:ext cx="1225777" cy="224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mooth</a:t>
          </a:r>
        </a:p>
      </xdr:txBody>
    </xdr:sp>
    <xdr:clientData/>
  </xdr:twoCellAnchor>
  <xdr:twoCellAnchor>
    <xdr:from>
      <xdr:col>16</xdr:col>
      <xdr:colOff>407670</xdr:colOff>
      <xdr:row>61</xdr:row>
      <xdr:rowOff>99060</xdr:rowOff>
    </xdr:from>
    <xdr:to>
      <xdr:col>18</xdr:col>
      <xdr:colOff>408807</xdr:colOff>
      <xdr:row>63</xdr:row>
      <xdr:rowOff>51090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14E129A9-F52C-455D-A372-F452F252EC09}"/>
            </a:ext>
          </a:extLst>
        </xdr:cNvPr>
        <xdr:cNvSpPr txBox="1">
          <a:spLocks noChangeArrowheads="1"/>
        </xdr:cNvSpPr>
      </xdr:nvSpPr>
      <xdr:spPr bwMode="auto">
        <a:xfrm>
          <a:off x="10370820" y="9976485"/>
          <a:ext cx="1220337" cy="275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smooth</a:t>
          </a:r>
        </a:p>
      </xdr:txBody>
    </xdr:sp>
    <xdr:clientData/>
  </xdr:twoCellAnchor>
  <xdr:twoCellAnchor>
    <xdr:from>
      <xdr:col>16</xdr:col>
      <xdr:colOff>405765</xdr:colOff>
      <xdr:row>60</xdr:row>
      <xdr:rowOff>62230</xdr:rowOff>
    </xdr:from>
    <xdr:to>
      <xdr:col>17</xdr:col>
      <xdr:colOff>409180</xdr:colOff>
      <xdr:row>62</xdr:row>
      <xdr:rowOff>14667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90B9A6F6-A3A2-4224-8AFE-63262724C7C3}"/>
            </a:ext>
          </a:extLst>
        </xdr:cNvPr>
        <xdr:cNvSpPr txBox="1">
          <a:spLocks noChangeArrowheads="1"/>
        </xdr:cNvSpPr>
      </xdr:nvSpPr>
      <xdr:spPr bwMode="auto">
        <a:xfrm>
          <a:off x="10368915" y="9777730"/>
          <a:ext cx="613015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smooth</a:t>
          </a:r>
        </a:p>
      </xdr:txBody>
    </xdr:sp>
    <xdr:clientData/>
  </xdr:twoCellAnchor>
  <xdr:twoCellAnchor>
    <xdr:from>
      <xdr:col>16</xdr:col>
      <xdr:colOff>407670</xdr:colOff>
      <xdr:row>59</xdr:row>
      <xdr:rowOff>50800</xdr:rowOff>
    </xdr:from>
    <xdr:to>
      <xdr:col>18</xdr:col>
      <xdr:colOff>57876</xdr:colOff>
      <xdr:row>60</xdr:row>
      <xdr:rowOff>145532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CD9F560B-7795-40FE-87A0-7262755F45BA}"/>
            </a:ext>
          </a:extLst>
        </xdr:cNvPr>
        <xdr:cNvSpPr txBox="1">
          <a:spLocks noChangeArrowheads="1"/>
        </xdr:cNvSpPr>
      </xdr:nvSpPr>
      <xdr:spPr bwMode="auto">
        <a:xfrm>
          <a:off x="10370820" y="9604375"/>
          <a:ext cx="869406" cy="2566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394170</xdr:colOff>
      <xdr:row>36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DFE77F82-1C19-4E34-B556-D562028C1D11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59800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396327</xdr:colOff>
      <xdr:row>36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EB1E6F59-088C-4687-8320-654FDB534887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60016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21</xdr:col>
      <xdr:colOff>0</xdr:colOff>
      <xdr:row>61</xdr:row>
      <xdr:rowOff>76200</xdr:rowOff>
    </xdr:from>
    <xdr:to>
      <xdr:col>21</xdr:col>
      <xdr:colOff>0</xdr:colOff>
      <xdr:row>61</xdr:row>
      <xdr:rowOff>76200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658185B5-43E0-4003-A938-86C8FF246F0B}"/>
            </a:ext>
          </a:extLst>
        </xdr:cNvPr>
        <xdr:cNvSpPr>
          <a:spLocks noChangeShapeType="1"/>
        </xdr:cNvSpPr>
      </xdr:nvSpPr>
      <xdr:spPr bwMode="auto">
        <a:xfrm>
          <a:off x="13039725" y="9953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61</xdr:row>
      <xdr:rowOff>66675</xdr:rowOff>
    </xdr:from>
    <xdr:to>
      <xdr:col>21</xdr:col>
      <xdr:colOff>0</xdr:colOff>
      <xdr:row>61</xdr:row>
      <xdr:rowOff>66675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E56CA27C-0D4A-4A9D-8C42-B0719E89A3BC}"/>
            </a:ext>
          </a:extLst>
        </xdr:cNvPr>
        <xdr:cNvSpPr>
          <a:spLocks noChangeShapeType="1"/>
        </xdr:cNvSpPr>
      </xdr:nvSpPr>
      <xdr:spPr bwMode="auto">
        <a:xfrm>
          <a:off x="13039725" y="9944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76200</xdr:rowOff>
    </xdr:from>
    <xdr:to>
      <xdr:col>11</xdr:col>
      <xdr:colOff>0</xdr:colOff>
      <xdr:row>69</xdr:row>
      <xdr:rowOff>76200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179F3E65-C46E-4E3A-995D-02D2A7F20650}"/>
            </a:ext>
          </a:extLst>
        </xdr:cNvPr>
        <xdr:cNvSpPr>
          <a:spLocks noChangeShapeType="1"/>
        </xdr:cNvSpPr>
      </xdr:nvSpPr>
      <xdr:spPr bwMode="auto">
        <a:xfrm>
          <a:off x="6915150" y="11249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70</xdr:row>
      <xdr:rowOff>104775</xdr:rowOff>
    </xdr:from>
    <xdr:to>
      <xdr:col>11</xdr:col>
      <xdr:colOff>0</xdr:colOff>
      <xdr:row>70</xdr:row>
      <xdr:rowOff>104775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FB5E4B4B-B69B-4955-90D8-EEB68A404C03}"/>
            </a:ext>
          </a:extLst>
        </xdr:cNvPr>
        <xdr:cNvSpPr>
          <a:spLocks noChangeShapeType="1"/>
        </xdr:cNvSpPr>
      </xdr:nvSpPr>
      <xdr:spPr bwMode="auto">
        <a:xfrm>
          <a:off x="6915150" y="114395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50</xdr:row>
      <xdr:rowOff>62230</xdr:rowOff>
    </xdr:from>
    <xdr:to>
      <xdr:col>12</xdr:col>
      <xdr:colOff>303892</xdr:colOff>
      <xdr:row>52</xdr:row>
      <xdr:rowOff>14667</xdr:rowOff>
    </xdr:to>
    <xdr:sp macro="" textlink="">
      <xdr:nvSpPr>
        <xdr:cNvPr id="26" name="Text Box 28">
          <a:extLst>
            <a:ext uri="{FF2B5EF4-FFF2-40B4-BE49-F238E27FC236}">
              <a16:creationId xmlns:a16="http://schemas.microsoft.com/office/drawing/2014/main" id="{BA2B5D09-5A5A-41F3-B29D-0A25C7D4699E}"/>
            </a:ext>
          </a:extLst>
        </xdr:cNvPr>
        <xdr:cNvSpPr txBox="1">
          <a:spLocks noChangeArrowheads="1"/>
        </xdr:cNvSpPr>
      </xdr:nvSpPr>
      <xdr:spPr bwMode="auto">
        <a:xfrm>
          <a:off x="6972300" y="8158480"/>
          <a:ext cx="856342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201295</xdr:colOff>
      <xdr:row>46</xdr:row>
      <xdr:rowOff>43180</xdr:rowOff>
    </xdr:from>
    <xdr:to>
      <xdr:col>12</xdr:col>
      <xdr:colOff>411490</xdr:colOff>
      <xdr:row>48</xdr:row>
      <xdr:rowOff>1658</xdr:rowOff>
    </xdr:to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FF7DE121-A865-4713-9FA8-89DBD9A74852}"/>
            </a:ext>
          </a:extLst>
        </xdr:cNvPr>
        <xdr:cNvSpPr txBox="1">
          <a:spLocks noChangeArrowheads="1"/>
        </xdr:cNvSpPr>
      </xdr:nvSpPr>
      <xdr:spPr bwMode="auto">
        <a:xfrm>
          <a:off x="7116445" y="7491730"/>
          <a:ext cx="819795" cy="2823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43</xdr:row>
      <xdr:rowOff>43180</xdr:rowOff>
    </xdr:from>
    <xdr:to>
      <xdr:col>13</xdr:col>
      <xdr:colOff>333187</xdr:colOff>
      <xdr:row>45</xdr:row>
      <xdr:rowOff>1659</xdr:rowOff>
    </xdr:to>
    <xdr:sp macro="" textlink="">
      <xdr:nvSpPr>
        <xdr:cNvPr id="28" name="Text Box 30">
          <a:extLst>
            <a:ext uri="{FF2B5EF4-FFF2-40B4-BE49-F238E27FC236}">
              <a16:creationId xmlns:a16="http://schemas.microsoft.com/office/drawing/2014/main" id="{4B888EE5-5EA7-443E-9458-580E753DBBD4}"/>
            </a:ext>
          </a:extLst>
        </xdr:cNvPr>
        <xdr:cNvSpPr txBox="1">
          <a:spLocks noChangeArrowheads="1"/>
        </xdr:cNvSpPr>
      </xdr:nvSpPr>
      <xdr:spPr bwMode="auto">
        <a:xfrm>
          <a:off x="7611745" y="7005955"/>
          <a:ext cx="855792" cy="2823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Faulty</a:t>
          </a:r>
        </a:p>
      </xdr:txBody>
    </xdr:sp>
    <xdr:clientData/>
  </xdr:twoCellAnchor>
  <xdr:twoCellAnchor>
    <xdr:from>
      <xdr:col>14</xdr:col>
      <xdr:colOff>125095</xdr:colOff>
      <xdr:row>44</xdr:row>
      <xdr:rowOff>24130</xdr:rowOff>
    </xdr:from>
    <xdr:to>
      <xdr:col>16</xdr:col>
      <xdr:colOff>66584</xdr:colOff>
      <xdr:row>45</xdr:row>
      <xdr:rowOff>93763</xdr:rowOff>
    </xdr:to>
    <xdr:sp macro="" textlink="">
      <xdr:nvSpPr>
        <xdr:cNvPr id="29" name="Text Box 31">
          <a:extLst>
            <a:ext uri="{FF2B5EF4-FFF2-40B4-BE49-F238E27FC236}">
              <a16:creationId xmlns:a16="http://schemas.microsoft.com/office/drawing/2014/main" id="{128B388C-A4EE-465F-B0A2-AC9222254845}"/>
            </a:ext>
          </a:extLst>
        </xdr:cNvPr>
        <xdr:cNvSpPr txBox="1">
          <a:spLocks noChangeArrowheads="1"/>
        </xdr:cNvSpPr>
      </xdr:nvSpPr>
      <xdr:spPr bwMode="auto">
        <a:xfrm>
          <a:off x="8869045" y="7148830"/>
          <a:ext cx="1160689" cy="231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16</xdr:col>
      <xdr:colOff>399415</xdr:colOff>
      <xdr:row>57</xdr:row>
      <xdr:rowOff>78105</xdr:rowOff>
    </xdr:from>
    <xdr:to>
      <xdr:col>17</xdr:col>
      <xdr:colOff>379792</xdr:colOff>
      <xdr:row>59</xdr:row>
      <xdr:rowOff>5851</xdr:rowOff>
    </xdr:to>
    <xdr:sp macro="" textlink="">
      <xdr:nvSpPr>
        <xdr:cNvPr id="30" name="Text Box 32">
          <a:extLst>
            <a:ext uri="{FF2B5EF4-FFF2-40B4-BE49-F238E27FC236}">
              <a16:creationId xmlns:a16="http://schemas.microsoft.com/office/drawing/2014/main" id="{D6F61663-0C26-4197-9E96-867EE92B2A38}"/>
            </a:ext>
          </a:extLst>
        </xdr:cNvPr>
        <xdr:cNvSpPr txBox="1">
          <a:spLocks noChangeArrowheads="1"/>
        </xdr:cNvSpPr>
      </xdr:nvSpPr>
      <xdr:spPr bwMode="auto">
        <a:xfrm>
          <a:off x="10362565" y="9307830"/>
          <a:ext cx="589977" cy="251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56</xdr:row>
      <xdr:rowOff>0</xdr:rowOff>
    </xdr:from>
    <xdr:to>
      <xdr:col>17</xdr:col>
      <xdr:colOff>394170</xdr:colOff>
      <xdr:row>57</xdr:row>
      <xdr:rowOff>92969</xdr:rowOff>
    </xdr:to>
    <xdr:sp macro="" textlink="">
      <xdr:nvSpPr>
        <xdr:cNvPr id="31" name="Text Box 33">
          <a:extLst>
            <a:ext uri="{FF2B5EF4-FFF2-40B4-BE49-F238E27FC236}">
              <a16:creationId xmlns:a16="http://schemas.microsoft.com/office/drawing/2014/main" id="{B0ADF401-2A7B-4721-8FCA-748753E495E3}"/>
            </a:ext>
          </a:extLst>
        </xdr:cNvPr>
        <xdr:cNvSpPr txBox="1">
          <a:spLocks noChangeArrowheads="1"/>
        </xdr:cNvSpPr>
      </xdr:nvSpPr>
      <xdr:spPr bwMode="auto">
        <a:xfrm>
          <a:off x="10368915" y="9067800"/>
          <a:ext cx="598005" cy="25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16</xdr:col>
      <xdr:colOff>0</xdr:colOff>
      <xdr:row>135</xdr:row>
      <xdr:rowOff>0</xdr:rowOff>
    </xdr:from>
    <xdr:to>
      <xdr:col>16</xdr:col>
      <xdr:colOff>0</xdr:colOff>
      <xdr:row>135</xdr:row>
      <xdr:rowOff>37616</xdr:rowOff>
    </xdr:to>
    <xdr:sp macro="" textlink="">
      <xdr:nvSpPr>
        <xdr:cNvPr id="32" name="Text Box 35">
          <a:extLst>
            <a:ext uri="{FF2B5EF4-FFF2-40B4-BE49-F238E27FC236}">
              <a16:creationId xmlns:a16="http://schemas.microsoft.com/office/drawing/2014/main" id="{21BC0A7B-C070-4AC7-AA95-4BBA480A17F0}"/>
            </a:ext>
          </a:extLst>
        </xdr:cNvPr>
        <xdr:cNvSpPr txBox="1">
          <a:spLocks noChangeArrowheads="1"/>
        </xdr:cNvSpPr>
      </xdr:nvSpPr>
      <xdr:spPr bwMode="auto">
        <a:xfrm>
          <a:off x="9963150" y="21859875"/>
          <a:ext cx="0" cy="376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smooth</a:t>
          </a:r>
        </a:p>
      </xdr:txBody>
    </xdr:sp>
    <xdr:clientData/>
  </xdr:twoCellAnchor>
  <xdr:twoCellAnchor>
    <xdr:from>
      <xdr:col>14</xdr:col>
      <xdr:colOff>590550</xdr:colOff>
      <xdr:row>63</xdr:row>
      <xdr:rowOff>123825</xdr:rowOff>
    </xdr:from>
    <xdr:to>
      <xdr:col>16</xdr:col>
      <xdr:colOff>552450</xdr:colOff>
      <xdr:row>63</xdr:row>
      <xdr:rowOff>123825</xdr:rowOff>
    </xdr:to>
    <xdr:sp macro="" textlink="">
      <xdr:nvSpPr>
        <xdr:cNvPr id="33" name="Line 43">
          <a:extLst>
            <a:ext uri="{FF2B5EF4-FFF2-40B4-BE49-F238E27FC236}">
              <a16:creationId xmlns:a16="http://schemas.microsoft.com/office/drawing/2014/main" id="{4B3CF37A-6DFF-4608-8E74-C9D4C280625C}"/>
            </a:ext>
          </a:extLst>
        </xdr:cNvPr>
        <xdr:cNvSpPr>
          <a:spLocks noChangeShapeType="1"/>
        </xdr:cNvSpPr>
      </xdr:nvSpPr>
      <xdr:spPr bwMode="auto">
        <a:xfrm>
          <a:off x="9334500" y="10325100"/>
          <a:ext cx="1181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62</xdr:row>
      <xdr:rowOff>47625</xdr:rowOff>
    </xdr:from>
    <xdr:to>
      <xdr:col>16</xdr:col>
      <xdr:colOff>533400</xdr:colOff>
      <xdr:row>62</xdr:row>
      <xdr:rowOff>47625</xdr:rowOff>
    </xdr:to>
    <xdr:sp macro="" textlink="">
      <xdr:nvSpPr>
        <xdr:cNvPr id="34" name="Line 44">
          <a:extLst>
            <a:ext uri="{FF2B5EF4-FFF2-40B4-BE49-F238E27FC236}">
              <a16:creationId xmlns:a16="http://schemas.microsoft.com/office/drawing/2014/main" id="{5A89B159-CDAD-4C12-854F-8A2E3DD2F15C}"/>
            </a:ext>
          </a:extLst>
        </xdr:cNvPr>
        <xdr:cNvSpPr>
          <a:spLocks noChangeShapeType="1"/>
        </xdr:cNvSpPr>
      </xdr:nvSpPr>
      <xdr:spPr bwMode="auto">
        <a:xfrm>
          <a:off x="9505950" y="100869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61</xdr:row>
      <xdr:rowOff>0</xdr:rowOff>
    </xdr:from>
    <xdr:to>
      <xdr:col>16</xdr:col>
      <xdr:colOff>533400</xdr:colOff>
      <xdr:row>61</xdr:row>
      <xdr:rowOff>0</xdr:rowOff>
    </xdr:to>
    <xdr:sp macro="" textlink="">
      <xdr:nvSpPr>
        <xdr:cNvPr id="35" name="Line 45">
          <a:extLst>
            <a:ext uri="{FF2B5EF4-FFF2-40B4-BE49-F238E27FC236}">
              <a16:creationId xmlns:a16="http://schemas.microsoft.com/office/drawing/2014/main" id="{8E86DFD3-9376-4D5B-8B21-2C6BB96374A7}"/>
            </a:ext>
          </a:extLst>
        </xdr:cNvPr>
        <xdr:cNvSpPr>
          <a:spLocks noChangeShapeType="1"/>
        </xdr:cNvSpPr>
      </xdr:nvSpPr>
      <xdr:spPr bwMode="auto">
        <a:xfrm>
          <a:off x="9505950" y="987742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59</xdr:row>
      <xdr:rowOff>104775</xdr:rowOff>
    </xdr:from>
    <xdr:to>
      <xdr:col>16</xdr:col>
      <xdr:colOff>552450</xdr:colOff>
      <xdr:row>59</xdr:row>
      <xdr:rowOff>114300</xdr:rowOff>
    </xdr:to>
    <xdr:sp macro="" textlink="">
      <xdr:nvSpPr>
        <xdr:cNvPr id="36" name="Line 46">
          <a:extLst>
            <a:ext uri="{FF2B5EF4-FFF2-40B4-BE49-F238E27FC236}">
              <a16:creationId xmlns:a16="http://schemas.microsoft.com/office/drawing/2014/main" id="{3A8F4AC3-DC10-4AD8-A9F6-DA86D9F331D1}"/>
            </a:ext>
          </a:extLst>
        </xdr:cNvPr>
        <xdr:cNvSpPr>
          <a:spLocks noChangeShapeType="1"/>
        </xdr:cNvSpPr>
      </xdr:nvSpPr>
      <xdr:spPr bwMode="auto">
        <a:xfrm>
          <a:off x="9525000" y="9658350"/>
          <a:ext cx="990600" cy="95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58</xdr:row>
      <xdr:rowOff>9525</xdr:rowOff>
    </xdr:from>
    <xdr:to>
      <xdr:col>16</xdr:col>
      <xdr:colOff>552450</xdr:colOff>
      <xdr:row>58</xdr:row>
      <xdr:rowOff>9525</xdr:rowOff>
    </xdr:to>
    <xdr:sp macro="" textlink="">
      <xdr:nvSpPr>
        <xdr:cNvPr id="37" name="Line 47">
          <a:extLst>
            <a:ext uri="{FF2B5EF4-FFF2-40B4-BE49-F238E27FC236}">
              <a16:creationId xmlns:a16="http://schemas.microsoft.com/office/drawing/2014/main" id="{C904C2A9-5359-47F8-A8F4-FCC8445B34B5}"/>
            </a:ext>
          </a:extLst>
        </xdr:cNvPr>
        <xdr:cNvSpPr>
          <a:spLocks noChangeShapeType="1"/>
        </xdr:cNvSpPr>
      </xdr:nvSpPr>
      <xdr:spPr bwMode="auto">
        <a:xfrm>
          <a:off x="9563100" y="9401175"/>
          <a:ext cx="9525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257175</xdr:colOff>
      <xdr:row>56</xdr:row>
      <xdr:rowOff>85725</xdr:rowOff>
    </xdr:from>
    <xdr:to>
      <xdr:col>16</xdr:col>
      <xdr:colOff>542925</xdr:colOff>
      <xdr:row>56</xdr:row>
      <xdr:rowOff>85725</xdr:rowOff>
    </xdr:to>
    <xdr:sp macro="" textlink="">
      <xdr:nvSpPr>
        <xdr:cNvPr id="38" name="Line 48">
          <a:extLst>
            <a:ext uri="{FF2B5EF4-FFF2-40B4-BE49-F238E27FC236}">
              <a16:creationId xmlns:a16="http://schemas.microsoft.com/office/drawing/2014/main" id="{BA97D9A4-50AF-4EF9-9EA4-AAA0E59DE3EE}"/>
            </a:ext>
          </a:extLst>
        </xdr:cNvPr>
        <xdr:cNvSpPr>
          <a:spLocks noChangeShapeType="1"/>
        </xdr:cNvSpPr>
      </xdr:nvSpPr>
      <xdr:spPr bwMode="auto">
        <a:xfrm>
          <a:off x="9610725" y="9153525"/>
          <a:ext cx="8953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62</xdr:row>
      <xdr:rowOff>28575</xdr:rowOff>
    </xdr:from>
    <xdr:to>
      <xdr:col>13</xdr:col>
      <xdr:colOff>190500</xdr:colOff>
      <xdr:row>65</xdr:row>
      <xdr:rowOff>66675</xdr:rowOff>
    </xdr:to>
    <xdr:sp macro="" textlink="">
      <xdr:nvSpPr>
        <xdr:cNvPr id="39" name="Text Box 52">
          <a:extLst>
            <a:ext uri="{FF2B5EF4-FFF2-40B4-BE49-F238E27FC236}">
              <a16:creationId xmlns:a16="http://schemas.microsoft.com/office/drawing/2014/main" id="{8E4010A1-B839-4709-A1E9-9D706339A37F}"/>
            </a:ext>
          </a:extLst>
        </xdr:cNvPr>
        <xdr:cNvSpPr txBox="1">
          <a:spLocks noChangeArrowheads="1"/>
        </xdr:cNvSpPr>
      </xdr:nvSpPr>
      <xdr:spPr bwMode="auto">
        <a:xfrm>
          <a:off x="8096250" y="10067925"/>
          <a:ext cx="2286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62</xdr:row>
      <xdr:rowOff>85725</xdr:rowOff>
    </xdr:from>
    <xdr:to>
      <xdr:col>12</xdr:col>
      <xdr:colOff>266700</xdr:colOff>
      <xdr:row>65</xdr:row>
      <xdr:rowOff>47625</xdr:rowOff>
    </xdr:to>
    <xdr:sp macro="" textlink="">
      <xdr:nvSpPr>
        <xdr:cNvPr id="40" name="Text Box 54">
          <a:extLst>
            <a:ext uri="{FF2B5EF4-FFF2-40B4-BE49-F238E27FC236}">
              <a16:creationId xmlns:a16="http://schemas.microsoft.com/office/drawing/2014/main" id="{53F33A30-A78D-4974-828A-3C9A01D1BE69}"/>
            </a:ext>
          </a:extLst>
        </xdr:cNvPr>
        <xdr:cNvSpPr txBox="1">
          <a:spLocks noChangeArrowheads="1"/>
        </xdr:cNvSpPr>
      </xdr:nvSpPr>
      <xdr:spPr bwMode="auto">
        <a:xfrm>
          <a:off x="7600950" y="10125075"/>
          <a:ext cx="1905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190500</xdr:colOff>
      <xdr:row>29</xdr:row>
      <xdr:rowOff>133350</xdr:rowOff>
    </xdr:from>
    <xdr:to>
      <xdr:col>13</xdr:col>
      <xdr:colOff>581025</xdr:colOff>
      <xdr:row>33</xdr:row>
      <xdr:rowOff>38100</xdr:rowOff>
    </xdr:to>
    <xdr:sp macro="" textlink="">
      <xdr:nvSpPr>
        <xdr:cNvPr id="41" name="Text Box 56">
          <a:extLst>
            <a:ext uri="{FF2B5EF4-FFF2-40B4-BE49-F238E27FC236}">
              <a16:creationId xmlns:a16="http://schemas.microsoft.com/office/drawing/2014/main" id="{950977F0-B9AD-414B-BCA9-C2551FD576BD}"/>
            </a:ext>
          </a:extLst>
        </xdr:cNvPr>
        <xdr:cNvSpPr txBox="1">
          <a:spLocks noChangeArrowheads="1"/>
        </xdr:cNvSpPr>
      </xdr:nvSpPr>
      <xdr:spPr bwMode="auto">
        <a:xfrm>
          <a:off x="8324850" y="4829175"/>
          <a:ext cx="390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201244</xdr:colOff>
      <xdr:row>17</xdr:row>
      <xdr:rowOff>4008</xdr:rowOff>
    </xdr:from>
    <xdr:to>
      <xdr:col>18</xdr:col>
      <xdr:colOff>516642</xdr:colOff>
      <xdr:row>18</xdr:row>
      <xdr:rowOff>137095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2F00952-C774-4FAF-BF41-826B7FEF799C}"/>
            </a:ext>
          </a:extLst>
        </xdr:cNvPr>
        <xdr:cNvSpPr txBox="1"/>
      </xdr:nvSpPr>
      <xdr:spPr>
        <a:xfrm>
          <a:off x="10164394" y="2756733"/>
          <a:ext cx="1534598" cy="295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Vendor</a:t>
          </a:r>
          <a:r>
            <a:rPr lang="en-US" sz="1000" baseline="0">
              <a:solidFill>
                <a:srgbClr val="FF0000"/>
              </a:solidFill>
            </a:rPr>
            <a:t> Limit = 0.7 mm/s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156918</xdr:colOff>
      <xdr:row>13</xdr:row>
      <xdr:rowOff>155345</xdr:rowOff>
    </xdr:from>
    <xdr:to>
      <xdr:col>19</xdr:col>
      <xdr:colOff>82599</xdr:colOff>
      <xdr:row>15</xdr:row>
      <xdr:rowOff>133291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4DABCB1-534F-4597-AD4C-43DDE08673EA}"/>
            </a:ext>
          </a:extLst>
        </xdr:cNvPr>
        <xdr:cNvSpPr txBox="1"/>
      </xdr:nvSpPr>
      <xdr:spPr>
        <a:xfrm>
          <a:off x="10715014" y="2250845"/>
          <a:ext cx="1156604" cy="3003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Industry</a:t>
          </a:r>
          <a:r>
            <a:rPr lang="en-US" sz="1000" baseline="0">
              <a:solidFill>
                <a:srgbClr val="FF0000"/>
              </a:solidFill>
            </a:rPr>
            <a:t> Limit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0.01077</cdr:x>
      <cdr:y>0.0122</cdr:y>
    </cdr:from>
    <cdr:to>
      <cdr:x>0.14929</cdr:x>
      <cdr:y>0.1303</cdr:y>
    </cdr:to>
    <cdr:sp macro="" textlink="">
      <cdr:nvSpPr>
        <cdr:cNvPr id="64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666583" cy="477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0.01053</cdr:x>
      <cdr:y>0.06494</cdr:y>
    </cdr:from>
    <cdr:to>
      <cdr:x>0.0771</cdr:x>
      <cdr:y>0.28791</cdr:y>
    </cdr:to>
    <cdr:sp macro="" textlink="">
      <cdr:nvSpPr>
        <cdr:cNvPr id="64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315575" cy="163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FDB76-982C-45FC-B385-16768B6AEB5E}">
  <sheetPr codeName="Sheet2"/>
  <dimension ref="A1:M41"/>
  <sheetViews>
    <sheetView showGridLines="0" zoomScale="115" zoomScaleNormal="115" workbookViewId="0">
      <selection activeCell="L22" sqref="L22"/>
    </sheetView>
  </sheetViews>
  <sheetFormatPr defaultRowHeight="12.75" x14ac:dyDescent="0.2"/>
  <cols>
    <col min="2" max="3" width="9.5703125" bestFit="1" customWidth="1"/>
    <col min="5" max="5" width="9.5703125" bestFit="1" customWidth="1"/>
    <col min="8" max="8" width="10.5703125" customWidth="1"/>
    <col min="11" max="11" width="9.28515625" bestFit="1" customWidth="1"/>
  </cols>
  <sheetData>
    <row r="1" spans="1:13" x14ac:dyDescent="0.2">
      <c r="A1" s="10" t="s">
        <v>3</v>
      </c>
      <c r="B1" s="10"/>
      <c r="C1" s="10"/>
      <c r="D1" s="10"/>
      <c r="E1" s="10"/>
      <c r="F1" s="10"/>
      <c r="G1" s="11" t="s">
        <v>6</v>
      </c>
      <c r="H1" s="10"/>
      <c r="I1" s="10"/>
      <c r="J1" s="10"/>
      <c r="K1" s="10"/>
      <c r="L1" s="10"/>
      <c r="M1" s="10"/>
    </row>
    <row r="2" spans="1:13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2">
      <c r="A3" s="12" t="s">
        <v>4</v>
      </c>
      <c r="B3" s="13" t="s">
        <v>5</v>
      </c>
      <c r="C3" s="13"/>
      <c r="D3" s="13"/>
      <c r="E3" s="10"/>
      <c r="F3" s="10"/>
      <c r="G3" s="10" t="s">
        <v>4</v>
      </c>
      <c r="H3" s="10"/>
      <c r="I3" s="10"/>
      <c r="J3" s="10"/>
      <c r="K3" s="10" t="s">
        <v>5</v>
      </c>
      <c r="L3" s="10"/>
      <c r="M3" s="10"/>
    </row>
    <row r="4" spans="1:13" x14ac:dyDescent="0.2">
      <c r="A4" s="3">
        <v>100</v>
      </c>
      <c r="B4" s="3">
        <v>9.2999999999999992E-3</v>
      </c>
      <c r="C4" s="3">
        <v>3.3E-3</v>
      </c>
      <c r="D4" s="3">
        <v>1.1999999999999999E-3</v>
      </c>
      <c r="E4" s="10"/>
      <c r="F4" s="10"/>
      <c r="G4" s="19">
        <f>0.8*H4</f>
        <v>1424</v>
      </c>
      <c r="H4" s="7">
        <v>1780</v>
      </c>
      <c r="I4" s="19">
        <f>1.2*H4</f>
        <v>2136</v>
      </c>
      <c r="J4" s="7"/>
      <c r="K4" s="7">
        <v>1.0000000000000001E-9</v>
      </c>
      <c r="L4" s="10"/>
      <c r="M4" s="10"/>
    </row>
    <row r="5" spans="1:13" x14ac:dyDescent="0.2">
      <c r="A5" s="3">
        <v>10000</v>
      </c>
      <c r="B5" s="3">
        <v>1E-4</v>
      </c>
      <c r="C5" s="3">
        <v>3.3000000000000003E-5</v>
      </c>
      <c r="D5" s="3">
        <v>1.0000000000000001E-5</v>
      </c>
      <c r="E5" s="10"/>
      <c r="F5" s="10"/>
      <c r="G5" s="19">
        <f>0.8*H5</f>
        <v>1424</v>
      </c>
      <c r="H5" s="7">
        <v>1780</v>
      </c>
      <c r="I5" s="19">
        <f>1.2*H5</f>
        <v>2136</v>
      </c>
      <c r="J5" s="7"/>
      <c r="K5" s="7">
        <v>0.01</v>
      </c>
      <c r="L5" s="10"/>
      <c r="M5" s="10"/>
    </row>
    <row r="6" spans="1:13" x14ac:dyDescent="0.2">
      <c r="A6" s="3">
        <v>100000</v>
      </c>
      <c r="B6" s="3">
        <v>1.1E-5</v>
      </c>
      <c r="C6" s="3">
        <v>3.3299999999999999E-6</v>
      </c>
      <c r="D6" s="3">
        <v>8.9999999999999996E-7</v>
      </c>
      <c r="E6" s="10"/>
      <c r="F6" s="10"/>
      <c r="G6" s="19"/>
      <c r="H6" s="7">
        <v>1780</v>
      </c>
      <c r="I6" s="19"/>
      <c r="J6" s="7"/>
      <c r="K6" s="7"/>
      <c r="L6" s="10"/>
      <c r="M6" s="10"/>
    </row>
    <row r="7" spans="1:13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2">
      <c r="A8" s="12" t="s">
        <v>4</v>
      </c>
      <c r="B8" s="14" t="s">
        <v>5</v>
      </c>
      <c r="C8" s="10"/>
      <c r="D8" s="10"/>
      <c r="E8" s="10"/>
      <c r="F8" s="10"/>
      <c r="G8" s="10" t="s">
        <v>14</v>
      </c>
      <c r="H8" s="10"/>
      <c r="I8" s="10"/>
      <c r="J8" s="10"/>
      <c r="K8" s="10"/>
      <c r="L8" s="10"/>
      <c r="M8" s="10"/>
    </row>
    <row r="9" spans="1:13" x14ac:dyDescent="0.2">
      <c r="A9" s="3">
        <v>100</v>
      </c>
      <c r="B9" s="3">
        <v>0.1</v>
      </c>
      <c r="C9" s="10"/>
      <c r="D9" s="10"/>
      <c r="E9" s="10"/>
      <c r="F9" s="10"/>
      <c r="G9" s="10">
        <v>1E-4</v>
      </c>
      <c r="H9" s="24">
        <f>L13</f>
        <v>1.4784808479739018E-4</v>
      </c>
      <c r="I9" s="10" t="s">
        <v>19</v>
      </c>
      <c r="J9" s="24">
        <f>L12</f>
        <v>3.7553413538537099E-3</v>
      </c>
      <c r="K9" s="10" t="s">
        <v>23</v>
      </c>
      <c r="L9" s="10"/>
      <c r="M9" s="10"/>
    </row>
    <row r="10" spans="1:13" x14ac:dyDescent="0.2">
      <c r="A10" s="3">
        <v>2300</v>
      </c>
      <c r="B10" s="3">
        <v>5.5000000000000003E-4</v>
      </c>
      <c r="C10" s="10"/>
      <c r="D10" s="10"/>
      <c r="E10" s="10"/>
      <c r="F10" s="10"/>
      <c r="G10" s="10">
        <v>100000</v>
      </c>
      <c r="H10" s="24">
        <f>L13</f>
        <v>1.4784808479739018E-4</v>
      </c>
      <c r="I10" s="10" t="s">
        <v>19</v>
      </c>
      <c r="J10" s="24">
        <f>L12</f>
        <v>3.7553413538537099E-3</v>
      </c>
      <c r="K10" s="10" t="s">
        <v>23</v>
      </c>
      <c r="L10" s="10"/>
      <c r="M10" s="10"/>
    </row>
    <row r="11" spans="1:13" x14ac:dyDescent="0.2">
      <c r="A11" s="3">
        <v>10000</v>
      </c>
      <c r="B11" s="3">
        <v>1.2999999999999999E-4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2">
      <c r="A12" s="12">
        <v>100000</v>
      </c>
      <c r="B12" s="12">
        <v>1.45E-5</v>
      </c>
      <c r="C12" s="10"/>
      <c r="D12" s="10"/>
      <c r="E12" s="10"/>
      <c r="F12" s="10"/>
      <c r="G12" s="10" t="s">
        <v>15</v>
      </c>
      <c r="H12" s="34">
        <v>0.7</v>
      </c>
      <c r="I12" s="10" t="s">
        <v>16</v>
      </c>
      <c r="J12" s="1" t="s">
        <v>18</v>
      </c>
      <c r="K12" s="10"/>
      <c r="L12" s="24">
        <f>H12/E28</f>
        <v>3.7553413538537099E-3</v>
      </c>
      <c r="M12" s="10" t="s">
        <v>23</v>
      </c>
    </row>
    <row r="13" spans="1:13" x14ac:dyDescent="0.2">
      <c r="A13" s="10"/>
      <c r="B13" s="10"/>
      <c r="C13" s="10"/>
      <c r="D13" s="10"/>
      <c r="E13" s="10"/>
      <c r="F13" s="10"/>
      <c r="G13" s="10"/>
      <c r="H13" s="24">
        <f>H12/25.4</f>
        <v>2.7559055118110236E-2</v>
      </c>
      <c r="I13" s="10" t="s">
        <v>17</v>
      </c>
      <c r="J13" s="10"/>
      <c r="K13" s="10"/>
      <c r="L13" s="24">
        <f>H13/E28</f>
        <v>1.4784808479739018E-4</v>
      </c>
      <c r="M13" s="10" t="s">
        <v>19</v>
      </c>
    </row>
    <row r="14" spans="1:13" x14ac:dyDescent="0.2">
      <c r="A14" s="10" t="s">
        <v>7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x14ac:dyDescent="0.2">
      <c r="A15" s="10" t="s">
        <v>12</v>
      </c>
      <c r="B15" s="10"/>
      <c r="C15" s="10"/>
      <c r="D15" s="10"/>
      <c r="E15" s="10"/>
      <c r="F15" s="10"/>
      <c r="G15" s="10" t="s">
        <v>13</v>
      </c>
      <c r="H15" s="10"/>
      <c r="I15" s="10"/>
      <c r="J15" s="10"/>
      <c r="K15" s="10"/>
      <c r="L15" s="10"/>
      <c r="M15" s="10"/>
    </row>
    <row r="16" spans="1:13" x14ac:dyDescent="0.2">
      <c r="A16" s="12" t="s">
        <v>4</v>
      </c>
      <c r="B16" s="14" t="s">
        <v>5</v>
      </c>
      <c r="C16" s="10"/>
      <c r="D16" s="12" t="s">
        <v>4</v>
      </c>
      <c r="E16" s="14" t="s">
        <v>5</v>
      </c>
      <c r="F16" s="10"/>
      <c r="G16" s="12" t="s">
        <v>4</v>
      </c>
      <c r="H16" s="14" t="s">
        <v>5</v>
      </c>
      <c r="I16" s="10"/>
      <c r="J16" s="10"/>
      <c r="K16" s="10"/>
      <c r="L16" s="10"/>
      <c r="M16" s="10"/>
    </row>
    <row r="17" spans="1:13" x14ac:dyDescent="0.2">
      <c r="A17" s="3">
        <v>100</v>
      </c>
      <c r="B17" s="3">
        <v>3.7000000000000002E-3</v>
      </c>
      <c r="C17" s="10"/>
      <c r="D17" s="3">
        <v>100</v>
      </c>
      <c r="E17" s="3">
        <v>1.4E-3</v>
      </c>
      <c r="F17" s="10"/>
      <c r="G17" s="3">
        <v>100</v>
      </c>
      <c r="H17" s="3">
        <f>0.9/1000/2</f>
        <v>4.4999999999999999E-4</v>
      </c>
      <c r="I17" s="10">
        <f>1.9/1000/2</f>
        <v>9.5E-4</v>
      </c>
      <c r="J17" s="10">
        <f>3.5/1000/2</f>
        <v>1.75E-3</v>
      </c>
      <c r="K17" s="10">
        <f>7.5/1000/2</f>
        <v>3.7499999999999999E-3</v>
      </c>
      <c r="L17" s="10">
        <f>15/1000/2</f>
        <v>7.4999999999999997E-3</v>
      </c>
      <c r="M17" s="10"/>
    </row>
    <row r="18" spans="1:13" x14ac:dyDescent="0.2">
      <c r="A18" s="3">
        <v>300</v>
      </c>
      <c r="B18" s="3">
        <v>2.3999999999999998E-3</v>
      </c>
      <c r="C18" s="10"/>
      <c r="D18" s="3">
        <v>300</v>
      </c>
      <c r="E18" s="3">
        <v>8.0000000000000004E-4</v>
      </c>
      <c r="F18" s="10"/>
      <c r="G18" s="3">
        <v>10000</v>
      </c>
      <c r="H18" s="3">
        <f>0.008/1000/2</f>
        <v>3.9999999999999998E-6</v>
      </c>
      <c r="I18" s="10">
        <f>0.019/1000/2</f>
        <v>9.5000000000000005E-6</v>
      </c>
      <c r="J18" s="10">
        <f>0.033/1000/2</f>
        <v>1.6500000000000001E-5</v>
      </c>
      <c r="K18" s="10">
        <f>0.07/1000/2</f>
        <v>3.5000000000000004E-5</v>
      </c>
      <c r="L18" s="10">
        <f>0.13/1000/2</f>
        <v>6.5000000000000008E-5</v>
      </c>
      <c r="M18" s="10"/>
    </row>
    <row r="19" spans="1:13" x14ac:dyDescent="0.2">
      <c r="A19" s="3">
        <v>1700</v>
      </c>
      <c r="B19" s="3">
        <v>1.1000000000000001E-3</v>
      </c>
      <c r="C19" s="10"/>
      <c r="D19" s="3">
        <v>1700</v>
      </c>
      <c r="E19" s="3">
        <v>3.4000000000000002E-4</v>
      </c>
      <c r="F19" s="10"/>
      <c r="G19" s="12">
        <v>100000</v>
      </c>
      <c r="H19" s="21">
        <v>3.5499999999999999E-7</v>
      </c>
      <c r="I19" s="21">
        <v>9.33E-7</v>
      </c>
      <c r="J19" s="21">
        <v>1.64E-6</v>
      </c>
      <c r="K19" s="21">
        <v>3.4400000000000001E-6</v>
      </c>
      <c r="L19" s="21">
        <v>6.1999999999999999E-6</v>
      </c>
      <c r="M19" s="12"/>
    </row>
    <row r="20" spans="1:13" x14ac:dyDescent="0.2">
      <c r="A20" s="3">
        <v>3500</v>
      </c>
      <c r="B20" s="3">
        <v>5.0000000000000001E-4</v>
      </c>
      <c r="C20" s="10"/>
      <c r="D20" s="3">
        <v>10000</v>
      </c>
      <c r="E20" s="3">
        <v>6.7000000000000002E-5</v>
      </c>
      <c r="F20" s="10"/>
      <c r="G20" s="10"/>
      <c r="H20" s="10"/>
      <c r="I20" s="10"/>
      <c r="J20" s="10"/>
      <c r="K20" s="10"/>
      <c r="L20" s="10"/>
      <c r="M20" s="10"/>
    </row>
    <row r="21" spans="1:13" x14ac:dyDescent="0.2">
      <c r="A21" s="3">
        <v>10000</v>
      </c>
      <c r="B21" s="3">
        <v>1.3999999999999999E-4</v>
      </c>
      <c r="C21" s="10"/>
      <c r="D21" s="12">
        <v>100000</v>
      </c>
      <c r="E21" s="12">
        <v>8.1799999999999996E-6</v>
      </c>
      <c r="F21" s="10"/>
      <c r="G21" s="10"/>
      <c r="H21" s="10"/>
      <c r="I21" s="10"/>
      <c r="J21" s="10"/>
      <c r="K21" s="10"/>
      <c r="L21" s="10"/>
      <c r="M21" s="10"/>
    </row>
    <row r="22" spans="1:13" x14ac:dyDescent="0.2">
      <c r="A22" s="3">
        <v>100000</v>
      </c>
      <c r="B22" s="3">
        <v>9.3300000000000005E-6</v>
      </c>
      <c r="C22" s="10"/>
      <c r="D22" s="10"/>
      <c r="E22" s="10"/>
      <c r="F22" s="10"/>
      <c r="G22" s="1" t="s">
        <v>30</v>
      </c>
      <c r="H22" s="10"/>
      <c r="I22" s="10"/>
      <c r="J22" s="10"/>
      <c r="K22" s="10"/>
      <c r="L22" s="10"/>
      <c r="M22" s="10"/>
    </row>
    <row r="23" spans="1:13" x14ac:dyDescent="0.2">
      <c r="A23" s="10"/>
      <c r="B23" s="10"/>
      <c r="C23" s="10"/>
      <c r="D23" s="10"/>
      <c r="E23" s="10"/>
      <c r="F23" s="10"/>
      <c r="G23" s="10">
        <v>1E-4</v>
      </c>
      <c r="H23" s="24">
        <f>L27</f>
        <v>5.9999999999999995E-4</v>
      </c>
      <c r="I23" s="10" t="s">
        <v>19</v>
      </c>
      <c r="J23" s="24">
        <f>L26</f>
        <v>1.5239999999999998E-2</v>
      </c>
      <c r="K23" s="10" t="s">
        <v>23</v>
      </c>
      <c r="L23" s="10"/>
      <c r="M23" s="10"/>
    </row>
    <row r="24" spans="1:13" x14ac:dyDescent="0.2">
      <c r="A24" s="10" t="s">
        <v>8</v>
      </c>
      <c r="B24" s="10"/>
      <c r="C24" s="10"/>
      <c r="D24" s="10"/>
      <c r="E24" s="15">
        <v>1</v>
      </c>
      <c r="F24" s="10"/>
      <c r="G24" s="10">
        <v>100000</v>
      </c>
      <c r="H24" s="24">
        <f>L27</f>
        <v>5.9999999999999995E-4</v>
      </c>
      <c r="I24" s="10" t="s">
        <v>19</v>
      </c>
      <c r="J24" s="24">
        <f>L26</f>
        <v>1.5239999999999998E-2</v>
      </c>
      <c r="K24" s="10" t="s">
        <v>23</v>
      </c>
      <c r="L24" s="10"/>
      <c r="M24" s="10"/>
    </row>
    <row r="25" spans="1:13" x14ac:dyDescent="0.2">
      <c r="A25" s="10" t="s">
        <v>9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x14ac:dyDescent="0.2">
      <c r="A26" s="10" t="s">
        <v>10</v>
      </c>
      <c r="B26" s="10"/>
      <c r="C26" s="10"/>
      <c r="D26" s="10"/>
      <c r="E26" s="10"/>
      <c r="F26" s="10"/>
      <c r="G26" s="10" t="s">
        <v>15</v>
      </c>
      <c r="H26" s="34">
        <f>1.8</f>
        <v>1.8</v>
      </c>
      <c r="I26" s="10" t="s">
        <v>16</v>
      </c>
      <c r="J26" s="1" t="s">
        <v>18</v>
      </c>
      <c r="K26" s="10"/>
      <c r="L26" s="24">
        <f>L27*25.4</f>
        <v>1.5239999999999998E-2</v>
      </c>
      <c r="M26" s="10" t="s">
        <v>23</v>
      </c>
    </row>
    <row r="27" spans="1:13" x14ac:dyDescent="0.2">
      <c r="A27" s="10"/>
      <c r="B27" s="10"/>
      <c r="C27" s="10"/>
      <c r="D27" s="10"/>
      <c r="E27" s="10"/>
      <c r="F27" s="10"/>
      <c r="G27" s="10"/>
      <c r="H27" s="24">
        <f>H26/25.4</f>
        <v>7.0866141732283464E-2</v>
      </c>
      <c r="I27" s="10" t="s">
        <v>17</v>
      </c>
      <c r="J27" s="10"/>
      <c r="K27" s="10"/>
      <c r="L27" s="24">
        <f>0.6/1000</f>
        <v>5.9999999999999995E-4</v>
      </c>
      <c r="M27" s="10" t="s">
        <v>19</v>
      </c>
    </row>
    <row r="28" spans="1:13" x14ac:dyDescent="0.2">
      <c r="A28" s="16" t="s">
        <v>28</v>
      </c>
      <c r="B28" s="10"/>
      <c r="C28" s="10">
        <v>1780</v>
      </c>
      <c r="D28" s="10" t="s">
        <v>4</v>
      </c>
      <c r="E28" s="18">
        <f>C28*2*PI()/60</f>
        <v>186.40116411299439</v>
      </c>
      <c r="F28" s="10" t="s">
        <v>11</v>
      </c>
      <c r="G28" s="10"/>
      <c r="H28" s="10"/>
      <c r="I28" s="10"/>
      <c r="J28" s="10"/>
      <c r="K28" s="10"/>
      <c r="L28" s="10"/>
      <c r="M28" s="10"/>
    </row>
    <row r="29" spans="1:13" x14ac:dyDescent="0.2">
      <c r="A29" s="16" t="s">
        <v>29</v>
      </c>
      <c r="B29" s="10"/>
      <c r="C29" s="10">
        <v>1780</v>
      </c>
      <c r="D29" s="10" t="s">
        <v>4</v>
      </c>
      <c r="E29" s="18">
        <f>C29*2*PI()/60</f>
        <v>186.40116411299439</v>
      </c>
      <c r="F29" s="10" t="s">
        <v>11</v>
      </c>
      <c r="G29" s="10"/>
      <c r="H29" s="10"/>
      <c r="I29" s="10"/>
      <c r="J29" s="10"/>
      <c r="K29" s="10"/>
      <c r="L29" s="10"/>
      <c r="M29" s="10"/>
    </row>
    <row r="30" spans="1:13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3" x14ac:dyDescent="0.2">
      <c r="A32" s="10"/>
      <c r="B32" s="10"/>
      <c r="C32" s="10"/>
      <c r="D32" s="10" t="s">
        <v>20</v>
      </c>
      <c r="E32" s="10"/>
      <c r="F32" s="10"/>
      <c r="G32" s="10"/>
      <c r="H32" s="10"/>
      <c r="I32" s="10" t="s">
        <v>5</v>
      </c>
      <c r="J32" s="10"/>
      <c r="K32" s="10"/>
      <c r="L32" s="10"/>
      <c r="M32" s="10"/>
    </row>
    <row r="33" spans="1:13" x14ac:dyDescent="0.2">
      <c r="A33" s="10"/>
      <c r="B33" s="23"/>
      <c r="C33" s="10"/>
      <c r="D33" s="23"/>
      <c r="E33" s="10"/>
      <c r="F33" s="23">
        <f t="shared" ref="F33:H34" si="0">G4</f>
        <v>1424</v>
      </c>
      <c r="G33" s="10">
        <f t="shared" si="0"/>
        <v>1780</v>
      </c>
      <c r="H33" s="23">
        <f t="shared" si="0"/>
        <v>2136</v>
      </c>
      <c r="I33" s="10">
        <v>9.9999999999999995E-7</v>
      </c>
      <c r="J33" s="10"/>
      <c r="K33" s="10"/>
      <c r="L33" s="10"/>
      <c r="M33" s="10"/>
    </row>
    <row r="34" spans="1:13" x14ac:dyDescent="0.2">
      <c r="A34" s="10"/>
      <c r="B34" s="23"/>
      <c r="C34" s="10"/>
      <c r="D34" s="23"/>
      <c r="E34" s="10"/>
      <c r="F34" s="23">
        <f t="shared" si="0"/>
        <v>1424</v>
      </c>
      <c r="G34" s="10">
        <f t="shared" si="0"/>
        <v>1780</v>
      </c>
      <c r="H34" s="23">
        <f t="shared" si="0"/>
        <v>2136</v>
      </c>
      <c r="I34" s="10">
        <v>0.01</v>
      </c>
      <c r="J34" s="10"/>
      <c r="K34" s="10"/>
      <c r="L34" s="10"/>
      <c r="M34" s="10"/>
    </row>
    <row r="35" spans="1:13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1:13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1:13" x14ac:dyDescent="0.2">
      <c r="A37" s="10"/>
      <c r="B37" s="30" t="s">
        <v>24</v>
      </c>
      <c r="C37" s="31"/>
      <c r="D37" s="30" t="s">
        <v>18</v>
      </c>
      <c r="E37" s="32"/>
      <c r="F37" s="10"/>
      <c r="G37" s="10"/>
      <c r="H37" s="30" t="s">
        <v>25</v>
      </c>
      <c r="I37" s="31"/>
      <c r="J37" s="30" t="s">
        <v>18</v>
      </c>
      <c r="K37" s="32"/>
      <c r="L37" s="10"/>
      <c r="M37" s="10"/>
    </row>
    <row r="38" spans="1:13" x14ac:dyDescent="0.2">
      <c r="A38" s="10"/>
      <c r="B38" s="25">
        <f>2.9</f>
        <v>2.9</v>
      </c>
      <c r="C38" s="10" t="s">
        <v>16</v>
      </c>
      <c r="D38" s="33">
        <f>B38/E28</f>
        <v>1.5557842751679657E-2</v>
      </c>
      <c r="E38" s="26" t="s">
        <v>23</v>
      </c>
      <c r="F38" s="10" t="s">
        <v>27</v>
      </c>
      <c r="G38" s="10"/>
      <c r="H38" s="25">
        <v>5</v>
      </c>
      <c r="I38" s="10" t="s">
        <v>16</v>
      </c>
      <c r="J38" s="33">
        <f>H38/E28</f>
        <v>2.6823866813240789E-2</v>
      </c>
      <c r="K38" s="26" t="s">
        <v>23</v>
      </c>
      <c r="L38" s="10" t="s">
        <v>26</v>
      </c>
      <c r="M38" s="10"/>
    </row>
    <row r="39" spans="1:13" x14ac:dyDescent="0.2">
      <c r="A39" s="10"/>
      <c r="B39" s="27">
        <f>B38/25.4</f>
        <v>0.1141732283464567</v>
      </c>
      <c r="C39" s="28" t="s">
        <v>17</v>
      </c>
      <c r="D39" s="27">
        <f>B39/E28</f>
        <v>6.1251349416061647E-4</v>
      </c>
      <c r="E39" s="29" t="s">
        <v>19</v>
      </c>
      <c r="F39" s="10"/>
      <c r="G39" s="24"/>
      <c r="H39" s="27">
        <f>H38/25.4</f>
        <v>0.19685039370078741</v>
      </c>
      <c r="I39" s="28" t="s">
        <v>17</v>
      </c>
      <c r="J39" s="27">
        <f>H39/E28</f>
        <v>1.056057748552787E-3</v>
      </c>
      <c r="K39" s="29" t="s">
        <v>19</v>
      </c>
      <c r="L39" s="10"/>
      <c r="M39" s="10"/>
    </row>
    <row r="40" spans="1:13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</sheetData>
  <phoneticPr fontId="0" type="noConversion"/>
  <pageMargins left="0.75" right="0.75" top="1" bottom="1" header="0.5" footer="0.5"/>
  <pageSetup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DEF1-6D20-4382-AC0D-5A2CDCB1AA97}">
  <sheetPr codeName="Sheet4"/>
  <dimension ref="A1:AD140"/>
  <sheetViews>
    <sheetView showGridLines="0" tabSelected="1" zoomScale="130" zoomScaleNormal="130" workbookViewId="0">
      <selection activeCell="I10" sqref="I10"/>
    </sheetView>
  </sheetViews>
  <sheetFormatPr defaultRowHeight="12.75" x14ac:dyDescent="0.2"/>
  <cols>
    <col min="1" max="1" width="12" customWidth="1"/>
    <col min="2" max="4" width="10.42578125" bestFit="1" customWidth="1"/>
    <col min="5" max="5" width="5.5703125" customWidth="1"/>
    <col min="19" max="19" width="9.28515625" bestFit="1" customWidth="1"/>
    <col min="20" max="21" width="9.28515625" customWidth="1"/>
    <col min="22" max="22" width="12.140625" style="36" customWidth="1"/>
    <col min="23" max="25" width="9.5703125" style="36" bestFit="1" customWidth="1"/>
    <col min="26" max="26" width="9.140625" style="36"/>
    <col min="27" max="27" width="10.85546875" style="36" bestFit="1" customWidth="1"/>
    <col min="28" max="28" width="9.28515625" style="36" customWidth="1"/>
    <col min="29" max="29" width="10.85546875" style="36" bestFit="1" customWidth="1"/>
    <col min="31" max="31" width="9.28515625" bestFit="1" customWidth="1"/>
    <col min="32" max="32" width="13" bestFit="1" customWidth="1"/>
    <col min="33" max="33" width="9.28515625" bestFit="1" customWidth="1"/>
    <col min="35" max="38" width="9.28515625" bestFit="1" customWidth="1"/>
    <col min="39" max="40" width="10.5703125" bestFit="1" customWidth="1"/>
    <col min="41" max="41" width="9.28515625" bestFit="1" customWidth="1"/>
    <col min="42" max="43" width="10.5703125" bestFit="1" customWidth="1"/>
    <col min="49" max="50" width="10.5703125" bestFit="1" customWidth="1"/>
    <col min="51" max="51" width="9.28515625" bestFit="1" customWidth="1"/>
    <col min="52" max="53" width="10.5703125" bestFit="1" customWidth="1"/>
  </cols>
  <sheetData>
    <row r="1" spans="1:30" x14ac:dyDescent="0.2">
      <c r="A1" s="37" t="s">
        <v>31</v>
      </c>
      <c r="B1" s="3"/>
      <c r="C1" s="3"/>
      <c r="D1" s="3"/>
      <c r="E1" s="3"/>
      <c r="F1" s="3"/>
      <c r="G1" s="3"/>
      <c r="H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</row>
    <row r="2" spans="1:30" x14ac:dyDescent="0.2">
      <c r="A2" s="22" t="s">
        <v>38</v>
      </c>
      <c r="B2" s="1"/>
      <c r="C2" s="1"/>
      <c r="D2" s="1"/>
      <c r="E2" s="3"/>
      <c r="F2" s="40"/>
      <c r="G2" s="40"/>
      <c r="H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1"/>
    </row>
    <row r="3" spans="1:30" x14ac:dyDescent="0.2">
      <c r="A3" s="22" t="s">
        <v>39</v>
      </c>
      <c r="B3" s="36"/>
      <c r="C3" s="36"/>
      <c r="D3" s="36"/>
      <c r="E3" s="36"/>
      <c r="F3" s="36"/>
      <c r="G3" s="36"/>
      <c r="H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1"/>
    </row>
    <row r="4" spans="1:30" x14ac:dyDescent="0.2">
      <c r="A4" s="41" t="s">
        <v>35</v>
      </c>
      <c r="B4" s="43" t="s">
        <v>36</v>
      </c>
      <c r="C4" s="43"/>
      <c r="D4" s="43"/>
      <c r="E4" s="3"/>
      <c r="F4" s="43" t="s">
        <v>37</v>
      </c>
      <c r="G4" s="43"/>
      <c r="H4" s="4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1"/>
    </row>
    <row r="5" spans="1:30" x14ac:dyDescent="0.2">
      <c r="A5" s="42"/>
      <c r="B5" s="8" t="s">
        <v>0</v>
      </c>
      <c r="C5" s="8" t="s">
        <v>1</v>
      </c>
      <c r="D5" s="8" t="s">
        <v>2</v>
      </c>
      <c r="E5" s="3"/>
      <c r="F5" s="8" t="s">
        <v>0</v>
      </c>
      <c r="G5" s="8" t="s">
        <v>1</v>
      </c>
      <c r="H5" s="8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1"/>
    </row>
    <row r="6" spans="1:30" x14ac:dyDescent="0.2">
      <c r="A6" s="35">
        <v>0</v>
      </c>
      <c r="B6" s="38">
        <v>2.9529999999999999E-16</v>
      </c>
      <c r="C6" s="38">
        <v>2.956E-17</v>
      </c>
      <c r="D6" s="38">
        <v>7.1569999999999997E-17</v>
      </c>
      <c r="E6" s="3"/>
      <c r="F6" s="38">
        <f>B6*1000/25.4</f>
        <v>1.1625984251968503E-14</v>
      </c>
      <c r="G6" s="38">
        <f>C6*1000/25.4</f>
        <v>1.1637795275590553E-15</v>
      </c>
      <c r="H6" s="38">
        <f>D6*1000/25.4</f>
        <v>2.8177165354330706E-15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1"/>
    </row>
    <row r="7" spans="1:30" x14ac:dyDescent="0.2">
      <c r="A7" s="35">
        <v>20</v>
      </c>
      <c r="B7" s="38">
        <v>1.7510000000000001E-9</v>
      </c>
      <c r="C7" s="38">
        <v>2.513E-10</v>
      </c>
      <c r="D7" s="38">
        <v>4.1600000000000001E-10</v>
      </c>
      <c r="E7" s="3"/>
      <c r="F7" s="38">
        <f t="shared" ref="F7:F70" si="0">B7*1000/25.4</f>
        <v>6.8937007874015754E-8</v>
      </c>
      <c r="G7" s="38">
        <f t="shared" ref="G7:G70" si="1">C7*1000/25.4</f>
        <v>9.8937007874015741E-9</v>
      </c>
      <c r="H7" s="38">
        <f t="shared" ref="H7:H70" si="2">D7*1000/25.4</f>
        <v>1.6377952755905514E-8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3"/>
      <c r="AC7" s="3"/>
      <c r="AD7" s="1"/>
    </row>
    <row r="8" spans="1:30" x14ac:dyDescent="0.2">
      <c r="A8" s="35">
        <v>40</v>
      </c>
      <c r="B8" s="38">
        <v>6.82E-9</v>
      </c>
      <c r="C8" s="38">
        <v>9.7900000000000003E-10</v>
      </c>
      <c r="D8" s="38">
        <v>1.68E-9</v>
      </c>
      <c r="E8" s="3"/>
      <c r="F8" s="38">
        <f t="shared" si="0"/>
        <v>2.6850393700787401E-7</v>
      </c>
      <c r="G8" s="38">
        <f t="shared" si="1"/>
        <v>3.854330708661418E-8</v>
      </c>
      <c r="H8" s="38">
        <f t="shared" si="2"/>
        <v>6.614173228346457E-8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1"/>
    </row>
    <row r="9" spans="1:30" x14ac:dyDescent="0.2">
      <c r="A9" s="35">
        <v>60</v>
      </c>
      <c r="B9" s="38">
        <v>1.5379999999999999E-8</v>
      </c>
      <c r="C9" s="38">
        <v>2.2200000000000002E-9</v>
      </c>
      <c r="D9" s="38">
        <v>3.8099999999999999E-9</v>
      </c>
      <c r="E9" s="3"/>
      <c r="F9" s="38">
        <f t="shared" si="0"/>
        <v>6.0551181102362198E-7</v>
      </c>
      <c r="G9" s="38">
        <f t="shared" si="1"/>
        <v>8.740157480314962E-8</v>
      </c>
      <c r="H9" s="38">
        <f t="shared" si="2"/>
        <v>1.4999999999999999E-7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D9" s="3"/>
    </row>
    <row r="10" spans="1:30" x14ac:dyDescent="0.2">
      <c r="A10" s="35">
        <v>80</v>
      </c>
      <c r="B10" s="38">
        <v>2.8220000000000001E-8</v>
      </c>
      <c r="C10" s="38">
        <v>4.1000000000000003E-9</v>
      </c>
      <c r="D10" s="38">
        <v>6.8500000000000001E-9</v>
      </c>
      <c r="E10" s="3"/>
      <c r="F10" s="38">
        <f t="shared" si="0"/>
        <v>1.1110236220472443E-6</v>
      </c>
      <c r="G10" s="38">
        <f t="shared" si="1"/>
        <v>1.614173228346457E-7</v>
      </c>
      <c r="H10" s="38">
        <f t="shared" si="2"/>
        <v>2.6968503937007878E-7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D10" s="3"/>
    </row>
    <row r="11" spans="1:30" x14ac:dyDescent="0.2">
      <c r="A11" s="35">
        <v>100</v>
      </c>
      <c r="B11" s="38">
        <v>4.4940000000000004E-8</v>
      </c>
      <c r="C11" s="38">
        <v>6.5599999999999997E-9</v>
      </c>
      <c r="D11" s="38">
        <v>1.095E-8</v>
      </c>
      <c r="E11" s="3"/>
      <c r="F11" s="38">
        <f t="shared" si="0"/>
        <v>1.7692913385826776E-6</v>
      </c>
      <c r="G11" s="38">
        <f t="shared" si="1"/>
        <v>2.5826771653543311E-7</v>
      </c>
      <c r="H11" s="38">
        <f t="shared" si="2"/>
        <v>4.3110236220472446E-7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AD11" s="3"/>
    </row>
    <row r="12" spans="1:30" x14ac:dyDescent="0.2">
      <c r="A12" s="35">
        <v>120</v>
      </c>
      <c r="B12" s="38">
        <v>6.7000000000000004E-8</v>
      </c>
      <c r="C12" s="38">
        <v>9.8000000000000001E-9</v>
      </c>
      <c r="D12" s="38">
        <v>1.6280000000000001E-8</v>
      </c>
      <c r="E12" s="3"/>
      <c r="F12" s="38">
        <f t="shared" si="0"/>
        <v>2.6377952755905512E-6</v>
      </c>
      <c r="G12" s="38">
        <f t="shared" si="1"/>
        <v>3.858267716535433E-7</v>
      </c>
      <c r="H12" s="38">
        <f t="shared" si="2"/>
        <v>6.4094488188976379E-7</v>
      </c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AD12" s="1"/>
    </row>
    <row r="13" spans="1:30" x14ac:dyDescent="0.2">
      <c r="A13" s="35">
        <v>140</v>
      </c>
      <c r="B13" s="38">
        <v>9.499999999999999E-8</v>
      </c>
      <c r="C13" s="38">
        <v>1.3820000000000001E-8</v>
      </c>
      <c r="D13" s="38">
        <v>2.325E-8</v>
      </c>
      <c r="E13" s="3"/>
      <c r="F13" s="38">
        <f t="shared" si="0"/>
        <v>3.7401574803149604E-6</v>
      </c>
      <c r="G13" s="38">
        <f t="shared" si="1"/>
        <v>5.4409448818897636E-7</v>
      </c>
      <c r="H13" s="38">
        <f t="shared" si="2"/>
        <v>9.1535433070866142E-7</v>
      </c>
      <c r="J13" s="1"/>
      <c r="K13" s="1"/>
      <c r="L13" s="1"/>
      <c r="M13" s="1"/>
      <c r="N13" s="1"/>
      <c r="O13" s="1"/>
      <c r="P13" s="1"/>
      <c r="Q13" s="1"/>
      <c r="R13" s="17"/>
      <c r="S13" s="9"/>
      <c r="T13" s="9"/>
      <c r="U13" s="9"/>
      <c r="AD13" s="6"/>
    </row>
    <row r="14" spans="1:30" x14ac:dyDescent="0.2">
      <c r="A14" s="35">
        <v>160</v>
      </c>
      <c r="B14" s="38">
        <v>1.3080000000000001E-7</v>
      </c>
      <c r="C14" s="38">
        <v>1.8770000000000002E-8</v>
      </c>
      <c r="D14" s="38">
        <v>3.2300000000000005E-8</v>
      </c>
      <c r="E14" s="3"/>
      <c r="F14" s="38">
        <f t="shared" si="0"/>
        <v>5.1496062992125992E-6</v>
      </c>
      <c r="G14" s="38">
        <f t="shared" si="1"/>
        <v>7.38976377952756E-7</v>
      </c>
      <c r="H14" s="38">
        <f t="shared" si="2"/>
        <v>1.2716535433070869E-6</v>
      </c>
      <c r="J14" s="1"/>
      <c r="K14" s="1"/>
      <c r="L14" s="1"/>
      <c r="M14" s="1"/>
      <c r="N14" s="1"/>
      <c r="O14" s="1"/>
      <c r="P14" s="1"/>
      <c r="Q14" s="1"/>
      <c r="R14" s="17"/>
      <c r="S14" s="9"/>
      <c r="T14" s="9"/>
      <c r="U14" s="9"/>
      <c r="AD14" s="6"/>
    </row>
    <row r="15" spans="1:30" x14ac:dyDescent="0.2">
      <c r="A15" s="35">
        <v>180</v>
      </c>
      <c r="B15" s="38">
        <v>1.762E-7</v>
      </c>
      <c r="C15" s="38">
        <v>2.4600000000000002E-8</v>
      </c>
      <c r="D15" s="38">
        <v>4.4100000000000004E-8</v>
      </c>
      <c r="E15" s="3"/>
      <c r="F15" s="38">
        <f t="shared" si="0"/>
        <v>6.9370078740157483E-6</v>
      </c>
      <c r="G15" s="38">
        <f t="shared" si="1"/>
        <v>9.6850393700787414E-7</v>
      </c>
      <c r="H15" s="38">
        <f t="shared" si="2"/>
        <v>1.736220472440945E-6</v>
      </c>
      <c r="J15" s="1"/>
      <c r="K15" s="1"/>
      <c r="L15" s="1"/>
      <c r="M15" s="1"/>
      <c r="N15" s="1"/>
      <c r="O15" s="1"/>
      <c r="P15" s="1"/>
      <c r="Q15" s="1"/>
      <c r="R15" s="17"/>
      <c r="S15" s="1"/>
      <c r="T15" s="1"/>
      <c r="U15" s="1"/>
      <c r="AD15" s="6"/>
    </row>
    <row r="16" spans="1:30" x14ac:dyDescent="0.2">
      <c r="A16" s="35">
        <v>200</v>
      </c>
      <c r="B16" s="38">
        <v>2.3199999999999999E-7</v>
      </c>
      <c r="C16" s="38">
        <v>3.1200000000000001E-8</v>
      </c>
      <c r="D16" s="38">
        <v>5.8500000000000001E-8</v>
      </c>
      <c r="E16" s="3"/>
      <c r="F16" s="38">
        <f t="shared" si="0"/>
        <v>9.1338582677165342E-6</v>
      </c>
      <c r="G16" s="38">
        <f t="shared" si="1"/>
        <v>1.2283464566929135E-6</v>
      </c>
      <c r="H16" s="38">
        <f t="shared" si="2"/>
        <v>2.3031496062992129E-6</v>
      </c>
      <c r="J16" s="1"/>
      <c r="K16" s="1"/>
      <c r="L16" s="1"/>
      <c r="M16" s="1"/>
      <c r="N16" s="1"/>
      <c r="O16" s="1"/>
      <c r="P16" s="1"/>
      <c r="Q16" s="1"/>
      <c r="R16" s="17"/>
      <c r="S16" s="1"/>
      <c r="T16" s="1"/>
      <c r="U16" s="1"/>
      <c r="AD16" s="6"/>
    </row>
    <row r="17" spans="1:30" x14ac:dyDescent="0.2">
      <c r="A17" s="35">
        <v>220</v>
      </c>
      <c r="B17" s="38">
        <v>2.917E-7</v>
      </c>
      <c r="C17" s="38">
        <v>3.8300000000000005E-8</v>
      </c>
      <c r="D17" s="38">
        <v>7.3199999999999994E-8</v>
      </c>
      <c r="E17" s="3"/>
      <c r="F17" s="38">
        <f t="shared" si="0"/>
        <v>1.1484251968503937E-5</v>
      </c>
      <c r="G17" s="38">
        <f t="shared" si="1"/>
        <v>1.5078740157480316E-6</v>
      </c>
      <c r="H17" s="38">
        <f t="shared" si="2"/>
        <v>2.8818897637795275E-6</v>
      </c>
      <c r="J17" s="1"/>
      <c r="K17" s="1"/>
      <c r="L17" s="1"/>
      <c r="M17" s="1"/>
      <c r="N17" s="1"/>
      <c r="O17" s="1"/>
      <c r="P17" s="1"/>
      <c r="Q17" s="1"/>
      <c r="R17" s="17"/>
      <c r="S17" s="9"/>
      <c r="T17" s="9"/>
      <c r="U17" s="9"/>
      <c r="AD17" s="6"/>
    </row>
    <row r="18" spans="1:30" x14ac:dyDescent="0.2">
      <c r="A18" s="35">
        <v>240</v>
      </c>
      <c r="B18" s="38">
        <v>3.4999999999999998E-7</v>
      </c>
      <c r="C18" s="38">
        <v>4.58E-8</v>
      </c>
      <c r="D18" s="38">
        <v>8.65E-8</v>
      </c>
      <c r="E18" s="3"/>
      <c r="F18" s="38">
        <f t="shared" si="0"/>
        <v>1.3779527559055119E-5</v>
      </c>
      <c r="G18" s="38">
        <f t="shared" si="1"/>
        <v>1.8031496062992128E-6</v>
      </c>
      <c r="H18" s="38">
        <f t="shared" si="2"/>
        <v>3.4055118110236225E-6</v>
      </c>
      <c r="J18" s="1"/>
      <c r="K18" s="1"/>
      <c r="L18" s="1"/>
      <c r="M18" s="1"/>
      <c r="N18" s="1"/>
      <c r="O18" s="1"/>
      <c r="P18" s="1"/>
      <c r="Q18" s="1"/>
      <c r="R18" s="17"/>
      <c r="S18" s="1"/>
      <c r="T18" s="1"/>
      <c r="U18" s="1"/>
      <c r="AD18" s="6"/>
    </row>
    <row r="19" spans="1:30" x14ac:dyDescent="0.2">
      <c r="A19" s="35">
        <v>260</v>
      </c>
      <c r="B19" s="38">
        <v>4.08E-7</v>
      </c>
      <c r="C19" s="38">
        <v>5.4100000000000001E-8</v>
      </c>
      <c r="D19" s="38">
        <v>9.8199999999999993E-8</v>
      </c>
      <c r="E19" s="3"/>
      <c r="F19" s="38">
        <f t="shared" si="0"/>
        <v>1.6062992125984252E-5</v>
      </c>
      <c r="G19" s="38">
        <f t="shared" si="1"/>
        <v>2.1299212598425198E-6</v>
      </c>
      <c r="H19" s="38">
        <f t="shared" si="2"/>
        <v>3.8661417322834641E-6</v>
      </c>
      <c r="J19" s="1"/>
      <c r="K19" s="1"/>
      <c r="L19" s="1"/>
      <c r="M19" s="1"/>
      <c r="N19" s="1"/>
      <c r="O19" s="1"/>
      <c r="P19" s="1"/>
      <c r="Q19" s="1"/>
      <c r="R19" s="17"/>
      <c r="S19" s="1"/>
      <c r="T19" s="1"/>
      <c r="U19" s="1"/>
      <c r="AD19" s="6"/>
    </row>
    <row r="20" spans="1:30" x14ac:dyDescent="0.2">
      <c r="A20" s="35">
        <v>280</v>
      </c>
      <c r="B20" s="38">
        <v>4.6899999999999998E-7</v>
      </c>
      <c r="C20" s="38">
        <v>6.3500000000000006E-8</v>
      </c>
      <c r="D20" s="38">
        <v>1.096E-7</v>
      </c>
      <c r="E20" s="3"/>
      <c r="F20" s="38">
        <f t="shared" si="0"/>
        <v>1.8464566929133858E-5</v>
      </c>
      <c r="G20" s="38">
        <f t="shared" si="1"/>
        <v>2.5000000000000006E-6</v>
      </c>
      <c r="H20" s="38">
        <f t="shared" si="2"/>
        <v>4.3149606299212606E-6</v>
      </c>
      <c r="J20" s="1"/>
      <c r="K20" s="1"/>
      <c r="L20" s="1"/>
      <c r="M20" s="1"/>
      <c r="N20" s="1"/>
      <c r="O20" s="1"/>
      <c r="P20" s="1"/>
      <c r="Q20" s="1"/>
      <c r="R20" s="17"/>
      <c r="S20" s="9"/>
      <c r="T20" s="9"/>
      <c r="U20" s="9"/>
      <c r="AD20" s="6"/>
    </row>
    <row r="21" spans="1:30" x14ac:dyDescent="0.2">
      <c r="A21" s="35">
        <v>300</v>
      </c>
      <c r="B21" s="38">
        <v>5.3500000000000007E-7</v>
      </c>
      <c r="C21" s="38">
        <v>7.3599999999999997E-8</v>
      </c>
      <c r="D21" s="38">
        <v>1.222E-7</v>
      </c>
      <c r="E21" s="3"/>
      <c r="F21" s="38">
        <f t="shared" si="0"/>
        <v>2.1062992125984258E-5</v>
      </c>
      <c r="G21" s="38">
        <f t="shared" si="1"/>
        <v>2.8976377952755906E-6</v>
      </c>
      <c r="H21" s="38">
        <f t="shared" si="2"/>
        <v>4.8110236220472438E-6</v>
      </c>
      <c r="J21" s="1"/>
      <c r="K21" s="1"/>
      <c r="L21" s="1"/>
      <c r="M21" s="1"/>
      <c r="N21" s="1"/>
      <c r="O21" s="1"/>
      <c r="P21" s="1"/>
      <c r="Q21" s="1"/>
      <c r="R21" s="17"/>
      <c r="S21" s="1"/>
      <c r="T21" s="1"/>
      <c r="U21" s="1"/>
      <c r="AD21" s="6"/>
    </row>
    <row r="22" spans="1:30" x14ac:dyDescent="0.2">
      <c r="A22" s="35">
        <v>320</v>
      </c>
      <c r="B22" s="38">
        <v>6.0800000000000004E-7</v>
      </c>
      <c r="C22" s="38">
        <v>8.3599999999999994E-8</v>
      </c>
      <c r="D22" s="38">
        <v>1.3680000000000001E-7</v>
      </c>
      <c r="E22" s="3"/>
      <c r="F22" s="38">
        <f t="shared" si="0"/>
        <v>2.3937007874015752E-5</v>
      </c>
      <c r="G22" s="38">
        <f t="shared" si="1"/>
        <v>3.2913385826771657E-6</v>
      </c>
      <c r="H22" s="38">
        <f t="shared" si="2"/>
        <v>5.3858267716535443E-6</v>
      </c>
      <c r="J22" s="1"/>
      <c r="K22" s="1"/>
      <c r="L22" s="1"/>
      <c r="M22" s="1"/>
      <c r="N22" s="1"/>
      <c r="O22" s="1"/>
      <c r="P22" s="1"/>
      <c r="Q22" s="1"/>
      <c r="R22" s="17"/>
      <c r="S22" s="2"/>
      <c r="T22" s="2"/>
      <c r="U22" s="2"/>
      <c r="AD22" s="6"/>
    </row>
    <row r="23" spans="1:30" x14ac:dyDescent="0.2">
      <c r="A23" s="35">
        <v>340</v>
      </c>
      <c r="B23" s="38">
        <v>6.9019999999999997E-7</v>
      </c>
      <c r="C23" s="38">
        <v>9.3299999999999995E-8</v>
      </c>
      <c r="D23" s="38">
        <v>1.5390000000000002E-7</v>
      </c>
      <c r="E23" s="3"/>
      <c r="F23" s="38">
        <f t="shared" si="0"/>
        <v>2.7173228346456692E-5</v>
      </c>
      <c r="G23" s="38">
        <f t="shared" si="1"/>
        <v>3.6732283464566926E-6</v>
      </c>
      <c r="H23" s="38">
        <f t="shared" si="2"/>
        <v>6.0590551181102373E-6</v>
      </c>
      <c r="J23" s="1"/>
      <c r="K23" s="1"/>
      <c r="L23" s="1"/>
      <c r="M23" s="1"/>
      <c r="N23" s="1"/>
      <c r="O23" s="1"/>
      <c r="P23" s="1"/>
      <c r="Q23" s="1"/>
      <c r="R23" s="17"/>
      <c r="S23" s="3"/>
      <c r="T23" s="3"/>
      <c r="U23" s="3"/>
      <c r="AD23" s="6"/>
    </row>
    <row r="24" spans="1:30" x14ac:dyDescent="0.2">
      <c r="A24" s="35">
        <v>360</v>
      </c>
      <c r="B24" s="38">
        <v>7.8319999999999997E-7</v>
      </c>
      <c r="C24" s="38">
        <v>1.0270000000000001E-7</v>
      </c>
      <c r="D24" s="38">
        <v>1.7379999999999998E-7</v>
      </c>
      <c r="E24" s="3"/>
      <c r="F24" s="38">
        <f t="shared" si="0"/>
        <v>3.0834645669291338E-5</v>
      </c>
      <c r="G24" s="38">
        <f t="shared" si="1"/>
        <v>4.0433070866141738E-6</v>
      </c>
      <c r="H24" s="38">
        <f t="shared" si="2"/>
        <v>6.8425196850393695E-6</v>
      </c>
      <c r="J24" s="1"/>
      <c r="K24" s="1"/>
      <c r="L24" s="1"/>
      <c r="M24" s="1"/>
      <c r="N24" s="1"/>
      <c r="O24" s="1"/>
      <c r="P24" s="1"/>
      <c r="Q24" s="1"/>
      <c r="R24" s="17"/>
      <c r="S24" s="9"/>
      <c r="T24" s="9"/>
      <c r="U24" s="9"/>
      <c r="AD24" s="6"/>
    </row>
    <row r="25" spans="1:30" x14ac:dyDescent="0.2">
      <c r="A25" s="35">
        <v>380</v>
      </c>
      <c r="B25" s="38">
        <v>8.8910000000000009E-7</v>
      </c>
      <c r="C25" s="38">
        <v>1.117E-7</v>
      </c>
      <c r="D25" s="38">
        <v>1.97E-7</v>
      </c>
      <c r="E25" s="3"/>
      <c r="F25" s="38">
        <f t="shared" si="0"/>
        <v>3.5003937007874018E-5</v>
      </c>
      <c r="G25" s="38">
        <f t="shared" si="1"/>
        <v>4.3976377952755907E-6</v>
      </c>
      <c r="H25" s="38">
        <f t="shared" si="2"/>
        <v>7.7559055118110238E-6</v>
      </c>
      <c r="J25" s="1"/>
      <c r="K25" s="1"/>
      <c r="L25" s="1"/>
      <c r="M25" s="1"/>
      <c r="N25" s="1"/>
      <c r="O25" s="1"/>
      <c r="P25" s="1"/>
      <c r="Q25" s="1"/>
      <c r="R25" s="17"/>
      <c r="S25" s="9"/>
      <c r="T25" s="9"/>
      <c r="U25" s="9"/>
      <c r="AD25" s="6"/>
    </row>
    <row r="26" spans="1:30" x14ac:dyDescent="0.2">
      <c r="A26" s="35">
        <v>400</v>
      </c>
      <c r="B26" s="38">
        <v>1.0061E-6</v>
      </c>
      <c r="C26" s="38">
        <v>1.205E-7</v>
      </c>
      <c r="D26" s="38">
        <v>2.237E-7</v>
      </c>
      <c r="E26" s="3"/>
      <c r="F26" s="38">
        <f t="shared" si="0"/>
        <v>3.9610236220472445E-5</v>
      </c>
      <c r="G26" s="38">
        <f t="shared" si="1"/>
        <v>4.7440944881889768E-6</v>
      </c>
      <c r="H26" s="38">
        <f t="shared" si="2"/>
        <v>8.8070866141732283E-6</v>
      </c>
      <c r="J26" s="1"/>
      <c r="K26" s="1"/>
      <c r="L26" s="1"/>
      <c r="M26" s="1"/>
      <c r="N26" s="1"/>
      <c r="O26" s="1"/>
      <c r="P26" s="1"/>
      <c r="Q26" s="1"/>
      <c r="R26" s="17"/>
      <c r="S26" s="1"/>
      <c r="T26" s="1"/>
      <c r="U26" s="1"/>
      <c r="AD26" s="6"/>
    </row>
    <row r="27" spans="1:30" x14ac:dyDescent="0.2">
      <c r="A27" s="35">
        <v>420</v>
      </c>
      <c r="B27" s="38">
        <v>1.1332E-6</v>
      </c>
      <c r="C27" s="38">
        <v>1.2919999999999999E-7</v>
      </c>
      <c r="D27" s="38">
        <v>2.5269999999999998E-7</v>
      </c>
      <c r="E27" s="3"/>
      <c r="F27" s="38">
        <f t="shared" si="0"/>
        <v>4.4614173228346459E-5</v>
      </c>
      <c r="G27" s="38">
        <f t="shared" si="1"/>
        <v>5.0866141732283467E-6</v>
      </c>
      <c r="H27" s="38">
        <f t="shared" si="2"/>
        <v>9.9488188976377936E-6</v>
      </c>
      <c r="J27" s="1"/>
      <c r="K27" s="1"/>
      <c r="L27" s="1"/>
      <c r="M27" s="1"/>
      <c r="N27" s="1"/>
      <c r="O27" s="1"/>
      <c r="P27" s="1"/>
      <c r="Q27" s="1"/>
      <c r="R27" s="17"/>
      <c r="S27" s="1"/>
      <c r="T27" s="1"/>
      <c r="U27" s="1"/>
      <c r="AD27" s="6"/>
    </row>
    <row r="28" spans="1:30" x14ac:dyDescent="0.2">
      <c r="A28" s="35">
        <v>440</v>
      </c>
      <c r="B28" s="38">
        <v>1.2672999999999999E-6</v>
      </c>
      <c r="C28" s="38">
        <v>1.3750000000000001E-7</v>
      </c>
      <c r="D28" s="38">
        <v>2.8500000000000002E-7</v>
      </c>
      <c r="E28" s="3"/>
      <c r="F28" s="38">
        <f t="shared" si="0"/>
        <v>4.989370078740157E-5</v>
      </c>
      <c r="G28" s="38">
        <f t="shared" si="1"/>
        <v>5.4133858267716544E-6</v>
      </c>
      <c r="H28" s="38">
        <f t="shared" si="2"/>
        <v>1.1220472440944883E-5</v>
      </c>
      <c r="J28" s="1"/>
      <c r="K28" s="1"/>
      <c r="L28" s="1"/>
      <c r="M28" s="1"/>
      <c r="N28" s="1"/>
      <c r="O28" s="1"/>
      <c r="P28" s="1"/>
      <c r="Q28" s="1"/>
      <c r="R28" s="17"/>
      <c r="S28" s="9"/>
      <c r="T28" s="9"/>
      <c r="U28" s="9"/>
      <c r="AD28" s="6"/>
    </row>
    <row r="29" spans="1:30" x14ac:dyDescent="0.2">
      <c r="A29" s="35">
        <v>460</v>
      </c>
      <c r="B29" s="38">
        <v>1.4113999999999999E-6</v>
      </c>
      <c r="C29" s="38">
        <v>1.4629999999999998E-7</v>
      </c>
      <c r="D29" s="38">
        <v>3.185E-7</v>
      </c>
      <c r="E29" s="3"/>
      <c r="F29" s="38">
        <f t="shared" si="0"/>
        <v>5.5566929133858268E-5</v>
      </c>
      <c r="G29" s="38">
        <f t="shared" si="1"/>
        <v>5.7598425196850388E-6</v>
      </c>
      <c r="H29" s="38">
        <f t="shared" si="2"/>
        <v>1.2539370078740158E-5</v>
      </c>
      <c r="J29" s="1"/>
      <c r="K29" s="1"/>
      <c r="L29" s="1"/>
      <c r="M29" s="1"/>
      <c r="N29" s="1"/>
      <c r="O29" s="1"/>
      <c r="P29" s="1"/>
      <c r="Q29" s="1"/>
      <c r="R29" s="17"/>
      <c r="S29" s="1"/>
      <c r="T29" s="1"/>
      <c r="U29" s="1"/>
      <c r="AD29" s="6"/>
    </row>
    <row r="30" spans="1:30" x14ac:dyDescent="0.2">
      <c r="A30" s="35">
        <v>480</v>
      </c>
      <c r="B30" s="38">
        <v>1.5257999999999999E-6</v>
      </c>
      <c r="C30" s="38">
        <v>1.5580000000000001E-7</v>
      </c>
      <c r="D30" s="38">
        <v>3.4910000000000002E-7</v>
      </c>
      <c r="E30" s="3"/>
      <c r="F30" s="38">
        <f t="shared" si="0"/>
        <v>6.0070866141732283E-5</v>
      </c>
      <c r="G30" s="38">
        <f t="shared" si="1"/>
        <v>6.1338582677165358E-6</v>
      </c>
      <c r="H30" s="38">
        <f t="shared" si="2"/>
        <v>1.3744094488188979E-5</v>
      </c>
      <c r="J30" s="1"/>
      <c r="K30" s="1"/>
      <c r="L30" s="1"/>
      <c r="M30" s="1"/>
      <c r="N30" s="1"/>
      <c r="O30" s="1"/>
      <c r="P30" s="1"/>
      <c r="Q30" s="1"/>
      <c r="R30" s="17"/>
      <c r="S30" s="1"/>
      <c r="T30" s="1"/>
      <c r="U30" s="1"/>
      <c r="AD30" s="6"/>
    </row>
    <row r="31" spans="1:30" x14ac:dyDescent="0.2">
      <c r="A31" s="35">
        <v>500</v>
      </c>
      <c r="B31" s="38">
        <v>1.6407E-6</v>
      </c>
      <c r="C31" s="38">
        <v>1.6820000000000001E-7</v>
      </c>
      <c r="D31" s="38">
        <v>3.7659999999999997E-7</v>
      </c>
      <c r="E31" s="3"/>
      <c r="F31" s="38">
        <f t="shared" si="0"/>
        <v>6.4594488188976385E-5</v>
      </c>
      <c r="G31" s="38">
        <f t="shared" si="1"/>
        <v>6.6220472440944892E-6</v>
      </c>
      <c r="H31" s="38">
        <f t="shared" si="2"/>
        <v>1.4826771653543308E-5</v>
      </c>
      <c r="J31" s="1"/>
      <c r="K31" s="1"/>
      <c r="L31" s="1"/>
      <c r="M31" s="1"/>
      <c r="N31" s="1"/>
      <c r="O31" s="1"/>
      <c r="P31" s="1"/>
      <c r="Q31" s="1"/>
      <c r="R31" s="17"/>
      <c r="S31" s="9"/>
      <c r="T31" s="9"/>
      <c r="U31" s="9"/>
      <c r="AD31" s="6"/>
    </row>
    <row r="32" spans="1:30" x14ac:dyDescent="0.2">
      <c r="A32" s="35">
        <v>520</v>
      </c>
      <c r="B32" s="38">
        <v>1.7261000000000001E-6</v>
      </c>
      <c r="C32" s="38">
        <v>1.825E-7</v>
      </c>
      <c r="D32" s="38">
        <v>4.0009999999999999E-7</v>
      </c>
      <c r="E32" s="3"/>
      <c r="F32" s="38">
        <f t="shared" si="0"/>
        <v>6.7956692913385833E-5</v>
      </c>
      <c r="G32" s="38">
        <f t="shared" si="1"/>
        <v>7.1850393700787403E-6</v>
      </c>
      <c r="H32" s="38">
        <f t="shared" si="2"/>
        <v>1.5751968503937007E-5</v>
      </c>
      <c r="J32" s="1"/>
      <c r="K32" s="1"/>
      <c r="L32" s="1"/>
      <c r="M32" s="1"/>
      <c r="N32" s="1"/>
      <c r="O32" s="1"/>
      <c r="P32" s="1"/>
      <c r="Q32" s="1"/>
      <c r="R32" s="17"/>
      <c r="S32" s="1"/>
      <c r="T32" s="1"/>
      <c r="U32" s="1"/>
      <c r="AD32" s="6"/>
    </row>
    <row r="33" spans="1:30" x14ac:dyDescent="0.2">
      <c r="A33" s="35">
        <v>540</v>
      </c>
      <c r="B33" s="38">
        <v>1.7922E-6</v>
      </c>
      <c r="C33" s="38">
        <v>1.998E-7</v>
      </c>
      <c r="D33" s="38">
        <v>4.164E-7</v>
      </c>
      <c r="E33" s="3"/>
      <c r="F33" s="38">
        <f t="shared" si="0"/>
        <v>7.055905511811023E-5</v>
      </c>
      <c r="G33" s="38">
        <f t="shared" si="1"/>
        <v>7.8661417322834656E-6</v>
      </c>
      <c r="H33" s="38">
        <f t="shared" si="2"/>
        <v>1.6393700787401576E-5</v>
      </c>
      <c r="J33" s="1"/>
      <c r="K33" s="1"/>
      <c r="L33" s="1"/>
      <c r="M33" s="1"/>
      <c r="N33" s="1"/>
      <c r="O33" s="1"/>
      <c r="P33" s="1"/>
      <c r="Q33" s="1"/>
      <c r="R33" s="17"/>
      <c r="S33" s="1"/>
      <c r="T33" s="1"/>
      <c r="U33" s="1"/>
      <c r="AD33" s="6"/>
    </row>
    <row r="34" spans="1:30" x14ac:dyDescent="0.2">
      <c r="A34" s="35">
        <v>560</v>
      </c>
      <c r="B34" s="38">
        <v>1.8288E-6</v>
      </c>
      <c r="C34" s="38">
        <v>2.2020000000000003E-7</v>
      </c>
      <c r="D34" s="38">
        <v>4.2549999999999999E-7</v>
      </c>
      <c r="E34" s="3"/>
      <c r="F34" s="38">
        <f t="shared" si="0"/>
        <v>7.2000000000000002E-5</v>
      </c>
      <c r="G34" s="38">
        <f t="shared" si="1"/>
        <v>8.6692913385826798E-6</v>
      </c>
      <c r="H34" s="38">
        <f t="shared" si="2"/>
        <v>1.6751968503937008E-5</v>
      </c>
      <c r="J34" s="1"/>
      <c r="K34" s="1"/>
      <c r="L34" s="1"/>
      <c r="M34" s="1"/>
      <c r="N34" s="1"/>
      <c r="O34" s="1"/>
      <c r="P34" s="1"/>
      <c r="Q34" s="1"/>
      <c r="R34" s="17"/>
      <c r="S34" s="1"/>
      <c r="T34" s="1"/>
      <c r="U34" s="1"/>
      <c r="AD34" s="6"/>
    </row>
    <row r="35" spans="1:30" x14ac:dyDescent="0.2">
      <c r="A35" s="35">
        <v>580</v>
      </c>
      <c r="B35" s="38">
        <v>1.8560999999999999E-6</v>
      </c>
      <c r="C35" s="38">
        <v>2.4260000000000002E-7</v>
      </c>
      <c r="D35" s="38">
        <v>4.2930000000000001E-7</v>
      </c>
      <c r="E35" s="3"/>
      <c r="F35" s="38">
        <f t="shared" si="0"/>
        <v>7.3074803149606295E-5</v>
      </c>
      <c r="G35" s="38">
        <f t="shared" si="1"/>
        <v>9.5511811023622061E-6</v>
      </c>
      <c r="H35" s="38">
        <f t="shared" si="2"/>
        <v>1.6901574803149607E-5</v>
      </c>
      <c r="J35" s="1"/>
      <c r="K35" s="1"/>
      <c r="L35" s="1"/>
      <c r="M35" s="1"/>
      <c r="N35" s="1"/>
      <c r="O35" s="1"/>
      <c r="P35" s="1"/>
      <c r="Q35" s="1"/>
      <c r="R35" s="17"/>
      <c r="S35" s="1"/>
      <c r="T35" s="1"/>
      <c r="U35" s="1"/>
      <c r="AD35" s="6"/>
    </row>
    <row r="36" spans="1:30" x14ac:dyDescent="0.2">
      <c r="A36" s="35">
        <v>600</v>
      </c>
      <c r="B36" s="38">
        <v>1.8838000000000001E-6</v>
      </c>
      <c r="C36" s="38">
        <v>2.6810000000000003E-7</v>
      </c>
      <c r="D36" s="38">
        <v>4.2799999999999997E-7</v>
      </c>
      <c r="E36" s="3"/>
      <c r="F36" s="38">
        <f t="shared" si="0"/>
        <v>7.4165354330708673E-5</v>
      </c>
      <c r="G36" s="38">
        <f t="shared" si="1"/>
        <v>1.0555118110236221E-5</v>
      </c>
      <c r="H36" s="38">
        <f t="shared" si="2"/>
        <v>1.6850393700787401E-5</v>
      </c>
      <c r="J36" s="1"/>
      <c r="K36" s="1"/>
      <c r="L36" s="1"/>
      <c r="M36" s="1"/>
      <c r="N36" s="1"/>
      <c r="O36" s="1"/>
      <c r="P36" s="1"/>
      <c r="Q36" s="1"/>
      <c r="R36" s="17"/>
      <c r="S36" s="1"/>
      <c r="T36" s="1"/>
      <c r="U36" s="1"/>
      <c r="AD36" s="6"/>
    </row>
    <row r="37" spans="1:30" x14ac:dyDescent="0.2">
      <c r="A37" s="35">
        <v>620</v>
      </c>
      <c r="B37" s="38">
        <v>1.9118000000000001E-6</v>
      </c>
      <c r="C37" s="38">
        <v>2.946E-7</v>
      </c>
      <c r="D37" s="38">
        <v>4.2459999999999998E-7</v>
      </c>
      <c r="E37" s="3"/>
      <c r="F37" s="38">
        <f t="shared" si="0"/>
        <v>7.5267716535433075E-5</v>
      </c>
      <c r="G37" s="38">
        <f t="shared" si="1"/>
        <v>1.1598425196850395E-5</v>
      </c>
      <c r="H37" s="38">
        <f t="shared" si="2"/>
        <v>1.6716535433070867E-5</v>
      </c>
      <c r="J37" s="1"/>
      <c r="K37" s="1"/>
      <c r="L37" s="1"/>
      <c r="M37" s="1"/>
      <c r="N37" s="1"/>
      <c r="O37" s="1"/>
      <c r="P37" s="1"/>
      <c r="Q37" s="1"/>
      <c r="R37" s="17"/>
      <c r="S37" s="1"/>
      <c r="T37" s="1"/>
      <c r="U37" s="1"/>
      <c r="AD37" s="6"/>
    </row>
    <row r="38" spans="1:30" x14ac:dyDescent="0.2">
      <c r="A38" s="35">
        <v>640</v>
      </c>
      <c r="B38" s="38">
        <v>1.9400000000000001E-6</v>
      </c>
      <c r="C38" s="38">
        <v>3.2210000000000001E-7</v>
      </c>
      <c r="D38" s="38">
        <v>4.1909999999999999E-7</v>
      </c>
      <c r="E38" s="3"/>
      <c r="F38" s="38">
        <f t="shared" si="0"/>
        <v>7.6377952755905519E-5</v>
      </c>
      <c r="G38" s="38">
        <f t="shared" si="1"/>
        <v>1.2681102362204726E-5</v>
      </c>
      <c r="H38" s="38">
        <f t="shared" si="2"/>
        <v>1.6500000000000001E-5</v>
      </c>
      <c r="J38" s="1"/>
      <c r="K38" s="1"/>
      <c r="L38" s="1"/>
      <c r="M38" s="1"/>
      <c r="N38" s="1"/>
      <c r="O38" s="1"/>
      <c r="P38" s="1"/>
      <c r="Q38" s="1"/>
      <c r="R38" s="17"/>
      <c r="S38" s="1"/>
      <c r="T38" s="1"/>
      <c r="U38" s="1"/>
      <c r="AD38" s="6"/>
    </row>
    <row r="39" spans="1:30" x14ac:dyDescent="0.2">
      <c r="A39" s="35">
        <v>660</v>
      </c>
      <c r="B39" s="38">
        <v>1.9881000000000001E-6</v>
      </c>
      <c r="C39" s="38">
        <v>3.4849999999999998E-7</v>
      </c>
      <c r="D39" s="38">
        <v>4.136E-7</v>
      </c>
      <c r="E39" s="3"/>
      <c r="F39" s="38">
        <f t="shared" si="0"/>
        <v>7.8271653543307088E-5</v>
      </c>
      <c r="G39" s="38">
        <f t="shared" si="1"/>
        <v>1.3720472440944882E-5</v>
      </c>
      <c r="H39" s="38">
        <f t="shared" si="2"/>
        <v>1.6283464566929135E-5</v>
      </c>
      <c r="J39" s="1"/>
      <c r="K39" s="1"/>
      <c r="L39" s="1"/>
      <c r="M39" s="1"/>
      <c r="N39" s="1"/>
      <c r="O39" s="1"/>
      <c r="P39" s="1"/>
      <c r="Q39" s="1"/>
      <c r="R39" s="17"/>
      <c r="S39" s="1"/>
      <c r="T39" s="1"/>
      <c r="U39" s="1"/>
      <c r="AD39" s="6"/>
    </row>
    <row r="40" spans="1:30" x14ac:dyDescent="0.2">
      <c r="A40" s="35">
        <v>680</v>
      </c>
      <c r="B40" s="38">
        <v>2.0361999999999997E-6</v>
      </c>
      <c r="C40" s="38">
        <v>3.7580000000000002E-7</v>
      </c>
      <c r="D40" s="38">
        <v>4.0839999999999998E-7</v>
      </c>
      <c r="E40" s="3"/>
      <c r="F40" s="38">
        <f t="shared" si="0"/>
        <v>8.0165354330708657E-5</v>
      </c>
      <c r="G40" s="38">
        <f t="shared" si="1"/>
        <v>1.4795275590551183E-5</v>
      </c>
      <c r="H40" s="38">
        <f t="shared" si="2"/>
        <v>1.6078740157480313E-5</v>
      </c>
      <c r="J40" s="1"/>
      <c r="K40" s="1"/>
      <c r="L40" s="1"/>
      <c r="M40" s="1"/>
      <c r="N40" s="1"/>
      <c r="O40" s="1"/>
      <c r="P40" s="1"/>
      <c r="Q40" s="1"/>
      <c r="R40" s="17"/>
      <c r="S40" s="1"/>
      <c r="T40" s="1"/>
      <c r="U40" s="1"/>
      <c r="AD40" s="6"/>
    </row>
    <row r="41" spans="1:30" x14ac:dyDescent="0.2">
      <c r="A41" s="35">
        <v>700</v>
      </c>
      <c r="B41" s="38">
        <v>2.0941E-6</v>
      </c>
      <c r="C41" s="38">
        <v>4.009E-7</v>
      </c>
      <c r="D41" s="38">
        <v>4.0359999999999999E-7</v>
      </c>
      <c r="E41" s="3"/>
      <c r="F41" s="38">
        <f t="shared" si="0"/>
        <v>8.2444881889763769E-5</v>
      </c>
      <c r="G41" s="38">
        <f t="shared" si="1"/>
        <v>1.5783464566929133E-5</v>
      </c>
      <c r="H41" s="38">
        <f t="shared" si="2"/>
        <v>1.5889763779527559E-5</v>
      </c>
      <c r="J41" s="1"/>
      <c r="K41" s="1"/>
      <c r="L41" s="1"/>
      <c r="M41" s="1"/>
      <c r="N41" s="1"/>
      <c r="O41" s="1"/>
      <c r="P41" s="1"/>
      <c r="Q41" s="1"/>
      <c r="R41" s="17"/>
      <c r="S41" s="1"/>
      <c r="T41" s="1"/>
      <c r="U41" s="1"/>
      <c r="AD41" s="6"/>
    </row>
    <row r="42" spans="1:30" x14ac:dyDescent="0.2">
      <c r="A42" s="35">
        <v>720</v>
      </c>
      <c r="B42" s="38">
        <v>2.1519000000000001E-6</v>
      </c>
      <c r="C42" s="38">
        <v>4.2400000000000004E-7</v>
      </c>
      <c r="D42" s="38">
        <v>4.0040000000000001E-7</v>
      </c>
      <c r="E42" s="3"/>
      <c r="F42" s="38">
        <f t="shared" si="0"/>
        <v>8.4720472440944888E-5</v>
      </c>
      <c r="G42" s="38">
        <f t="shared" si="1"/>
        <v>1.6692913385826777E-5</v>
      </c>
      <c r="H42" s="38">
        <f t="shared" si="2"/>
        <v>1.5763779527559058E-5</v>
      </c>
      <c r="J42" s="1"/>
      <c r="K42" s="1"/>
      <c r="L42" s="1"/>
      <c r="M42" s="1"/>
      <c r="N42" s="1"/>
      <c r="O42" s="1"/>
      <c r="P42" s="1"/>
      <c r="Q42" s="1"/>
      <c r="R42" s="17"/>
      <c r="S42" s="2"/>
      <c r="T42" s="2"/>
      <c r="U42" s="2"/>
      <c r="AD42" s="6"/>
    </row>
    <row r="43" spans="1:30" x14ac:dyDescent="0.2">
      <c r="A43" s="35">
        <v>740</v>
      </c>
      <c r="B43" s="38">
        <v>2.2098E-6</v>
      </c>
      <c r="C43" s="38">
        <v>4.4499999999999997E-7</v>
      </c>
      <c r="D43" s="38">
        <v>3.9789999999999998E-7</v>
      </c>
      <c r="E43" s="3"/>
      <c r="F43" s="38">
        <f t="shared" si="0"/>
        <v>8.7000000000000001E-5</v>
      </c>
      <c r="G43" s="38">
        <f t="shared" si="1"/>
        <v>1.7519685039370078E-5</v>
      </c>
      <c r="H43" s="38">
        <f t="shared" si="2"/>
        <v>1.5665354330708661E-5</v>
      </c>
      <c r="J43" s="1"/>
      <c r="K43" s="1"/>
      <c r="L43" s="1"/>
      <c r="M43" s="1"/>
      <c r="N43" s="1"/>
      <c r="O43" s="1"/>
      <c r="P43" s="1"/>
      <c r="Q43" s="1"/>
      <c r="R43" s="17"/>
      <c r="S43" s="3"/>
      <c r="T43" s="3"/>
      <c r="U43" s="3"/>
      <c r="AD43" s="6"/>
    </row>
    <row r="44" spans="1:30" x14ac:dyDescent="0.2">
      <c r="A44" s="35">
        <v>760</v>
      </c>
      <c r="B44" s="38">
        <v>2.2680000000000001E-6</v>
      </c>
      <c r="C44" s="38">
        <v>4.63E-7</v>
      </c>
      <c r="D44" s="38">
        <v>3.9750000000000001E-7</v>
      </c>
      <c r="E44" s="3"/>
      <c r="F44" s="38">
        <f t="shared" si="0"/>
        <v>8.9291338582677177E-5</v>
      </c>
      <c r="G44" s="38">
        <f t="shared" si="1"/>
        <v>1.8228346456692913E-5</v>
      </c>
      <c r="H44" s="38">
        <f t="shared" si="2"/>
        <v>1.5649606299212599E-5</v>
      </c>
      <c r="J44" s="1"/>
      <c r="K44" s="1"/>
      <c r="L44" s="1"/>
      <c r="M44" s="1"/>
      <c r="N44" s="1"/>
      <c r="O44" s="1"/>
      <c r="P44" s="1"/>
      <c r="Q44" s="1"/>
      <c r="R44" s="17"/>
      <c r="S44" s="1"/>
      <c r="T44" s="1"/>
      <c r="U44" s="1"/>
      <c r="AD44" s="6"/>
    </row>
    <row r="45" spans="1:30" x14ac:dyDescent="0.2">
      <c r="A45" s="35">
        <v>780</v>
      </c>
      <c r="B45" s="38">
        <v>2.3166E-6</v>
      </c>
      <c r="C45" s="38">
        <v>4.7999999999999996E-7</v>
      </c>
      <c r="D45" s="38">
        <v>3.9729999999999999E-7</v>
      </c>
      <c r="E45" s="3"/>
      <c r="F45" s="38">
        <f t="shared" si="0"/>
        <v>9.1204724409448812E-5</v>
      </c>
      <c r="G45" s="38">
        <f t="shared" si="1"/>
        <v>1.889763779527559E-5</v>
      </c>
      <c r="H45" s="38">
        <f t="shared" si="2"/>
        <v>1.5641732283464567E-5</v>
      </c>
      <c r="J45" s="1"/>
      <c r="K45" s="1"/>
      <c r="L45" s="1"/>
      <c r="M45" s="1"/>
      <c r="N45" s="1"/>
      <c r="O45" s="1"/>
      <c r="P45" s="1"/>
      <c r="Q45" s="1"/>
      <c r="R45" s="17"/>
      <c r="S45" s="1"/>
      <c r="T45" s="1"/>
      <c r="U45" s="1"/>
      <c r="AD45" s="6"/>
    </row>
    <row r="46" spans="1:30" x14ac:dyDescent="0.2">
      <c r="A46" s="35">
        <v>800</v>
      </c>
      <c r="B46" s="38">
        <v>2.3557000000000002E-6</v>
      </c>
      <c r="C46" s="38">
        <v>4.9420000000000007E-7</v>
      </c>
      <c r="D46" s="38">
        <v>3.9999999999999998E-7</v>
      </c>
      <c r="E46" s="3"/>
      <c r="F46" s="38">
        <f t="shared" si="0"/>
        <v>9.274409448818898E-5</v>
      </c>
      <c r="G46" s="38">
        <f t="shared" si="1"/>
        <v>1.945669291338583E-5</v>
      </c>
      <c r="H46" s="38">
        <f t="shared" si="2"/>
        <v>1.5748031496062993E-5</v>
      </c>
      <c r="J46" s="1"/>
      <c r="K46" s="1"/>
      <c r="L46" s="1"/>
      <c r="M46" s="1"/>
      <c r="N46" s="1"/>
      <c r="O46" s="1"/>
      <c r="P46" s="1"/>
      <c r="Q46" s="1"/>
      <c r="R46" s="17"/>
      <c r="S46" s="1"/>
      <c r="T46" s="1"/>
      <c r="U46" s="1"/>
      <c r="AD46" s="5"/>
    </row>
    <row r="47" spans="1:30" x14ac:dyDescent="0.2">
      <c r="A47" s="35">
        <v>820</v>
      </c>
      <c r="B47" s="38">
        <v>2.3954E-6</v>
      </c>
      <c r="C47" s="38">
        <v>5.0640000000000003E-7</v>
      </c>
      <c r="D47" s="38">
        <v>4.03E-7</v>
      </c>
      <c r="E47" s="3"/>
      <c r="F47" s="38">
        <f t="shared" si="0"/>
        <v>9.4307086614173221E-5</v>
      </c>
      <c r="G47" s="38">
        <f t="shared" si="1"/>
        <v>1.9937007874015753E-5</v>
      </c>
      <c r="H47" s="38">
        <f t="shared" si="2"/>
        <v>1.5866141732283465E-5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D47" s="6"/>
    </row>
    <row r="48" spans="1:30" x14ac:dyDescent="0.2">
      <c r="A48" s="35">
        <v>840</v>
      </c>
      <c r="B48" s="38">
        <v>2.4357000000000002E-6</v>
      </c>
      <c r="C48" s="38">
        <v>5.1669999999999996E-7</v>
      </c>
      <c r="D48" s="38">
        <v>4.08E-7</v>
      </c>
      <c r="E48" s="3"/>
      <c r="F48" s="38">
        <f t="shared" si="0"/>
        <v>9.589370078740159E-5</v>
      </c>
      <c r="G48" s="38">
        <f t="shared" si="1"/>
        <v>2.0342519685039369E-5</v>
      </c>
      <c r="H48" s="38">
        <f t="shared" si="2"/>
        <v>1.6062992125984252E-5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D48" s="3"/>
    </row>
    <row r="49" spans="1:30" x14ac:dyDescent="0.2">
      <c r="A49" s="35">
        <v>860</v>
      </c>
      <c r="B49" s="38">
        <v>2.4565999999999999E-6</v>
      </c>
      <c r="C49" s="38">
        <v>5.2509999999999996E-7</v>
      </c>
      <c r="D49" s="38">
        <v>4.15E-7</v>
      </c>
      <c r="E49" s="3"/>
      <c r="F49" s="38">
        <f t="shared" si="0"/>
        <v>9.671653543307086E-5</v>
      </c>
      <c r="G49" s="38">
        <f t="shared" si="1"/>
        <v>2.0673228346456689E-5</v>
      </c>
      <c r="H49" s="38">
        <f t="shared" si="2"/>
        <v>1.6338582677165356E-5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D49" s="3"/>
    </row>
    <row r="50" spans="1:30" x14ac:dyDescent="0.2">
      <c r="A50" s="35">
        <v>880</v>
      </c>
      <c r="B50" s="38">
        <v>2.4880000000000001E-6</v>
      </c>
      <c r="C50" s="38">
        <v>5.3249999999999998E-7</v>
      </c>
      <c r="D50" s="38">
        <v>4.2499999999999995E-7</v>
      </c>
      <c r="E50" s="3"/>
      <c r="F50" s="38">
        <f t="shared" si="0"/>
        <v>9.7952755905511823E-5</v>
      </c>
      <c r="G50" s="38">
        <f t="shared" si="1"/>
        <v>2.0964566929133858E-5</v>
      </c>
      <c r="H50" s="38">
        <f t="shared" si="2"/>
        <v>1.6732283464566928E-5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D50" s="3"/>
    </row>
    <row r="51" spans="1:30" x14ac:dyDescent="0.2">
      <c r="A51" s="35">
        <v>900</v>
      </c>
      <c r="B51" s="38">
        <v>2.5098999999999999E-6</v>
      </c>
      <c r="C51" s="38">
        <v>5.3899999999999994E-7</v>
      </c>
      <c r="D51" s="38">
        <v>4.3799999999999998E-7</v>
      </c>
      <c r="E51" s="3"/>
      <c r="F51" s="38">
        <f t="shared" si="0"/>
        <v>9.8814960629921251E-5</v>
      </c>
      <c r="G51" s="38">
        <f t="shared" si="1"/>
        <v>2.1220472440944883E-5</v>
      </c>
      <c r="H51" s="38">
        <f t="shared" si="2"/>
        <v>1.7244094488188977E-5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D51" s="4"/>
    </row>
    <row r="52" spans="1:30" x14ac:dyDescent="0.2">
      <c r="A52" s="35">
        <v>920</v>
      </c>
      <c r="B52" s="38">
        <v>2.5222000000000002E-6</v>
      </c>
      <c r="C52" s="38">
        <v>5.4360000000000008E-7</v>
      </c>
      <c r="D52" s="38">
        <v>4.5600000000000001E-7</v>
      </c>
      <c r="E52" s="3"/>
      <c r="F52" s="38">
        <f t="shared" si="0"/>
        <v>9.9299212598425205E-5</v>
      </c>
      <c r="G52" s="38">
        <f t="shared" si="1"/>
        <v>2.1401574803149611E-5</v>
      </c>
      <c r="H52" s="38">
        <f t="shared" si="2"/>
        <v>1.7952755905511813E-5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D52" s="4"/>
    </row>
    <row r="53" spans="1:30" x14ac:dyDescent="0.2">
      <c r="A53" s="35">
        <v>940</v>
      </c>
      <c r="B53" s="38">
        <v>2.5348000000000003E-6</v>
      </c>
      <c r="C53" s="38">
        <v>5.4850000000000002E-7</v>
      </c>
      <c r="D53" s="38">
        <v>4.7800000000000002E-7</v>
      </c>
      <c r="E53" s="3"/>
      <c r="F53" s="38">
        <f t="shared" si="0"/>
        <v>9.9795275590551196E-5</v>
      </c>
      <c r="G53" s="38">
        <f t="shared" si="1"/>
        <v>2.159448818897638E-5</v>
      </c>
      <c r="H53" s="38">
        <f t="shared" si="2"/>
        <v>1.8818897637795276E-5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  <c r="AD53" s="4"/>
    </row>
    <row r="54" spans="1:30" x14ac:dyDescent="0.2">
      <c r="A54" s="35">
        <v>960</v>
      </c>
      <c r="B54" s="38">
        <v>2.5476E-6</v>
      </c>
      <c r="C54" s="38">
        <v>5.5260000000000001E-7</v>
      </c>
      <c r="D54" s="38">
        <v>5.06E-7</v>
      </c>
      <c r="E54" s="3"/>
      <c r="F54" s="38">
        <f t="shared" si="0"/>
        <v>1.002992125984252E-4</v>
      </c>
      <c r="G54" s="38">
        <f t="shared" si="1"/>
        <v>2.1755905511811025E-5</v>
      </c>
      <c r="H54" s="38">
        <f t="shared" si="2"/>
        <v>1.9921259842519688E-5</v>
      </c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AD54" s="4"/>
    </row>
    <row r="55" spans="1:30" x14ac:dyDescent="0.2">
      <c r="A55" s="8">
        <v>980</v>
      </c>
      <c r="B55" s="38">
        <v>2.5604999999999999E-6</v>
      </c>
      <c r="C55" s="38">
        <v>5.5609999999999996E-7</v>
      </c>
      <c r="D55" s="38">
        <v>5.3900000000000005E-7</v>
      </c>
      <c r="E55" s="3"/>
      <c r="F55" s="38">
        <f t="shared" si="0"/>
        <v>1.0080708661417323E-4</v>
      </c>
      <c r="G55" s="38">
        <f t="shared" si="1"/>
        <v>2.1893700787401574E-5</v>
      </c>
      <c r="H55" s="38">
        <f t="shared" si="2"/>
        <v>2.1220472440944886E-5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D55" s="4"/>
    </row>
    <row r="56" spans="1:30" x14ac:dyDescent="0.2">
      <c r="A56" s="8">
        <v>1000</v>
      </c>
      <c r="B56" s="38">
        <v>2.5733E-6</v>
      </c>
      <c r="C56" s="38">
        <v>5.6000000000000004E-7</v>
      </c>
      <c r="D56" s="38">
        <v>5.7900000000000009E-7</v>
      </c>
      <c r="E56" s="3"/>
      <c r="F56" s="38">
        <f t="shared" si="0"/>
        <v>1.0131102362204725E-4</v>
      </c>
      <c r="G56" s="38">
        <f t="shared" si="1"/>
        <v>2.2047244094488194E-5</v>
      </c>
      <c r="H56" s="38">
        <f t="shared" si="2"/>
        <v>2.2795275590551185E-5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D56" s="4"/>
    </row>
    <row r="57" spans="1:30" x14ac:dyDescent="0.2">
      <c r="A57" s="8">
        <v>1020</v>
      </c>
      <c r="B57" s="38">
        <v>2.5758E-6</v>
      </c>
      <c r="C57" s="38">
        <v>5.623E-7</v>
      </c>
      <c r="D57" s="38">
        <v>6.2499999999999995E-7</v>
      </c>
      <c r="E57" s="3"/>
      <c r="F57" s="38">
        <f t="shared" si="0"/>
        <v>1.0140944881889765E-4</v>
      </c>
      <c r="G57" s="38">
        <f t="shared" si="1"/>
        <v>2.2137795275590551E-5</v>
      </c>
      <c r="H57" s="38">
        <f t="shared" si="2"/>
        <v>2.4606299212598421E-5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D57" s="4"/>
    </row>
    <row r="58" spans="1:30" x14ac:dyDescent="0.2">
      <c r="A58" s="8">
        <v>1040</v>
      </c>
      <c r="B58" s="38">
        <v>2.5777999999999997E-6</v>
      </c>
      <c r="C58" s="38">
        <v>5.6499999999999999E-7</v>
      </c>
      <c r="D58" s="38">
        <v>6.8100000000000002E-7</v>
      </c>
      <c r="E58" s="3"/>
      <c r="F58" s="38">
        <f t="shared" si="0"/>
        <v>1.0148818897637795E-4</v>
      </c>
      <c r="G58" s="38">
        <f t="shared" si="1"/>
        <v>2.2244094488188977E-5</v>
      </c>
      <c r="H58" s="38">
        <f t="shared" si="2"/>
        <v>2.6811023622047248E-5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D58" s="4"/>
    </row>
    <row r="59" spans="1:30" x14ac:dyDescent="0.2">
      <c r="A59" s="8">
        <v>1060</v>
      </c>
      <c r="B59" s="38">
        <v>2.5694999999999997E-6</v>
      </c>
      <c r="C59" s="39">
        <v>5.6710000000000004E-7</v>
      </c>
      <c r="D59" s="38">
        <v>7.4899999999999994E-7</v>
      </c>
      <c r="E59" s="3"/>
      <c r="F59" s="38">
        <f t="shared" si="0"/>
        <v>1.0116141732283464E-4</v>
      </c>
      <c r="G59" s="38">
        <f t="shared" si="1"/>
        <v>2.2326771653543312E-5</v>
      </c>
      <c r="H59" s="38">
        <f t="shared" si="2"/>
        <v>2.9488188976377955E-5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D59" s="4"/>
    </row>
    <row r="60" spans="1:30" x14ac:dyDescent="0.2">
      <c r="A60" s="8">
        <v>1080</v>
      </c>
      <c r="B60" s="38">
        <v>2.5706E-6</v>
      </c>
      <c r="C60" s="38">
        <v>5.6819999999999991E-7</v>
      </c>
      <c r="D60" s="38">
        <v>8.2999999999999999E-7</v>
      </c>
      <c r="E60" s="3"/>
      <c r="F60" s="38">
        <f t="shared" si="0"/>
        <v>1.0120472440944882E-4</v>
      </c>
      <c r="G60" s="38">
        <f t="shared" si="1"/>
        <v>2.2370078740157479E-5</v>
      </c>
      <c r="H60" s="38">
        <f t="shared" si="2"/>
        <v>3.2677165354330711E-5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D60" s="3"/>
    </row>
    <row r="61" spans="1:30" x14ac:dyDescent="0.2">
      <c r="A61" s="8">
        <v>1100</v>
      </c>
      <c r="B61" s="38">
        <v>2.5617E-6</v>
      </c>
      <c r="C61" s="38">
        <v>5.6779999999999999E-7</v>
      </c>
      <c r="D61" s="38">
        <v>9.1299999999999998E-7</v>
      </c>
      <c r="E61" s="3"/>
      <c r="F61" s="38">
        <f t="shared" si="0"/>
        <v>1.0085433070866143E-4</v>
      </c>
      <c r="G61" s="38">
        <f t="shared" si="1"/>
        <v>2.2354330708661421E-5</v>
      </c>
      <c r="H61" s="38">
        <f t="shared" si="2"/>
        <v>3.5944881889763777E-5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D61" s="3"/>
    </row>
    <row r="62" spans="1:30" x14ac:dyDescent="0.2">
      <c r="A62" s="8">
        <v>1120</v>
      </c>
      <c r="B62" s="38">
        <v>2.5527000000000001E-6</v>
      </c>
      <c r="C62" s="38">
        <v>5.651E-7</v>
      </c>
      <c r="D62" s="38">
        <v>9.8400000000000002E-7</v>
      </c>
      <c r="E62" s="3"/>
      <c r="F62" s="38">
        <f t="shared" si="0"/>
        <v>1.0050000000000002E-4</v>
      </c>
      <c r="G62" s="38">
        <f t="shared" si="1"/>
        <v>2.2248031496062995E-5</v>
      </c>
      <c r="H62" s="38">
        <f t="shared" si="2"/>
        <v>3.8740157480314967E-5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D62" s="3"/>
    </row>
    <row r="63" spans="1:30" x14ac:dyDescent="0.2">
      <c r="A63" s="8">
        <v>1140</v>
      </c>
      <c r="B63" s="38">
        <v>2.5435000000000003E-6</v>
      </c>
      <c r="C63" s="38">
        <v>5.5960000000000001E-7</v>
      </c>
      <c r="D63" s="38">
        <v>1.0160000000000001E-6</v>
      </c>
      <c r="E63" s="3"/>
      <c r="F63" s="38">
        <f t="shared" si="0"/>
        <v>1.0013779527559056E-4</v>
      </c>
      <c r="G63" s="38">
        <f t="shared" si="1"/>
        <v>2.2031496062992129E-5</v>
      </c>
      <c r="H63" s="38">
        <f t="shared" si="2"/>
        <v>4.000000000000001E-5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D63" s="3"/>
    </row>
    <row r="64" spans="1:30" x14ac:dyDescent="0.2">
      <c r="A64" s="8">
        <v>1160</v>
      </c>
      <c r="B64" s="38">
        <v>2.5337999999999998E-6</v>
      </c>
      <c r="C64" s="38">
        <v>5.5299999999999994E-7</v>
      </c>
      <c r="D64" s="38">
        <v>9.850000000000001E-7</v>
      </c>
      <c r="E64" s="3"/>
      <c r="F64" s="38">
        <f t="shared" si="0"/>
        <v>9.975590551181101E-5</v>
      </c>
      <c r="G64" s="38">
        <f t="shared" si="1"/>
        <v>2.1771653543307083E-5</v>
      </c>
      <c r="H64" s="38">
        <f t="shared" si="2"/>
        <v>3.8779527559055126E-5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D64" s="3"/>
    </row>
    <row r="65" spans="1:30" x14ac:dyDescent="0.2">
      <c r="A65" s="8">
        <v>1180</v>
      </c>
      <c r="B65" s="38">
        <v>2.5235999999999999E-6</v>
      </c>
      <c r="C65" s="38">
        <v>5.482999999999999E-7</v>
      </c>
      <c r="D65" s="38">
        <v>8.9999999999999996E-7</v>
      </c>
      <c r="E65" s="3"/>
      <c r="F65" s="38">
        <f t="shared" si="0"/>
        <v>9.9354330708661422E-5</v>
      </c>
      <c r="G65" s="38">
        <f t="shared" si="1"/>
        <v>2.1586614173228344E-5</v>
      </c>
      <c r="H65" s="38">
        <f t="shared" si="2"/>
        <v>3.5433070866141735E-5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D65" s="3"/>
    </row>
    <row r="66" spans="1:30" x14ac:dyDescent="0.2">
      <c r="A66" s="8">
        <v>1200</v>
      </c>
      <c r="B66" s="38">
        <v>2.5131000000000001E-6</v>
      </c>
      <c r="C66" s="38">
        <v>5.4550000000000001E-7</v>
      </c>
      <c r="D66" s="38">
        <v>7.9899999999999999E-7</v>
      </c>
      <c r="E66" s="3"/>
      <c r="F66" s="38">
        <f t="shared" si="0"/>
        <v>9.8940944881889783E-5</v>
      </c>
      <c r="G66" s="38">
        <f t="shared" si="1"/>
        <v>2.1476377952755907E-5</v>
      </c>
      <c r="H66" s="38">
        <f t="shared" si="2"/>
        <v>3.1456692913385827E-5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D66" s="3"/>
    </row>
    <row r="67" spans="1:30" x14ac:dyDescent="0.2">
      <c r="A67" s="8">
        <v>1220</v>
      </c>
      <c r="B67" s="38">
        <v>2.5026E-6</v>
      </c>
      <c r="C67" s="38">
        <v>5.4350000000000007E-7</v>
      </c>
      <c r="D67" s="38">
        <v>7.0699999999999996E-7</v>
      </c>
      <c r="E67" s="3"/>
      <c r="F67" s="38">
        <f t="shared" si="0"/>
        <v>9.8527559055118104E-5</v>
      </c>
      <c r="G67" s="38">
        <f t="shared" si="1"/>
        <v>2.1397637795275593E-5</v>
      </c>
      <c r="H67" s="38">
        <f t="shared" si="2"/>
        <v>2.7834645669291339E-5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D67" s="1"/>
    </row>
    <row r="68" spans="1:30" x14ac:dyDescent="0.2">
      <c r="A68" s="8">
        <v>1240</v>
      </c>
      <c r="B68" s="38">
        <v>2.4822999999999999E-6</v>
      </c>
      <c r="C68" s="38">
        <v>5.4170000000000004E-7</v>
      </c>
      <c r="D68" s="38">
        <v>6.3399999999999999E-7</v>
      </c>
      <c r="E68" s="3"/>
      <c r="F68" s="38">
        <f t="shared" si="0"/>
        <v>9.7728346456692908E-5</v>
      </c>
      <c r="G68" s="38">
        <f t="shared" si="1"/>
        <v>2.1326771653543308E-5</v>
      </c>
      <c r="H68" s="38">
        <f t="shared" si="2"/>
        <v>2.4960629921259846E-5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D68" s="1"/>
    </row>
    <row r="69" spans="1:30" x14ac:dyDescent="0.2">
      <c r="A69" s="8">
        <v>1260</v>
      </c>
      <c r="B69" s="38">
        <v>2.4721E-6</v>
      </c>
      <c r="C69" s="38">
        <v>5.397E-7</v>
      </c>
      <c r="D69" s="38">
        <v>5.7800000000000001E-7</v>
      </c>
      <c r="E69" s="3"/>
      <c r="F69" s="38">
        <f t="shared" si="0"/>
        <v>9.7326771653543319E-5</v>
      </c>
      <c r="G69" s="38">
        <f t="shared" si="1"/>
        <v>2.1248031496062991E-5</v>
      </c>
      <c r="H69" s="38">
        <f t="shared" si="2"/>
        <v>2.2755905511811026E-5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D69" s="1"/>
    </row>
    <row r="70" spans="1:30" x14ac:dyDescent="0.2">
      <c r="A70" s="8">
        <v>1280</v>
      </c>
      <c r="B70" s="38">
        <v>2.4620000000000003E-6</v>
      </c>
      <c r="C70" s="38">
        <v>5.3759999999999994E-7</v>
      </c>
      <c r="D70" s="38">
        <v>5.3600000000000004E-7</v>
      </c>
      <c r="E70" s="3"/>
      <c r="F70" s="38">
        <f t="shared" si="0"/>
        <v>9.6929133858267725E-5</v>
      </c>
      <c r="G70" s="38">
        <f t="shared" si="1"/>
        <v>2.1165354330708659E-5</v>
      </c>
      <c r="H70" s="38">
        <f t="shared" si="2"/>
        <v>2.110236220472441E-5</v>
      </c>
      <c r="J70" s="1"/>
      <c r="K70" s="1"/>
      <c r="L70" s="5"/>
      <c r="M70" s="1"/>
      <c r="N70" s="1"/>
      <c r="O70" s="1"/>
      <c r="P70" s="1"/>
      <c r="Q70" s="1"/>
      <c r="R70" s="17"/>
      <c r="S70" s="1"/>
      <c r="T70" s="1"/>
      <c r="U70" s="1"/>
      <c r="AD70" s="1"/>
    </row>
    <row r="71" spans="1:30" x14ac:dyDescent="0.2">
      <c r="A71" s="8">
        <v>1300</v>
      </c>
      <c r="B71" s="38">
        <v>2.452E-6</v>
      </c>
      <c r="C71" s="38">
        <v>5.3529999999999998E-7</v>
      </c>
      <c r="D71" s="38">
        <v>5.0500000000000004E-7</v>
      </c>
      <c r="E71" s="3"/>
      <c r="F71" s="38">
        <f t="shared" ref="F71:F126" si="3">B71*1000/25.4</f>
        <v>9.6535433070866152E-5</v>
      </c>
      <c r="G71" s="38">
        <f t="shared" ref="G71:G126" si="4">C71*1000/25.4</f>
        <v>2.1074803149606298E-5</v>
      </c>
      <c r="H71" s="38">
        <f t="shared" ref="H71:H126" si="5">D71*1000/25.4</f>
        <v>1.9881889763779529E-5</v>
      </c>
      <c r="J71" s="1"/>
      <c r="K71" s="3"/>
      <c r="L71" s="20"/>
      <c r="M71" s="1"/>
      <c r="N71" s="1"/>
      <c r="O71" s="1"/>
      <c r="P71" s="1"/>
      <c r="Q71" s="1"/>
      <c r="R71" s="1"/>
      <c r="S71" s="1"/>
      <c r="T71" s="1"/>
      <c r="U71" s="1"/>
      <c r="AD71" s="1"/>
    </row>
    <row r="72" spans="1:30" x14ac:dyDescent="0.2">
      <c r="A72" s="8">
        <v>1320</v>
      </c>
      <c r="B72" s="38">
        <v>2.4420999999999999E-6</v>
      </c>
      <c r="C72" s="38">
        <v>5.3390000000000009E-7</v>
      </c>
      <c r="D72" s="38">
        <v>4.8299999999999997E-7</v>
      </c>
      <c r="E72" s="3"/>
      <c r="F72" s="38">
        <f t="shared" si="3"/>
        <v>9.6145669291338587E-5</v>
      </c>
      <c r="G72" s="38">
        <f t="shared" si="4"/>
        <v>2.1019685039370085E-5</v>
      </c>
      <c r="H72" s="38">
        <f t="shared" si="5"/>
        <v>1.9015748031496062E-5</v>
      </c>
      <c r="J72" s="1"/>
      <c r="K72" s="1"/>
      <c r="L72" s="20"/>
      <c r="M72" s="1"/>
      <c r="N72" s="1"/>
      <c r="O72" s="1"/>
      <c r="P72" s="1"/>
      <c r="Q72" s="1"/>
      <c r="R72" s="1"/>
      <c r="S72" s="1"/>
      <c r="T72" s="1"/>
      <c r="U72" s="1"/>
      <c r="AD72" s="1"/>
    </row>
    <row r="73" spans="1:30" x14ac:dyDescent="0.2">
      <c r="A73" s="8">
        <v>1340</v>
      </c>
      <c r="B73" s="38">
        <v>2.4321E-6</v>
      </c>
      <c r="C73" s="38">
        <v>5.3150000000000001E-7</v>
      </c>
      <c r="D73" s="38">
        <v>4.6800000000000001E-7</v>
      </c>
      <c r="E73" s="3"/>
      <c r="F73" s="38">
        <f t="shared" si="3"/>
        <v>9.5751968503937014E-5</v>
      </c>
      <c r="G73" s="38">
        <f t="shared" si="4"/>
        <v>2.0925196850393699E-5</v>
      </c>
      <c r="H73" s="38">
        <f t="shared" si="5"/>
        <v>1.8425196850393703E-5</v>
      </c>
      <c r="J73" s="1"/>
      <c r="K73" s="1"/>
      <c r="L73" s="20"/>
      <c r="M73" s="1"/>
      <c r="N73" s="1"/>
      <c r="O73" s="1"/>
      <c r="P73" s="1"/>
      <c r="Q73" s="1"/>
      <c r="R73" s="1"/>
      <c r="S73" s="1"/>
      <c r="T73" s="1"/>
      <c r="U73" s="1"/>
      <c r="AD73" s="1"/>
    </row>
    <row r="74" spans="1:30" x14ac:dyDescent="0.2">
      <c r="A74" s="8">
        <v>1360</v>
      </c>
      <c r="B74" s="38">
        <v>2.4221000000000001E-6</v>
      </c>
      <c r="C74" s="38">
        <v>5.299E-7</v>
      </c>
      <c r="D74" s="38">
        <v>4.5899999999999997E-7</v>
      </c>
      <c r="E74" s="3"/>
      <c r="F74" s="38">
        <f t="shared" si="3"/>
        <v>9.5358267716535441E-5</v>
      </c>
      <c r="G74" s="38">
        <f t="shared" si="4"/>
        <v>2.086220472440945E-5</v>
      </c>
      <c r="H74" s="38">
        <f t="shared" si="5"/>
        <v>1.8070866141732285E-5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D74" s="1"/>
    </row>
    <row r="75" spans="1:30" x14ac:dyDescent="0.2">
      <c r="A75" s="8">
        <v>1380</v>
      </c>
      <c r="B75" s="38">
        <v>2.4119000000000002E-6</v>
      </c>
      <c r="C75" s="38">
        <v>5.2739999999999992E-7</v>
      </c>
      <c r="D75" s="38">
        <v>4.5400000000000002E-7</v>
      </c>
      <c r="E75" s="3"/>
      <c r="F75" s="38">
        <f t="shared" si="3"/>
        <v>9.4956692913385839E-5</v>
      </c>
      <c r="G75" s="38">
        <f t="shared" si="4"/>
        <v>2.0763779527559054E-5</v>
      </c>
      <c r="H75" s="38">
        <f t="shared" si="5"/>
        <v>1.7874015748031499E-5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D75" s="1"/>
    </row>
    <row r="76" spans="1:30" x14ac:dyDescent="0.2">
      <c r="A76" s="8">
        <v>1400</v>
      </c>
      <c r="B76" s="38">
        <v>2.4016999999999998E-6</v>
      </c>
      <c r="C76" s="38">
        <v>5.257E-7</v>
      </c>
      <c r="D76" s="38">
        <v>4.51E-7</v>
      </c>
      <c r="E76" s="3"/>
      <c r="F76" s="38">
        <f t="shared" si="3"/>
        <v>9.455511811023621E-5</v>
      </c>
      <c r="G76" s="38">
        <f t="shared" si="4"/>
        <v>2.069685039370079E-5</v>
      </c>
      <c r="H76" s="38">
        <f t="shared" si="5"/>
        <v>1.7755905511811026E-5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D76" s="1"/>
    </row>
    <row r="77" spans="1:30" x14ac:dyDescent="0.2">
      <c r="A77" s="8">
        <v>1420</v>
      </c>
      <c r="B77" s="38">
        <v>2.3914000000000001E-6</v>
      </c>
      <c r="C77" s="38">
        <v>5.2399999999999998E-7</v>
      </c>
      <c r="D77" s="38">
        <v>4.4999999999999998E-7</v>
      </c>
      <c r="E77" s="3"/>
      <c r="F77" s="38">
        <f t="shared" si="3"/>
        <v>9.4149606299212614E-5</v>
      </c>
      <c r="G77" s="38">
        <f t="shared" si="4"/>
        <v>2.062992125984252E-5</v>
      </c>
      <c r="H77" s="38">
        <f t="shared" si="5"/>
        <v>1.7716535433070868E-5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D77" s="1"/>
    </row>
    <row r="78" spans="1:30" x14ac:dyDescent="0.2">
      <c r="A78" s="8">
        <v>1440</v>
      </c>
      <c r="B78" s="38">
        <v>2.3910000000000001E-6</v>
      </c>
      <c r="C78" s="38">
        <v>5.2220000000000006E-7</v>
      </c>
      <c r="D78" s="38">
        <v>4.51E-7</v>
      </c>
      <c r="E78" s="3"/>
      <c r="F78" s="38">
        <f t="shared" si="3"/>
        <v>9.4133858267716542E-5</v>
      </c>
      <c r="G78" s="38">
        <f t="shared" si="4"/>
        <v>2.0559055118110238E-5</v>
      </c>
      <c r="H78" s="38">
        <f t="shared" si="5"/>
        <v>1.7755905511811026E-5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D78" s="1"/>
    </row>
    <row r="79" spans="1:30" x14ac:dyDescent="0.2">
      <c r="A79" s="8">
        <v>1460</v>
      </c>
      <c r="B79" s="38">
        <v>2.3804999999999999E-6</v>
      </c>
      <c r="C79" s="38">
        <v>5.2040000000000003E-7</v>
      </c>
      <c r="D79" s="38">
        <v>4.5300000000000005E-7</v>
      </c>
      <c r="E79" s="3"/>
      <c r="F79" s="38">
        <f t="shared" si="3"/>
        <v>9.3720472440944876E-5</v>
      </c>
      <c r="G79" s="38">
        <f t="shared" si="4"/>
        <v>2.0488188976377957E-5</v>
      </c>
      <c r="H79" s="38">
        <f t="shared" si="5"/>
        <v>1.7834645669291344E-5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D79" s="1"/>
    </row>
    <row r="80" spans="1:30" x14ac:dyDescent="0.2">
      <c r="A80" s="8">
        <v>1480</v>
      </c>
      <c r="B80" s="38">
        <v>2.3700000000000002E-6</v>
      </c>
      <c r="C80" s="38">
        <v>5.1940000000000006E-7</v>
      </c>
      <c r="D80" s="38">
        <v>4.5499999999999998E-7</v>
      </c>
      <c r="E80" s="3"/>
      <c r="F80" s="38">
        <f t="shared" si="3"/>
        <v>9.3307086614173237E-5</v>
      </c>
      <c r="G80" s="38">
        <f t="shared" si="4"/>
        <v>2.0448818897637798E-5</v>
      </c>
      <c r="H80" s="38">
        <f t="shared" si="5"/>
        <v>1.7913385826771654E-5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D80" s="1"/>
    </row>
    <row r="81" spans="1:30" x14ac:dyDescent="0.2">
      <c r="A81" s="8">
        <v>1500</v>
      </c>
      <c r="B81" s="38">
        <v>2.3694000000000001E-6</v>
      </c>
      <c r="C81" s="38">
        <v>5.1750000000000002E-7</v>
      </c>
      <c r="D81" s="38">
        <v>4.58E-7</v>
      </c>
      <c r="E81" s="3"/>
      <c r="F81" s="38">
        <f t="shared" si="3"/>
        <v>9.328346456692915E-5</v>
      </c>
      <c r="G81" s="38">
        <f t="shared" si="4"/>
        <v>2.0374015748031499E-5</v>
      </c>
      <c r="H81" s="38">
        <f t="shared" si="5"/>
        <v>1.8031496062992127E-5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</row>
    <row r="82" spans="1:30" x14ac:dyDescent="0.2">
      <c r="A82" s="8">
        <v>1520</v>
      </c>
      <c r="B82" s="38">
        <v>2.3587999999999998E-6</v>
      </c>
      <c r="C82" s="38">
        <v>5.1540000000000008E-7</v>
      </c>
      <c r="D82" s="38">
        <v>4.5999999999999999E-7</v>
      </c>
      <c r="E82" s="3"/>
      <c r="F82" s="38">
        <f t="shared" si="3"/>
        <v>9.2866141732283463E-5</v>
      </c>
      <c r="G82" s="38">
        <f t="shared" si="4"/>
        <v>2.029133858267717E-5</v>
      </c>
      <c r="H82" s="38">
        <f t="shared" si="5"/>
        <v>1.8110236220472444E-5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D82" s="1"/>
    </row>
    <row r="83" spans="1:30" x14ac:dyDescent="0.2">
      <c r="A83" s="8">
        <v>1540</v>
      </c>
      <c r="B83" s="38">
        <v>2.3581999999999997E-6</v>
      </c>
      <c r="C83" s="38">
        <v>5.1340000000000003E-7</v>
      </c>
      <c r="D83" s="38">
        <v>4.6299999999999995E-7</v>
      </c>
      <c r="E83" s="3"/>
      <c r="F83" s="38">
        <f t="shared" si="3"/>
        <v>9.2842519685039363E-5</v>
      </c>
      <c r="G83" s="38">
        <f t="shared" si="4"/>
        <v>2.0212598425196853E-5</v>
      </c>
      <c r="H83" s="38">
        <f t="shared" si="5"/>
        <v>1.822834645669291E-5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D83" s="1"/>
    </row>
    <row r="84" spans="1:30" x14ac:dyDescent="0.2">
      <c r="A84" s="8">
        <v>1560</v>
      </c>
      <c r="B84" s="38">
        <v>2.3475E-6</v>
      </c>
      <c r="C84" s="38">
        <v>5.102E-7</v>
      </c>
      <c r="D84" s="38">
        <v>4.6600000000000002E-7</v>
      </c>
      <c r="E84" s="3"/>
      <c r="F84" s="38">
        <f t="shared" si="3"/>
        <v>9.2421259842519681E-5</v>
      </c>
      <c r="G84" s="38">
        <f t="shared" si="4"/>
        <v>2.0086614173228348E-5</v>
      </c>
      <c r="H84" s="38">
        <f t="shared" si="5"/>
        <v>1.8346456692913386E-5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D84" s="1"/>
    </row>
    <row r="85" spans="1:30" x14ac:dyDescent="0.2">
      <c r="A85" s="8">
        <v>1580</v>
      </c>
      <c r="B85" s="38">
        <v>2.3369E-6</v>
      </c>
      <c r="C85" s="38">
        <v>5.0810000000000006E-7</v>
      </c>
      <c r="D85" s="38">
        <v>4.6899999999999998E-7</v>
      </c>
      <c r="E85" s="3"/>
      <c r="F85" s="38">
        <f t="shared" si="3"/>
        <v>9.2003937007874008E-5</v>
      </c>
      <c r="G85" s="38">
        <f t="shared" si="4"/>
        <v>2.000393700787402E-5</v>
      </c>
      <c r="H85" s="38">
        <f t="shared" si="5"/>
        <v>1.8464566929133858E-5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D85" s="1"/>
    </row>
    <row r="86" spans="1:30" x14ac:dyDescent="0.2">
      <c r="A86" s="8">
        <v>1600</v>
      </c>
      <c r="B86" s="38">
        <v>2.3262000000000003E-6</v>
      </c>
      <c r="C86" s="38">
        <v>5.0490000000000003E-7</v>
      </c>
      <c r="D86" s="38">
        <v>4.7199999999999999E-7</v>
      </c>
      <c r="E86" s="3"/>
      <c r="F86" s="38">
        <f t="shared" si="3"/>
        <v>9.1582677165354354E-5</v>
      </c>
      <c r="G86" s="38">
        <f t="shared" si="4"/>
        <v>1.9877952755905515E-5</v>
      </c>
      <c r="H86" s="38">
        <f t="shared" si="5"/>
        <v>1.8582677165354331E-5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D86" s="1"/>
    </row>
    <row r="87" spans="1:30" x14ac:dyDescent="0.2">
      <c r="A87" s="8">
        <v>1620</v>
      </c>
      <c r="B87" s="38">
        <v>2.3256000000000002E-6</v>
      </c>
      <c r="C87" s="38">
        <v>5.0180000000000001E-7</v>
      </c>
      <c r="D87" s="38">
        <v>4.7599999999999997E-7</v>
      </c>
      <c r="E87" s="3"/>
      <c r="F87" s="38">
        <f t="shared" si="3"/>
        <v>9.1559055118110253E-5</v>
      </c>
      <c r="G87" s="38">
        <f t="shared" si="4"/>
        <v>1.9755905511811027E-5</v>
      </c>
      <c r="H87" s="38">
        <f t="shared" si="5"/>
        <v>1.8740157480314962E-5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D87" s="1"/>
    </row>
    <row r="88" spans="1:30" x14ac:dyDescent="0.2">
      <c r="A88" s="8">
        <v>1640</v>
      </c>
      <c r="B88" s="38">
        <v>2.3149000000000001E-6</v>
      </c>
      <c r="C88" s="38">
        <v>4.9859999999999998E-7</v>
      </c>
      <c r="D88" s="38">
        <v>4.7999999999999996E-7</v>
      </c>
      <c r="E88" s="3"/>
      <c r="F88" s="38">
        <f t="shared" si="3"/>
        <v>9.1137795275590558E-5</v>
      </c>
      <c r="G88" s="38">
        <f t="shared" si="4"/>
        <v>1.9629921259842519E-5</v>
      </c>
      <c r="H88" s="38">
        <f t="shared" si="5"/>
        <v>1.889763779527559E-5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D88" s="1"/>
    </row>
    <row r="89" spans="1:30" x14ac:dyDescent="0.2">
      <c r="A89" s="8">
        <v>1660</v>
      </c>
      <c r="B89" s="38">
        <v>2.3042999999999997E-6</v>
      </c>
      <c r="C89" s="38">
        <v>4.9539999999999995E-7</v>
      </c>
      <c r="D89" s="38">
        <v>4.8599999999999998E-7</v>
      </c>
      <c r="E89" s="3"/>
      <c r="F89" s="38">
        <f t="shared" si="3"/>
        <v>9.0720472440944871E-5</v>
      </c>
      <c r="G89" s="38">
        <f t="shared" si="4"/>
        <v>1.9503937007874014E-5</v>
      </c>
      <c r="H89" s="38">
        <f t="shared" si="5"/>
        <v>1.9133858267716535E-5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D89" s="1"/>
    </row>
    <row r="90" spans="1:30" x14ac:dyDescent="0.2">
      <c r="A90" s="8">
        <v>1680</v>
      </c>
      <c r="B90" s="38">
        <v>2.2937000000000002E-6</v>
      </c>
      <c r="C90" s="38">
        <v>4.9220000000000003E-7</v>
      </c>
      <c r="D90" s="38">
        <v>4.9200000000000001E-7</v>
      </c>
      <c r="E90" s="3"/>
      <c r="F90" s="38">
        <f t="shared" si="3"/>
        <v>9.0303149606299225E-5</v>
      </c>
      <c r="G90" s="38">
        <f t="shared" si="4"/>
        <v>1.9377952755905516E-5</v>
      </c>
      <c r="H90" s="38">
        <f t="shared" si="5"/>
        <v>1.9370078740157484E-5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D90" s="1"/>
    </row>
    <row r="91" spans="1:30" x14ac:dyDescent="0.2">
      <c r="A91" s="8">
        <v>1700</v>
      </c>
      <c r="B91" s="38">
        <v>2.2832E-6</v>
      </c>
      <c r="C91" s="38">
        <v>4.8800000000000003E-7</v>
      </c>
      <c r="D91" s="38">
        <v>4.9999999999999998E-7</v>
      </c>
      <c r="E91" s="3"/>
      <c r="F91" s="38">
        <f t="shared" si="3"/>
        <v>8.9889763779527559E-5</v>
      </c>
      <c r="G91" s="38">
        <f t="shared" si="4"/>
        <v>1.9212598425196852E-5</v>
      </c>
      <c r="H91" s="38">
        <f t="shared" si="5"/>
        <v>1.9685039370078743E-5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D91" s="1"/>
    </row>
    <row r="92" spans="1:30" x14ac:dyDescent="0.2">
      <c r="A92" s="8">
        <v>1720</v>
      </c>
      <c r="B92" s="38">
        <v>2.2726000000000001E-6</v>
      </c>
      <c r="C92" s="38">
        <v>4.8390000000000004E-7</v>
      </c>
      <c r="D92" s="38">
        <v>5.0900000000000002E-7</v>
      </c>
      <c r="E92" s="3"/>
      <c r="F92" s="38">
        <f t="shared" si="3"/>
        <v>8.9472440944881899E-5</v>
      </c>
      <c r="G92" s="38">
        <f t="shared" si="4"/>
        <v>1.9051181102362207E-5</v>
      </c>
      <c r="H92" s="38">
        <f t="shared" si="5"/>
        <v>2.003937007874016E-5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D92" s="1"/>
    </row>
    <row r="93" spans="1:30" x14ac:dyDescent="0.2">
      <c r="A93" s="8">
        <v>1740</v>
      </c>
      <c r="B93" s="38">
        <v>2.2521E-6</v>
      </c>
      <c r="C93" s="38">
        <v>4.8070000000000001E-7</v>
      </c>
      <c r="D93" s="38">
        <v>5.2099999999999997E-7</v>
      </c>
      <c r="E93" s="3"/>
      <c r="F93" s="38">
        <f t="shared" si="3"/>
        <v>8.866535433070866E-5</v>
      </c>
      <c r="G93" s="38">
        <f t="shared" si="4"/>
        <v>1.8925196850393702E-5</v>
      </c>
      <c r="H93" s="38">
        <f t="shared" si="5"/>
        <v>2.0511811023622047E-5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D93" s="1"/>
    </row>
    <row r="94" spans="1:30" x14ac:dyDescent="0.2">
      <c r="A94" s="8">
        <v>1760</v>
      </c>
      <c r="B94" s="38">
        <v>2.2417000000000001E-6</v>
      </c>
      <c r="C94" s="38">
        <v>4.7660000000000002E-7</v>
      </c>
      <c r="D94" s="38">
        <v>5.3499999999999996E-7</v>
      </c>
      <c r="E94" s="3"/>
      <c r="F94" s="38">
        <f t="shared" si="3"/>
        <v>8.8255905511811029E-5</v>
      </c>
      <c r="G94" s="38">
        <f t="shared" si="4"/>
        <v>1.8763779527559059E-5</v>
      </c>
      <c r="H94" s="38">
        <f t="shared" si="5"/>
        <v>2.1062992125984251E-5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D94" s="1"/>
    </row>
    <row r="95" spans="1:30" x14ac:dyDescent="0.2">
      <c r="A95" s="8">
        <v>1780</v>
      </c>
      <c r="B95" s="38">
        <v>2.2311999999999999E-6</v>
      </c>
      <c r="C95" s="38">
        <v>4.7339999999999999E-7</v>
      </c>
      <c r="D95" s="38">
        <v>5.4899999999999995E-7</v>
      </c>
      <c r="E95" s="3"/>
      <c r="F95" s="38">
        <f t="shared" si="3"/>
        <v>8.7842519685039377E-5</v>
      </c>
      <c r="G95" s="38">
        <f t="shared" si="4"/>
        <v>1.8637795275590554E-5</v>
      </c>
      <c r="H95" s="38">
        <f t="shared" si="5"/>
        <v>2.1614173228346455E-5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D95" s="1"/>
    </row>
    <row r="96" spans="1:30" x14ac:dyDescent="0.2">
      <c r="A96" s="8">
        <v>1800</v>
      </c>
      <c r="B96" s="38">
        <v>2.2208000000000004E-6</v>
      </c>
      <c r="C96" s="38">
        <v>4.7029999999999997E-7</v>
      </c>
      <c r="D96" s="38">
        <v>5.6599999999999996E-7</v>
      </c>
      <c r="E96" s="3"/>
      <c r="F96" s="38">
        <f t="shared" si="3"/>
        <v>8.7433070866141746E-5</v>
      </c>
      <c r="G96" s="38">
        <f t="shared" si="4"/>
        <v>1.8515748031496064E-5</v>
      </c>
      <c r="H96" s="38">
        <f t="shared" si="5"/>
        <v>2.2283464566929136E-5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D96" s="1"/>
    </row>
    <row r="97" spans="1:30" x14ac:dyDescent="0.2">
      <c r="A97" s="8">
        <v>1820</v>
      </c>
      <c r="B97" s="38">
        <v>2.2104E-6</v>
      </c>
      <c r="C97" s="38">
        <v>4.672E-7</v>
      </c>
      <c r="D97" s="38">
        <v>5.8500000000000001E-7</v>
      </c>
      <c r="E97" s="3"/>
      <c r="F97" s="38">
        <f t="shared" si="3"/>
        <v>8.7023622047244101E-5</v>
      </c>
      <c r="G97" s="38">
        <f t="shared" si="4"/>
        <v>1.8393700787401577E-5</v>
      </c>
      <c r="H97" s="38">
        <f t="shared" si="5"/>
        <v>2.3031496062992126E-5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D97" s="1"/>
    </row>
    <row r="98" spans="1:30" x14ac:dyDescent="0.2">
      <c r="A98" s="8">
        <v>1840</v>
      </c>
      <c r="B98" s="38">
        <v>2.2000000000000001E-6</v>
      </c>
      <c r="C98" s="38">
        <v>4.6410000000000003E-7</v>
      </c>
      <c r="D98" s="38">
        <v>6.06E-7</v>
      </c>
      <c r="E98" s="3"/>
      <c r="F98" s="38">
        <f t="shared" si="3"/>
        <v>8.661417322834647E-5</v>
      </c>
      <c r="G98" s="38">
        <f t="shared" si="4"/>
        <v>1.827165354330709E-5</v>
      </c>
      <c r="H98" s="38">
        <f t="shared" si="5"/>
        <v>2.3858267716535434E-5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D98" s="1"/>
    </row>
    <row r="99" spans="1:30" x14ac:dyDescent="0.2">
      <c r="A99" s="8">
        <v>1860</v>
      </c>
      <c r="B99" s="38">
        <v>2.1896000000000002E-6</v>
      </c>
      <c r="C99" s="38">
        <v>4.6200000000000003E-7</v>
      </c>
      <c r="D99" s="38">
        <v>6.3099999999999997E-7</v>
      </c>
      <c r="E99" s="3"/>
      <c r="F99" s="38">
        <f t="shared" si="3"/>
        <v>8.6204724409448839E-5</v>
      </c>
      <c r="G99" s="38">
        <f t="shared" si="4"/>
        <v>1.8188976377952758E-5</v>
      </c>
      <c r="H99" s="38">
        <f t="shared" si="5"/>
        <v>2.484251968503937E-5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D99" s="1"/>
    </row>
    <row r="100" spans="1:30" x14ac:dyDescent="0.2">
      <c r="A100" s="8">
        <v>1880</v>
      </c>
      <c r="B100" s="38">
        <v>2.1792000000000002E-6</v>
      </c>
      <c r="C100" s="38">
        <v>4.5989999999999998E-7</v>
      </c>
      <c r="D100" s="38">
        <v>6.5799999999999999E-7</v>
      </c>
      <c r="E100" s="3"/>
      <c r="F100" s="38">
        <f t="shared" si="3"/>
        <v>8.5795275590551195E-5</v>
      </c>
      <c r="G100" s="38">
        <f t="shared" si="4"/>
        <v>1.8106299212598426E-5</v>
      </c>
      <c r="H100" s="38">
        <f t="shared" si="5"/>
        <v>2.5905511811023623E-5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D100" s="1"/>
    </row>
    <row r="101" spans="1:30" x14ac:dyDescent="0.2">
      <c r="A101" s="8">
        <v>1900</v>
      </c>
      <c r="B101" s="38">
        <v>2.1687999999999999E-6</v>
      </c>
      <c r="C101" s="38">
        <v>4.5880000000000001E-7</v>
      </c>
      <c r="D101" s="38">
        <v>6.8800000000000002E-7</v>
      </c>
      <c r="E101" s="3"/>
      <c r="F101" s="38">
        <f t="shared" si="3"/>
        <v>8.5385826771653536E-5</v>
      </c>
      <c r="G101" s="38">
        <f t="shared" si="4"/>
        <v>1.8062992125984253E-5</v>
      </c>
      <c r="H101" s="38">
        <f t="shared" si="5"/>
        <v>2.7086614173228349E-5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D101" s="1"/>
    </row>
    <row r="102" spans="1:30" x14ac:dyDescent="0.2">
      <c r="A102" s="8">
        <v>1920</v>
      </c>
      <c r="B102" s="38">
        <v>2.1584E-6</v>
      </c>
      <c r="C102" s="38">
        <v>4.5779999999999998E-7</v>
      </c>
      <c r="D102" s="38">
        <v>7.1400000000000007E-7</v>
      </c>
      <c r="E102" s="3"/>
      <c r="F102" s="38">
        <f t="shared" si="3"/>
        <v>8.4976377952755905E-5</v>
      </c>
      <c r="G102" s="38">
        <f t="shared" si="4"/>
        <v>1.8023622047244094E-5</v>
      </c>
      <c r="H102" s="38">
        <f t="shared" si="5"/>
        <v>2.8110236220472447E-5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D102" s="1"/>
    </row>
    <row r="103" spans="1:30" x14ac:dyDescent="0.2">
      <c r="A103" s="8">
        <v>1940</v>
      </c>
      <c r="B103" s="38">
        <v>2.148E-6</v>
      </c>
      <c r="C103" s="38">
        <v>4.5670000000000001E-7</v>
      </c>
      <c r="D103" s="38">
        <v>7.4199999999999995E-7</v>
      </c>
      <c r="E103" s="3"/>
      <c r="F103" s="38">
        <f t="shared" si="3"/>
        <v>8.4566929133858275E-5</v>
      </c>
      <c r="G103" s="38">
        <f t="shared" si="4"/>
        <v>1.7980314960629921E-5</v>
      </c>
      <c r="H103" s="38">
        <f t="shared" si="5"/>
        <v>2.9212598425196848E-5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D103" s="1"/>
    </row>
    <row r="104" spans="1:30" x14ac:dyDescent="0.2">
      <c r="A104" s="8">
        <v>1960</v>
      </c>
      <c r="B104" s="38">
        <v>2.1376000000000001E-6</v>
      </c>
      <c r="C104" s="38">
        <v>4.5559999999999998E-7</v>
      </c>
      <c r="D104" s="38">
        <v>7.7200000000000008E-7</v>
      </c>
      <c r="E104" s="3"/>
      <c r="F104" s="38">
        <f t="shared" si="3"/>
        <v>8.415748031496063E-5</v>
      </c>
      <c r="G104" s="38">
        <f t="shared" si="4"/>
        <v>1.7937007874015748E-5</v>
      </c>
      <c r="H104" s="38">
        <f t="shared" si="5"/>
        <v>3.039370078740158E-5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D104" s="1"/>
    </row>
    <row r="105" spans="1:30" x14ac:dyDescent="0.2">
      <c r="A105" s="8">
        <v>1980</v>
      </c>
      <c r="B105" s="38">
        <v>2.1271999999999997E-6</v>
      </c>
      <c r="C105" s="38">
        <v>4.5550000000000002E-7</v>
      </c>
      <c r="D105" s="38">
        <v>8.0500000000000002E-7</v>
      </c>
      <c r="E105" s="3"/>
      <c r="F105" s="38">
        <f t="shared" si="3"/>
        <v>8.3748031496062985E-5</v>
      </c>
      <c r="G105" s="38">
        <f t="shared" si="4"/>
        <v>1.7933070866141733E-5</v>
      </c>
      <c r="H105" s="38">
        <f t="shared" si="5"/>
        <v>3.1692913385826779E-5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D105" s="1"/>
    </row>
    <row r="106" spans="1:30" x14ac:dyDescent="0.2">
      <c r="A106" s="8">
        <v>2000</v>
      </c>
      <c r="B106" s="38">
        <v>2.1268999999999999E-6</v>
      </c>
      <c r="C106" s="38">
        <v>4.545E-7</v>
      </c>
      <c r="D106" s="38">
        <v>8.4200000000000005E-7</v>
      </c>
      <c r="E106" s="3"/>
      <c r="F106" s="38">
        <f t="shared" si="3"/>
        <v>8.3736220472440935E-5</v>
      </c>
      <c r="G106" s="38">
        <f t="shared" si="4"/>
        <v>1.7893700787401575E-5</v>
      </c>
      <c r="H106" s="38">
        <f t="shared" si="5"/>
        <v>3.3149606299212601E-5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D106" s="1"/>
    </row>
    <row r="107" spans="1:30" x14ac:dyDescent="0.2">
      <c r="A107" s="8">
        <v>2020</v>
      </c>
      <c r="B107" s="38">
        <v>2.1165999999999998E-6</v>
      </c>
      <c r="C107" s="38">
        <v>4.5439999999999999E-7</v>
      </c>
      <c r="D107" s="38">
        <v>8.7999999999999994E-7</v>
      </c>
      <c r="E107" s="3"/>
      <c r="F107" s="38">
        <f t="shared" si="3"/>
        <v>8.3330708661417312E-5</v>
      </c>
      <c r="G107" s="38">
        <f t="shared" si="4"/>
        <v>1.788976377952756E-5</v>
      </c>
      <c r="H107" s="38">
        <f t="shared" si="5"/>
        <v>3.4645669291338583E-5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D107" s="1"/>
    </row>
    <row r="108" spans="1:30" x14ac:dyDescent="0.2">
      <c r="A108" s="8">
        <v>2040</v>
      </c>
      <c r="B108" s="38">
        <v>2.1163E-6</v>
      </c>
      <c r="C108" s="38">
        <v>4.5540000000000001E-7</v>
      </c>
      <c r="D108" s="38">
        <v>9.2299999999999999E-7</v>
      </c>
      <c r="E108" s="3"/>
      <c r="F108" s="38">
        <f t="shared" si="3"/>
        <v>8.3318897637795275E-5</v>
      </c>
      <c r="G108" s="38">
        <f t="shared" si="4"/>
        <v>1.7929133858267719E-5</v>
      </c>
      <c r="H108" s="38">
        <f t="shared" si="5"/>
        <v>3.6338582677165357E-5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D108" s="1"/>
    </row>
    <row r="109" spans="1:30" x14ac:dyDescent="0.2">
      <c r="A109" s="8">
        <v>2060</v>
      </c>
      <c r="B109" s="38">
        <v>2.1059999999999998E-6</v>
      </c>
      <c r="C109" s="38">
        <v>4.5530000000000001E-7</v>
      </c>
      <c r="D109" s="38">
        <v>9.6899999999999996E-7</v>
      </c>
      <c r="E109" s="3"/>
      <c r="F109" s="38">
        <f t="shared" si="3"/>
        <v>8.2913385826771652E-5</v>
      </c>
      <c r="G109" s="38">
        <f t="shared" si="4"/>
        <v>1.7925196850393701E-5</v>
      </c>
      <c r="H109" s="38">
        <f t="shared" si="5"/>
        <v>3.8149606299212594E-5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D109" s="1"/>
    </row>
    <row r="110" spans="1:30" x14ac:dyDescent="0.2">
      <c r="A110" s="8">
        <v>2080</v>
      </c>
      <c r="B110" s="38">
        <v>2.1057E-6</v>
      </c>
      <c r="C110" s="38">
        <v>4.5630000000000003E-7</v>
      </c>
      <c r="D110" s="38">
        <v>1.018E-6</v>
      </c>
      <c r="E110" s="3"/>
      <c r="F110" s="38">
        <f t="shared" si="3"/>
        <v>8.2901574803149602E-5</v>
      </c>
      <c r="G110" s="38">
        <f t="shared" si="4"/>
        <v>1.796456692913386E-5</v>
      </c>
      <c r="H110" s="38">
        <f t="shared" si="5"/>
        <v>4.0078740157480321E-5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D110" s="1"/>
    </row>
    <row r="111" spans="1:30" x14ac:dyDescent="0.2">
      <c r="A111" s="8">
        <v>2100</v>
      </c>
      <c r="B111" s="38">
        <v>2.0953999999999999E-6</v>
      </c>
      <c r="C111" s="38">
        <v>4.573E-7</v>
      </c>
      <c r="D111" s="38">
        <v>1.071E-6</v>
      </c>
      <c r="E111" s="3"/>
      <c r="F111" s="38">
        <f t="shared" si="3"/>
        <v>8.2496062992125978E-5</v>
      </c>
      <c r="G111" s="38">
        <f t="shared" si="4"/>
        <v>1.8003937007874018E-5</v>
      </c>
      <c r="H111" s="38">
        <f t="shared" si="5"/>
        <v>4.2165354330708661E-5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D111" s="1"/>
    </row>
    <row r="112" spans="1:30" x14ac:dyDescent="0.2">
      <c r="A112" s="8">
        <v>2120</v>
      </c>
      <c r="B112" s="38">
        <v>2.0952000000000003E-6</v>
      </c>
      <c r="C112" s="38">
        <v>4.5919999999999998E-7</v>
      </c>
      <c r="D112" s="38">
        <v>1.1259999999999999E-6</v>
      </c>
      <c r="E112" s="3"/>
      <c r="F112" s="38">
        <f t="shared" si="3"/>
        <v>8.2488188976377963E-5</v>
      </c>
      <c r="G112" s="38">
        <f t="shared" si="4"/>
        <v>1.8078740157480314E-5</v>
      </c>
      <c r="H112" s="38">
        <f t="shared" si="5"/>
        <v>4.4330708661417319E-5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D112" s="1"/>
    </row>
    <row r="113" spans="1:30" x14ac:dyDescent="0.2">
      <c r="A113" s="8">
        <v>2140</v>
      </c>
      <c r="B113" s="38">
        <v>2.0850000000000004E-6</v>
      </c>
      <c r="C113" s="38">
        <v>4.602E-7</v>
      </c>
      <c r="D113" s="38">
        <v>1.187E-6</v>
      </c>
      <c r="E113" s="3"/>
      <c r="F113" s="38">
        <f t="shared" si="3"/>
        <v>8.2086614173228374E-5</v>
      </c>
      <c r="G113" s="38">
        <f t="shared" si="4"/>
        <v>1.8118110236220473E-5</v>
      </c>
      <c r="H113" s="38">
        <f t="shared" si="5"/>
        <v>4.6732283464566936E-5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D113" s="1"/>
    </row>
    <row r="114" spans="1:30" x14ac:dyDescent="0.2">
      <c r="A114" s="8">
        <v>2160</v>
      </c>
      <c r="B114" s="38">
        <v>2.0848000000000004E-6</v>
      </c>
      <c r="C114" s="38">
        <v>4.622E-7</v>
      </c>
      <c r="D114" s="38">
        <v>1.246E-6</v>
      </c>
      <c r="E114" s="3"/>
      <c r="F114" s="38">
        <f t="shared" si="3"/>
        <v>8.2078740157480332E-5</v>
      </c>
      <c r="G114" s="38">
        <f t="shared" si="4"/>
        <v>1.819685039370079E-5</v>
      </c>
      <c r="H114" s="38">
        <f t="shared" si="5"/>
        <v>4.9055118110236222E-5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D114" s="1"/>
    </row>
    <row r="115" spans="1:30" x14ac:dyDescent="0.2">
      <c r="A115" s="8">
        <v>2180</v>
      </c>
      <c r="B115" s="38">
        <v>2.0846000000000003E-6</v>
      </c>
      <c r="C115" s="38">
        <v>4.6409999999999998E-7</v>
      </c>
      <c r="D115" s="38">
        <v>1.3150000000000001E-6</v>
      </c>
      <c r="E115" s="3"/>
      <c r="F115" s="38">
        <f t="shared" si="3"/>
        <v>8.2070866141732303E-5</v>
      </c>
      <c r="G115" s="38">
        <f t="shared" si="4"/>
        <v>1.8271653543307086E-5</v>
      </c>
      <c r="H115" s="38">
        <f t="shared" si="5"/>
        <v>5.1771653543307094E-5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D115" s="1"/>
    </row>
    <row r="116" spans="1:30" x14ac:dyDescent="0.2">
      <c r="A116" s="8">
        <v>2200</v>
      </c>
      <c r="B116" s="38">
        <v>2.0744E-6</v>
      </c>
      <c r="C116" s="38">
        <v>4.6609999999999997E-7</v>
      </c>
      <c r="D116" s="38">
        <v>1.3849999999999999E-6</v>
      </c>
      <c r="E116" s="3"/>
      <c r="F116" s="38">
        <f t="shared" si="3"/>
        <v>8.1669291338582687E-5</v>
      </c>
      <c r="G116" s="38">
        <f t="shared" si="4"/>
        <v>1.83503937007874E-5</v>
      </c>
      <c r="H116" s="38">
        <f t="shared" si="5"/>
        <v>5.4527559055118112E-5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D116" s="1"/>
    </row>
    <row r="117" spans="1:30" x14ac:dyDescent="0.2">
      <c r="A117" s="8">
        <v>2220</v>
      </c>
      <c r="B117" s="38">
        <v>2.0742E-6</v>
      </c>
      <c r="C117" s="38">
        <v>4.6810000000000002E-7</v>
      </c>
      <c r="D117" s="38">
        <v>1.454E-6</v>
      </c>
      <c r="E117" s="3"/>
      <c r="F117" s="38">
        <f t="shared" si="3"/>
        <v>8.1661417322834645E-5</v>
      </c>
      <c r="G117" s="38">
        <f t="shared" si="4"/>
        <v>1.8429133858267718E-5</v>
      </c>
      <c r="H117" s="38">
        <f t="shared" si="5"/>
        <v>5.7244094488188977E-5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D117" s="1"/>
    </row>
    <row r="118" spans="1:30" x14ac:dyDescent="0.2">
      <c r="A118" s="8">
        <v>2240</v>
      </c>
      <c r="B118" s="38">
        <v>2.0640000000000001E-6</v>
      </c>
      <c r="C118" s="38">
        <v>4.7E-7</v>
      </c>
      <c r="D118" s="38">
        <v>1.5229999999999999E-6</v>
      </c>
      <c r="E118" s="3"/>
      <c r="F118" s="38">
        <f t="shared" si="3"/>
        <v>8.1259842519685043E-5</v>
      </c>
      <c r="G118" s="38">
        <f t="shared" si="4"/>
        <v>1.8503937007874017E-5</v>
      </c>
      <c r="H118" s="38">
        <f t="shared" si="5"/>
        <v>5.9960629921259836E-5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D118" s="1"/>
    </row>
    <row r="119" spans="1:30" x14ac:dyDescent="0.2">
      <c r="A119" s="8">
        <v>2260</v>
      </c>
      <c r="B119" s="38">
        <v>2.0538999999999999E-6</v>
      </c>
      <c r="C119" s="38">
        <v>4.7199999999999999E-7</v>
      </c>
      <c r="D119" s="38">
        <v>1.593E-6</v>
      </c>
      <c r="E119" s="3"/>
      <c r="F119" s="38">
        <f t="shared" si="3"/>
        <v>8.0862204724409448E-5</v>
      </c>
      <c r="G119" s="38">
        <f t="shared" si="4"/>
        <v>1.8582677165354331E-5</v>
      </c>
      <c r="H119" s="38">
        <f t="shared" si="5"/>
        <v>6.2716535433070874E-5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D119" s="1"/>
    </row>
    <row r="120" spans="1:30" x14ac:dyDescent="0.2">
      <c r="A120" s="8">
        <v>2280</v>
      </c>
      <c r="B120" s="38">
        <v>2.0536999999999999E-6</v>
      </c>
      <c r="C120" s="38">
        <v>4.7399999999999998E-7</v>
      </c>
      <c r="D120" s="38">
        <v>1.6719999999999998E-6</v>
      </c>
      <c r="E120" s="3"/>
      <c r="F120" s="38">
        <f t="shared" si="3"/>
        <v>8.0854330708661419E-5</v>
      </c>
      <c r="G120" s="38">
        <f t="shared" si="4"/>
        <v>1.8661417322834645E-5</v>
      </c>
      <c r="H120" s="38">
        <f t="shared" si="5"/>
        <v>6.5826771653543312E-5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D120" s="1"/>
    </row>
    <row r="121" spans="1:30" x14ac:dyDescent="0.2">
      <c r="A121" s="8">
        <v>2300</v>
      </c>
      <c r="B121" s="38">
        <v>2.0435E-6</v>
      </c>
      <c r="C121" s="38">
        <v>4.749E-7</v>
      </c>
      <c r="D121" s="38">
        <v>1.742E-6</v>
      </c>
      <c r="E121" s="3"/>
      <c r="F121" s="38">
        <f t="shared" si="3"/>
        <v>8.0452755905511817E-5</v>
      </c>
      <c r="G121" s="38">
        <f t="shared" si="4"/>
        <v>1.8696850393700789E-5</v>
      </c>
      <c r="H121" s="38">
        <f t="shared" si="5"/>
        <v>6.8582677165354337E-5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D121" s="1"/>
    </row>
    <row r="122" spans="1:30" x14ac:dyDescent="0.2">
      <c r="A122" s="8">
        <v>2320</v>
      </c>
      <c r="B122" s="38">
        <v>2.0333999999999999E-6</v>
      </c>
      <c r="C122" s="38">
        <v>4.7589999999999997E-7</v>
      </c>
      <c r="D122" s="38">
        <v>1.821E-6</v>
      </c>
      <c r="E122" s="3"/>
      <c r="F122" s="38">
        <f t="shared" si="3"/>
        <v>8.0055118110236223E-5</v>
      </c>
      <c r="G122" s="38">
        <f t="shared" si="4"/>
        <v>1.8736220472440944E-5</v>
      </c>
      <c r="H122" s="38">
        <f t="shared" si="5"/>
        <v>7.1692913385826775E-5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D122" s="1"/>
    </row>
    <row r="123" spans="1:30" x14ac:dyDescent="0.2">
      <c r="A123" s="8">
        <v>2340</v>
      </c>
      <c r="B123" s="38">
        <v>2.0232E-6</v>
      </c>
      <c r="C123" s="38">
        <v>4.7690000000000004E-7</v>
      </c>
      <c r="D123" s="38">
        <v>1.891E-6</v>
      </c>
      <c r="E123" s="3"/>
      <c r="F123" s="38">
        <f t="shared" si="3"/>
        <v>7.9653543307086621E-5</v>
      </c>
      <c r="G123" s="38">
        <f t="shared" si="4"/>
        <v>1.8775590551181106E-5</v>
      </c>
      <c r="H123" s="38">
        <f t="shared" si="5"/>
        <v>7.4448818897637799E-5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D123" s="1"/>
    </row>
    <row r="124" spans="1:30" x14ac:dyDescent="0.2">
      <c r="A124" s="8">
        <v>2360</v>
      </c>
      <c r="B124" s="38">
        <v>2.0130999999999998E-6</v>
      </c>
      <c r="C124" s="38">
        <v>4.778E-7</v>
      </c>
      <c r="D124" s="38">
        <v>1.9599999999999999E-6</v>
      </c>
      <c r="E124" s="3"/>
      <c r="F124" s="38">
        <f t="shared" si="3"/>
        <v>7.9255905511811027E-5</v>
      </c>
      <c r="G124" s="38">
        <f t="shared" si="4"/>
        <v>1.8811023622047247E-5</v>
      </c>
      <c r="H124" s="38">
        <f t="shared" si="5"/>
        <v>7.7165354330708665E-5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D124" s="1"/>
    </row>
    <row r="125" spans="1:30" x14ac:dyDescent="0.2">
      <c r="A125" s="8">
        <v>2380</v>
      </c>
      <c r="B125" s="38">
        <v>2.0028999999999999E-6</v>
      </c>
      <c r="C125" s="38">
        <v>4.7680000000000003E-7</v>
      </c>
      <c r="D125" s="38">
        <v>2.03E-6</v>
      </c>
      <c r="E125" s="3"/>
      <c r="F125" s="38">
        <f t="shared" si="3"/>
        <v>7.8854330708661411E-5</v>
      </c>
      <c r="G125" s="38">
        <f t="shared" si="4"/>
        <v>1.8771653543307088E-5</v>
      </c>
      <c r="H125" s="38">
        <f t="shared" si="5"/>
        <v>7.9921259842519689E-5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D125" s="1"/>
    </row>
    <row r="126" spans="1:30" x14ac:dyDescent="0.2">
      <c r="A126" s="8">
        <v>2400</v>
      </c>
      <c r="B126" s="38">
        <v>1.9827999999999999E-6</v>
      </c>
      <c r="C126" s="38">
        <v>4.7580000000000001E-7</v>
      </c>
      <c r="D126" s="38">
        <v>2.1000000000000002E-6</v>
      </c>
      <c r="E126" s="3"/>
      <c r="F126" s="38">
        <f t="shared" si="3"/>
        <v>7.8062992125984244E-5</v>
      </c>
      <c r="G126" s="38">
        <f t="shared" si="4"/>
        <v>1.873228346456693E-5</v>
      </c>
      <c r="H126" s="38">
        <f t="shared" si="5"/>
        <v>8.2677165354330727E-5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D126" s="1"/>
    </row>
    <row r="127" spans="1:30" x14ac:dyDescent="0.2">
      <c r="A127" s="3"/>
      <c r="B127" s="3"/>
      <c r="C127" s="3"/>
      <c r="D127" s="3"/>
      <c r="E127" s="3"/>
      <c r="F127" s="3"/>
      <c r="G127" s="3"/>
      <c r="H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D127" s="1"/>
    </row>
    <row r="128" spans="1:30" x14ac:dyDescent="0.2">
      <c r="A128" s="8" t="s">
        <v>21</v>
      </c>
      <c r="B128" s="38">
        <f>MAX(B6:B126)</f>
        <v>2.5777999999999997E-6</v>
      </c>
      <c r="C128" s="38">
        <f>MAX(C6:C126)</f>
        <v>5.6819999999999991E-7</v>
      </c>
      <c r="D128" s="38">
        <f>MAX(D6:D126)</f>
        <v>2.1000000000000002E-6</v>
      </c>
      <c r="E128" s="4"/>
      <c r="F128" s="38">
        <f>MAX(F20:F126)</f>
        <v>1.0148818897637795E-4</v>
      </c>
      <c r="G128" s="38">
        <f>MAX(G20:G126)</f>
        <v>2.2370078740157479E-5</v>
      </c>
      <c r="H128" s="38">
        <f>MAX(H20:H126)</f>
        <v>8.2677165354330727E-5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D128" s="1"/>
    </row>
    <row r="129" spans="1:30" x14ac:dyDescent="0.2">
      <c r="A129" s="8" t="s">
        <v>22</v>
      </c>
      <c r="B129" s="38">
        <f>B128*limits!$E29</f>
        <v>4.805049208504769E-4</v>
      </c>
      <c r="C129" s="38">
        <f>C128*limits!$E29</f>
        <v>1.059131414490034E-4</v>
      </c>
      <c r="D129" s="38">
        <f>D128*limits!$E29</f>
        <v>3.9144244463728829E-4</v>
      </c>
      <c r="E129" s="4"/>
      <c r="F129" s="38">
        <f>F128*limits!$E29</f>
        <v>1.8917516568916416E-2</v>
      </c>
      <c r="G129" s="38">
        <f>G128*limits!$E29</f>
        <v>4.1698087184647006E-3</v>
      </c>
      <c r="H129" s="38">
        <f>H128*limits!$E29</f>
        <v>1.5411119867609777E-2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D129" s="1"/>
    </row>
    <row r="130" spans="1:30" x14ac:dyDescent="0.2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D130" s="1"/>
    </row>
    <row r="131" spans="1:30" x14ac:dyDescent="0.2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D131" s="1"/>
    </row>
    <row r="132" spans="1:30" x14ac:dyDescent="0.2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D132" s="1"/>
    </row>
    <row r="133" spans="1:30" x14ac:dyDescent="0.2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D133" s="1"/>
    </row>
    <row r="134" spans="1:30" x14ac:dyDescent="0.2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D134" s="1"/>
    </row>
    <row r="135" spans="1:30" x14ac:dyDescent="0.2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D135" s="1"/>
    </row>
    <row r="136" spans="1:30" x14ac:dyDescent="0.2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D136" s="1"/>
    </row>
    <row r="137" spans="1:30" x14ac:dyDescent="0.2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</row>
    <row r="138" spans="1:30" x14ac:dyDescent="0.2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1"/>
    </row>
    <row r="139" spans="1:30" x14ac:dyDescent="0.2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1"/>
    </row>
    <row r="140" spans="1:30" x14ac:dyDescent="0.2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1"/>
    </row>
  </sheetData>
  <mergeCells count="4">
    <mergeCell ref="F2:H2"/>
    <mergeCell ref="B4:D4"/>
    <mergeCell ref="F4:H4"/>
    <mergeCell ref="A4:A5"/>
  </mergeCells>
  <phoneticPr fontId="4" type="noConversion"/>
  <printOptions horizontalCentered="1"/>
  <pageMargins left="0.75" right="0.75" top="1.5" bottom="0.5" header="0.75" footer="0.75"/>
  <pageSetup orientation="portrait" r:id="rId1"/>
  <headerFooter alignWithMargins="0">
    <oddHeader>&amp;L&amp;8&amp;F&amp;R&amp;8&amp;D
By: SS
Chkd:___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82571-C194-4C4D-A51A-3BDCC40F2315}">
  <dimension ref="A1:AD140"/>
  <sheetViews>
    <sheetView showGridLines="0" zoomScale="130" zoomScaleNormal="130" workbookViewId="0">
      <selection activeCell="B6" sqref="B6:D126"/>
    </sheetView>
  </sheetViews>
  <sheetFormatPr defaultRowHeight="12.75" x14ac:dyDescent="0.2"/>
  <cols>
    <col min="1" max="1" width="12" customWidth="1"/>
    <col min="2" max="4" width="10.42578125" bestFit="1" customWidth="1"/>
    <col min="5" max="5" width="5.5703125" customWidth="1"/>
    <col min="19" max="19" width="9.28515625" bestFit="1" customWidth="1"/>
    <col min="20" max="21" width="9.28515625" customWidth="1"/>
    <col min="22" max="22" width="12.140625" style="36" customWidth="1"/>
    <col min="23" max="25" width="9.5703125" style="36" bestFit="1" customWidth="1"/>
    <col min="26" max="26" width="9.140625" style="36"/>
    <col min="27" max="27" width="10.85546875" style="36" bestFit="1" customWidth="1"/>
    <col min="28" max="28" width="9.28515625" style="36" customWidth="1"/>
    <col min="29" max="29" width="10.85546875" style="36" bestFit="1" customWidth="1"/>
    <col min="31" max="31" width="9.28515625" bestFit="1" customWidth="1"/>
    <col min="32" max="32" width="13" bestFit="1" customWidth="1"/>
    <col min="33" max="33" width="9.28515625" bestFit="1" customWidth="1"/>
    <col min="35" max="38" width="9.28515625" bestFit="1" customWidth="1"/>
    <col min="39" max="40" width="10.5703125" bestFit="1" customWidth="1"/>
    <col min="41" max="41" width="9.28515625" bestFit="1" customWidth="1"/>
    <col min="42" max="43" width="10.5703125" bestFit="1" customWidth="1"/>
    <col min="49" max="50" width="10.5703125" bestFit="1" customWidth="1"/>
    <col min="51" max="51" width="9.28515625" bestFit="1" customWidth="1"/>
    <col min="52" max="53" width="10.5703125" bestFit="1" customWidth="1"/>
  </cols>
  <sheetData>
    <row r="1" spans="1:30" x14ac:dyDescent="0.2">
      <c r="A1" s="37" t="s">
        <v>32</v>
      </c>
      <c r="B1" s="3"/>
      <c r="C1" s="3"/>
      <c r="D1" s="3"/>
      <c r="E1" s="3"/>
      <c r="F1" s="3"/>
      <c r="G1" s="3"/>
      <c r="H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</row>
    <row r="2" spans="1:30" x14ac:dyDescent="0.2">
      <c r="A2" s="22" t="s">
        <v>38</v>
      </c>
      <c r="B2" s="1"/>
      <c r="C2" s="1"/>
      <c r="D2" s="1"/>
      <c r="E2" s="3"/>
      <c r="F2" s="40"/>
      <c r="G2" s="40"/>
      <c r="H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1"/>
    </row>
    <row r="3" spans="1:30" x14ac:dyDescent="0.2">
      <c r="A3" s="22" t="s">
        <v>39</v>
      </c>
      <c r="B3" s="36"/>
      <c r="C3" s="36"/>
      <c r="D3" s="36"/>
      <c r="E3" s="36"/>
      <c r="F3" s="36"/>
      <c r="G3" s="36"/>
      <c r="H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1"/>
    </row>
    <row r="4" spans="1:30" x14ac:dyDescent="0.2">
      <c r="A4" s="41" t="s">
        <v>35</v>
      </c>
      <c r="B4" s="43" t="s">
        <v>36</v>
      </c>
      <c r="C4" s="43"/>
      <c r="D4" s="43"/>
      <c r="E4" s="3"/>
      <c r="F4" s="43" t="s">
        <v>37</v>
      </c>
      <c r="G4" s="43"/>
      <c r="H4" s="4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1"/>
    </row>
    <row r="5" spans="1:30" x14ac:dyDescent="0.2">
      <c r="A5" s="42"/>
      <c r="B5" s="8" t="s">
        <v>0</v>
      </c>
      <c r="C5" s="8" t="s">
        <v>1</v>
      </c>
      <c r="D5" s="8" t="s">
        <v>2</v>
      </c>
      <c r="E5" s="3"/>
      <c r="F5" s="8" t="s">
        <v>0</v>
      </c>
      <c r="G5" s="8" t="s">
        <v>1</v>
      </c>
      <c r="H5" s="8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1"/>
    </row>
    <row r="6" spans="1:30" x14ac:dyDescent="0.2">
      <c r="A6" s="35">
        <v>0</v>
      </c>
      <c r="B6" s="38">
        <v>1.8250000000000001E-16</v>
      </c>
      <c r="C6" s="38">
        <v>2.956E-17</v>
      </c>
      <c r="D6" s="38">
        <v>8.7980000000000002E-17</v>
      </c>
      <c r="E6" s="3"/>
      <c r="F6" s="38">
        <f>B6*1000/25.4</f>
        <v>7.18503937007874E-15</v>
      </c>
      <c r="G6" s="38">
        <f>C6*1000/25.4</f>
        <v>1.1637795275590553E-15</v>
      </c>
      <c r="H6" s="38">
        <f>D6*1000/25.4</f>
        <v>3.4637795275590554E-15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1"/>
    </row>
    <row r="7" spans="1:30" x14ac:dyDescent="0.2">
      <c r="A7" s="35">
        <v>20</v>
      </c>
      <c r="B7" s="38">
        <v>1.3310000000000001E-9</v>
      </c>
      <c r="C7" s="38">
        <v>2.513E-10</v>
      </c>
      <c r="D7" s="38">
        <v>4.65E-10</v>
      </c>
      <c r="E7" s="3"/>
      <c r="F7" s="38">
        <f t="shared" ref="F7:H70" si="0">B7*1000/25.4</f>
        <v>5.2401574803149611E-8</v>
      </c>
      <c r="G7" s="38">
        <f t="shared" si="0"/>
        <v>9.8937007874015741E-9</v>
      </c>
      <c r="H7" s="38">
        <f t="shared" si="0"/>
        <v>1.8307086614173228E-8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3"/>
      <c r="AC7" s="3"/>
      <c r="AD7" s="1"/>
    </row>
    <row r="8" spans="1:30" x14ac:dyDescent="0.2">
      <c r="A8" s="35">
        <v>40</v>
      </c>
      <c r="B8" s="38">
        <v>5.4599999999999998E-9</v>
      </c>
      <c r="C8" s="38">
        <v>9.7900000000000003E-10</v>
      </c>
      <c r="D8" s="38">
        <v>1.8690000000000001E-9</v>
      </c>
      <c r="E8" s="3"/>
      <c r="F8" s="38">
        <f t="shared" si="0"/>
        <v>2.1496062992125984E-7</v>
      </c>
      <c r="G8" s="38">
        <f t="shared" si="0"/>
        <v>3.854330708661418E-8</v>
      </c>
      <c r="H8" s="38">
        <f t="shared" si="0"/>
        <v>7.3582677165354342E-8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1"/>
    </row>
    <row r="9" spans="1:30" x14ac:dyDescent="0.2">
      <c r="A9" s="35">
        <v>60</v>
      </c>
      <c r="B9" s="38">
        <v>1.254E-8</v>
      </c>
      <c r="C9" s="38">
        <v>2.2200000000000002E-9</v>
      </c>
      <c r="D9" s="38">
        <v>4.2400000000000002E-9</v>
      </c>
      <c r="E9" s="3"/>
      <c r="F9" s="38">
        <f t="shared" si="0"/>
        <v>4.9370078740157486E-7</v>
      </c>
      <c r="G9" s="38">
        <f t="shared" si="0"/>
        <v>8.740157480314962E-8</v>
      </c>
      <c r="H9" s="38">
        <f t="shared" si="0"/>
        <v>1.6692913385826773E-7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D9" s="3"/>
    </row>
    <row r="10" spans="1:30" x14ac:dyDescent="0.2">
      <c r="A10" s="35">
        <v>80</v>
      </c>
      <c r="B10" s="38">
        <v>2.3000000000000001E-8</v>
      </c>
      <c r="C10" s="38">
        <v>4.1000000000000003E-9</v>
      </c>
      <c r="D10" s="38">
        <v>7.6199999999999997E-9</v>
      </c>
      <c r="E10" s="3"/>
      <c r="F10" s="38">
        <f t="shared" si="0"/>
        <v>9.0551181102362207E-7</v>
      </c>
      <c r="G10" s="38">
        <f t="shared" si="0"/>
        <v>1.614173228346457E-7</v>
      </c>
      <c r="H10" s="38">
        <f t="shared" si="0"/>
        <v>2.9999999999999999E-7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D10" s="3"/>
    </row>
    <row r="11" spans="1:30" x14ac:dyDescent="0.2">
      <c r="A11" s="35">
        <v>100</v>
      </c>
      <c r="B11" s="38">
        <v>3.7499999999999998E-8</v>
      </c>
      <c r="C11" s="38">
        <v>6.5599999999999997E-9</v>
      </c>
      <c r="D11" s="38">
        <v>1.215E-8</v>
      </c>
      <c r="E11" s="3"/>
      <c r="F11" s="38">
        <f t="shared" si="0"/>
        <v>1.4763779527559056E-6</v>
      </c>
      <c r="G11" s="38">
        <f t="shared" si="0"/>
        <v>2.5826771653543311E-7</v>
      </c>
      <c r="H11" s="38">
        <f t="shared" si="0"/>
        <v>4.783464566929134E-7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AD11" s="3"/>
    </row>
    <row r="12" spans="1:30" x14ac:dyDescent="0.2">
      <c r="A12" s="35">
        <v>120</v>
      </c>
      <c r="B12" s="38">
        <v>5.6799999999999992E-8</v>
      </c>
      <c r="C12" s="38">
        <v>9.8000000000000001E-9</v>
      </c>
      <c r="D12" s="38">
        <v>1.798E-8</v>
      </c>
      <c r="E12" s="3"/>
      <c r="F12" s="38">
        <f t="shared" si="0"/>
        <v>2.2362204724409446E-6</v>
      </c>
      <c r="G12" s="38">
        <f t="shared" si="0"/>
        <v>3.858267716535433E-7</v>
      </c>
      <c r="H12" s="38">
        <f t="shared" si="0"/>
        <v>7.0787401574803153E-7</v>
      </c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AD12" s="1"/>
    </row>
    <row r="13" spans="1:30" x14ac:dyDescent="0.2">
      <c r="A13" s="35">
        <v>140</v>
      </c>
      <c r="B13" s="38">
        <v>8.2399999999999997E-8</v>
      </c>
      <c r="C13" s="38">
        <v>1.3820000000000001E-8</v>
      </c>
      <c r="D13" s="38">
        <v>2.5510000000000001E-8</v>
      </c>
      <c r="E13" s="3"/>
      <c r="F13" s="38">
        <f t="shared" si="0"/>
        <v>3.2440944881889763E-6</v>
      </c>
      <c r="G13" s="38">
        <f t="shared" si="0"/>
        <v>5.4409448818897636E-7</v>
      </c>
      <c r="H13" s="38">
        <f t="shared" si="0"/>
        <v>1.0043307086614174E-6</v>
      </c>
      <c r="J13" s="1"/>
      <c r="K13" s="1"/>
      <c r="L13" s="1"/>
      <c r="M13" s="1"/>
      <c r="N13" s="1"/>
      <c r="O13" s="1"/>
      <c r="P13" s="1"/>
      <c r="Q13" s="1"/>
      <c r="R13" s="17"/>
      <c r="S13" s="9"/>
      <c r="T13" s="9"/>
      <c r="U13" s="9"/>
      <c r="AD13" s="6"/>
    </row>
    <row r="14" spans="1:30" x14ac:dyDescent="0.2">
      <c r="A14" s="35">
        <v>160</v>
      </c>
      <c r="B14" s="38">
        <v>1.158E-7</v>
      </c>
      <c r="C14" s="38">
        <v>1.8770000000000002E-8</v>
      </c>
      <c r="D14" s="38">
        <v>3.4999999999999996E-8</v>
      </c>
      <c r="E14" s="3"/>
      <c r="F14" s="38">
        <f t="shared" si="0"/>
        <v>4.5590551181102372E-6</v>
      </c>
      <c r="G14" s="38">
        <f t="shared" si="0"/>
        <v>7.38976377952756E-7</v>
      </c>
      <c r="H14" s="38">
        <f t="shared" si="0"/>
        <v>1.3779527559055117E-6</v>
      </c>
      <c r="J14" s="1"/>
      <c r="K14" s="1"/>
      <c r="L14" s="1"/>
      <c r="M14" s="1"/>
      <c r="N14" s="1"/>
      <c r="O14" s="1"/>
      <c r="P14" s="1"/>
      <c r="Q14" s="1"/>
      <c r="R14" s="17"/>
      <c r="S14" s="9"/>
      <c r="T14" s="9"/>
      <c r="U14" s="9"/>
      <c r="AD14" s="6"/>
    </row>
    <row r="15" spans="1:30" x14ac:dyDescent="0.2">
      <c r="A15" s="35">
        <v>180</v>
      </c>
      <c r="B15" s="38">
        <v>1.578E-7</v>
      </c>
      <c r="C15" s="38">
        <v>2.4600000000000002E-8</v>
      </c>
      <c r="D15" s="38">
        <v>4.6799999999999996E-8</v>
      </c>
      <c r="E15" s="3"/>
      <c r="F15" s="38">
        <f t="shared" si="0"/>
        <v>6.2125984251968506E-6</v>
      </c>
      <c r="G15" s="38">
        <f t="shared" si="0"/>
        <v>9.6850393700787414E-7</v>
      </c>
      <c r="H15" s="38">
        <f t="shared" si="0"/>
        <v>1.84251968503937E-6</v>
      </c>
      <c r="J15" s="1"/>
      <c r="K15" s="1"/>
      <c r="L15" s="1"/>
      <c r="M15" s="1"/>
      <c r="N15" s="1"/>
      <c r="O15" s="1"/>
      <c r="P15" s="1"/>
      <c r="Q15" s="1"/>
      <c r="R15" s="17"/>
      <c r="S15" s="1"/>
      <c r="T15" s="1"/>
      <c r="U15" s="1"/>
      <c r="AD15" s="6"/>
    </row>
    <row r="16" spans="1:30" x14ac:dyDescent="0.2">
      <c r="A16" s="35">
        <v>200</v>
      </c>
      <c r="B16" s="38">
        <v>2.051E-7</v>
      </c>
      <c r="C16" s="38">
        <v>3.1200000000000001E-8</v>
      </c>
      <c r="D16" s="38">
        <v>6.06E-8</v>
      </c>
      <c r="E16" s="3"/>
      <c r="F16" s="38">
        <f t="shared" si="0"/>
        <v>8.074803149606299E-6</v>
      </c>
      <c r="G16" s="38">
        <f t="shared" si="0"/>
        <v>1.2283464566929135E-6</v>
      </c>
      <c r="H16" s="38">
        <f t="shared" si="0"/>
        <v>2.3858267716535434E-6</v>
      </c>
      <c r="J16" s="1"/>
      <c r="K16" s="1"/>
      <c r="L16" s="1"/>
      <c r="M16" s="1"/>
      <c r="N16" s="1"/>
      <c r="O16" s="1"/>
      <c r="P16" s="1"/>
      <c r="Q16" s="1"/>
      <c r="R16" s="17"/>
      <c r="S16" s="1"/>
      <c r="T16" s="1"/>
      <c r="U16" s="1"/>
      <c r="AD16" s="6"/>
    </row>
    <row r="17" spans="1:30" x14ac:dyDescent="0.2">
      <c r="A17" s="35">
        <v>220</v>
      </c>
      <c r="B17" s="38">
        <v>2.4770000000000003E-7</v>
      </c>
      <c r="C17" s="38">
        <v>3.8300000000000005E-8</v>
      </c>
      <c r="D17" s="38">
        <v>7.4400000000000004E-8</v>
      </c>
      <c r="E17" s="3"/>
      <c r="F17" s="38">
        <f t="shared" si="0"/>
        <v>9.7519685039370088E-6</v>
      </c>
      <c r="G17" s="38">
        <f t="shared" si="0"/>
        <v>1.5078740157480316E-6</v>
      </c>
      <c r="H17" s="38">
        <f t="shared" si="0"/>
        <v>2.9291338582677169E-6</v>
      </c>
      <c r="J17" s="1"/>
      <c r="K17" s="1"/>
      <c r="L17" s="1"/>
      <c r="M17" s="1"/>
      <c r="N17" s="1"/>
      <c r="O17" s="1"/>
      <c r="P17" s="1"/>
      <c r="Q17" s="1"/>
      <c r="R17" s="17"/>
      <c r="S17" s="9"/>
      <c r="T17" s="9"/>
      <c r="U17" s="9"/>
      <c r="AD17" s="6"/>
    </row>
    <row r="18" spans="1:30" x14ac:dyDescent="0.2">
      <c r="A18" s="35">
        <v>240</v>
      </c>
      <c r="B18" s="38">
        <v>2.7999999999999997E-7</v>
      </c>
      <c r="C18" s="38">
        <v>4.58E-8</v>
      </c>
      <c r="D18" s="38">
        <v>8.6900000000000004E-8</v>
      </c>
      <c r="E18" s="3"/>
      <c r="F18" s="38">
        <f t="shared" si="0"/>
        <v>1.1023622047244094E-5</v>
      </c>
      <c r="G18" s="38">
        <f t="shared" si="0"/>
        <v>1.8031496062992128E-6</v>
      </c>
      <c r="H18" s="38">
        <f t="shared" si="0"/>
        <v>3.4212598425196852E-6</v>
      </c>
      <c r="J18" s="1"/>
      <c r="K18" s="1"/>
      <c r="L18" s="1"/>
      <c r="M18" s="1"/>
      <c r="N18" s="1"/>
      <c r="O18" s="1"/>
      <c r="P18" s="1"/>
      <c r="Q18" s="1"/>
      <c r="R18" s="17"/>
      <c r="S18" s="1"/>
      <c r="T18" s="1"/>
      <c r="U18" s="1"/>
      <c r="AD18" s="6"/>
    </row>
    <row r="19" spans="1:30" x14ac:dyDescent="0.2">
      <c r="A19" s="35">
        <v>260</v>
      </c>
      <c r="B19" s="38">
        <v>3.0800000000000001E-7</v>
      </c>
      <c r="C19" s="38">
        <v>5.4100000000000001E-8</v>
      </c>
      <c r="D19" s="38">
        <v>9.83E-8</v>
      </c>
      <c r="E19" s="3"/>
      <c r="F19" s="38">
        <f t="shared" si="0"/>
        <v>1.2125984251968505E-5</v>
      </c>
      <c r="G19" s="38">
        <f t="shared" si="0"/>
        <v>2.1299212598425198E-6</v>
      </c>
      <c r="H19" s="38">
        <f t="shared" si="0"/>
        <v>3.8700787401574803E-6</v>
      </c>
      <c r="J19" s="1"/>
      <c r="K19" s="1"/>
      <c r="L19" s="1"/>
      <c r="M19" s="1"/>
      <c r="N19" s="1"/>
      <c r="O19" s="1"/>
      <c r="P19" s="1"/>
      <c r="Q19" s="1"/>
      <c r="R19" s="17"/>
      <c r="S19" s="1"/>
      <c r="T19" s="1"/>
      <c r="U19" s="1"/>
      <c r="AD19" s="6"/>
    </row>
    <row r="20" spans="1:30" x14ac:dyDescent="0.2">
      <c r="A20" s="35">
        <v>280</v>
      </c>
      <c r="B20" s="38">
        <v>3.4000000000000003E-7</v>
      </c>
      <c r="C20" s="38">
        <v>6.3500000000000006E-8</v>
      </c>
      <c r="D20" s="38">
        <v>1.103E-7</v>
      </c>
      <c r="E20" s="3"/>
      <c r="F20" s="38">
        <f t="shared" si="0"/>
        <v>1.3385826771653545E-5</v>
      </c>
      <c r="G20" s="38">
        <f t="shared" si="0"/>
        <v>2.5000000000000006E-6</v>
      </c>
      <c r="H20" s="38">
        <f t="shared" si="0"/>
        <v>4.3425196850393706E-6</v>
      </c>
      <c r="J20" s="1"/>
      <c r="K20" s="1"/>
      <c r="L20" s="1"/>
      <c r="M20" s="1"/>
      <c r="N20" s="1"/>
      <c r="O20" s="1"/>
      <c r="P20" s="1"/>
      <c r="Q20" s="1"/>
      <c r="R20" s="17"/>
      <c r="S20" s="9"/>
      <c r="T20" s="9"/>
      <c r="U20" s="9"/>
      <c r="AD20" s="6"/>
    </row>
    <row r="21" spans="1:30" x14ac:dyDescent="0.2">
      <c r="A21" s="35">
        <v>300</v>
      </c>
      <c r="B21" s="38">
        <v>3.8200000000000001E-7</v>
      </c>
      <c r="C21" s="38">
        <v>7.3599999999999997E-8</v>
      </c>
      <c r="D21" s="38">
        <v>1.2410000000000001E-7</v>
      </c>
      <c r="E21" s="3"/>
      <c r="F21" s="38">
        <f t="shared" si="0"/>
        <v>1.5039370078740159E-5</v>
      </c>
      <c r="G21" s="38">
        <f t="shared" si="0"/>
        <v>2.8976377952755906E-6</v>
      </c>
      <c r="H21" s="38">
        <f t="shared" si="0"/>
        <v>4.885826771653544E-6</v>
      </c>
      <c r="J21" s="1"/>
      <c r="K21" s="1"/>
      <c r="L21" s="1"/>
      <c r="M21" s="1"/>
      <c r="N21" s="1"/>
      <c r="O21" s="1"/>
      <c r="P21" s="1"/>
      <c r="Q21" s="1"/>
      <c r="R21" s="17"/>
      <c r="S21" s="1"/>
      <c r="T21" s="1"/>
      <c r="U21" s="1"/>
      <c r="AD21" s="6"/>
    </row>
    <row r="22" spans="1:30" x14ac:dyDescent="0.2">
      <c r="A22" s="35">
        <v>320</v>
      </c>
      <c r="B22" s="38">
        <v>4.3199999999999995E-7</v>
      </c>
      <c r="C22" s="38">
        <v>8.3599999999999994E-8</v>
      </c>
      <c r="D22" s="38">
        <v>1.402E-7</v>
      </c>
      <c r="E22" s="3"/>
      <c r="F22" s="38">
        <f t="shared" si="0"/>
        <v>1.7007874015748029E-5</v>
      </c>
      <c r="G22" s="38">
        <f t="shared" si="0"/>
        <v>3.2913385826771657E-6</v>
      </c>
      <c r="H22" s="38">
        <f t="shared" si="0"/>
        <v>5.5196850393700783E-6</v>
      </c>
      <c r="J22" s="1"/>
      <c r="K22" s="1"/>
      <c r="L22" s="1"/>
      <c r="M22" s="1"/>
      <c r="N22" s="1"/>
      <c r="O22" s="1"/>
      <c r="P22" s="1"/>
      <c r="Q22" s="1"/>
      <c r="R22" s="17"/>
      <c r="S22" s="2"/>
      <c r="T22" s="2"/>
      <c r="U22" s="2"/>
      <c r="AD22" s="6"/>
    </row>
    <row r="23" spans="1:30" x14ac:dyDescent="0.2">
      <c r="A23" s="35">
        <v>340</v>
      </c>
      <c r="B23" s="38">
        <v>4.9100000000000004E-7</v>
      </c>
      <c r="C23" s="38">
        <v>9.3299999999999995E-8</v>
      </c>
      <c r="D23" s="38">
        <v>1.5939999999999998E-7</v>
      </c>
      <c r="E23" s="3"/>
      <c r="F23" s="38">
        <f t="shared" si="0"/>
        <v>1.9330708661417325E-5</v>
      </c>
      <c r="G23" s="38">
        <f t="shared" si="0"/>
        <v>3.6732283464566926E-6</v>
      </c>
      <c r="H23" s="38">
        <f t="shared" si="0"/>
        <v>6.2755905511811014E-6</v>
      </c>
      <c r="J23" s="1"/>
      <c r="K23" s="1"/>
      <c r="L23" s="1"/>
      <c r="M23" s="1"/>
      <c r="N23" s="1"/>
      <c r="O23" s="1"/>
      <c r="P23" s="1"/>
      <c r="Q23" s="1"/>
      <c r="R23" s="17"/>
      <c r="S23" s="3"/>
      <c r="T23" s="3"/>
      <c r="U23" s="3"/>
      <c r="AD23" s="6"/>
    </row>
    <row r="24" spans="1:30" x14ac:dyDescent="0.2">
      <c r="A24" s="35">
        <v>360</v>
      </c>
      <c r="B24" s="38">
        <v>5.5899999999999996E-7</v>
      </c>
      <c r="C24" s="38">
        <v>1.0270000000000001E-7</v>
      </c>
      <c r="D24" s="38">
        <v>1.828E-7</v>
      </c>
      <c r="E24" s="3"/>
      <c r="F24" s="38">
        <f t="shared" si="0"/>
        <v>2.2007874015748028E-5</v>
      </c>
      <c r="G24" s="38">
        <f t="shared" si="0"/>
        <v>4.0433070866141738E-6</v>
      </c>
      <c r="H24" s="38">
        <f t="shared" si="0"/>
        <v>7.1968503937007881E-6</v>
      </c>
      <c r="J24" s="1"/>
      <c r="K24" s="1"/>
      <c r="L24" s="1"/>
      <c r="M24" s="1"/>
      <c r="N24" s="1"/>
      <c r="O24" s="1"/>
      <c r="P24" s="1"/>
      <c r="Q24" s="1"/>
      <c r="R24" s="17"/>
      <c r="S24" s="9"/>
      <c r="T24" s="9"/>
      <c r="U24" s="9"/>
      <c r="AD24" s="6"/>
    </row>
    <row r="25" spans="1:30" x14ac:dyDescent="0.2">
      <c r="A25" s="35">
        <v>380</v>
      </c>
      <c r="B25" s="38">
        <v>6.3799999999999997E-7</v>
      </c>
      <c r="C25" s="38">
        <v>1.117E-7</v>
      </c>
      <c r="D25" s="38">
        <v>2.0940000000000001E-7</v>
      </c>
      <c r="E25" s="3"/>
      <c r="F25" s="38">
        <f t="shared" si="0"/>
        <v>2.5118110236220474E-5</v>
      </c>
      <c r="G25" s="38">
        <f t="shared" si="0"/>
        <v>4.3976377952755907E-6</v>
      </c>
      <c r="H25" s="38">
        <f t="shared" si="0"/>
        <v>8.2440944881889772E-6</v>
      </c>
      <c r="J25" s="1"/>
      <c r="K25" s="1"/>
      <c r="L25" s="1"/>
      <c r="M25" s="1"/>
      <c r="N25" s="1"/>
      <c r="O25" s="1"/>
      <c r="P25" s="1"/>
      <c r="Q25" s="1"/>
      <c r="R25" s="17"/>
      <c r="S25" s="9"/>
      <c r="T25" s="9"/>
      <c r="U25" s="9"/>
      <c r="AD25" s="6"/>
    </row>
    <row r="26" spans="1:30" x14ac:dyDescent="0.2">
      <c r="A26" s="35">
        <v>400</v>
      </c>
      <c r="B26" s="38">
        <v>7.2800000000000006E-7</v>
      </c>
      <c r="C26" s="38">
        <v>1.205E-7</v>
      </c>
      <c r="D26" s="38">
        <v>2.41E-7</v>
      </c>
      <c r="E26" s="3"/>
      <c r="F26" s="38">
        <f t="shared" si="0"/>
        <v>2.8661417322834647E-5</v>
      </c>
      <c r="G26" s="38">
        <f t="shared" si="0"/>
        <v>4.7440944881889768E-6</v>
      </c>
      <c r="H26" s="38">
        <f t="shared" si="0"/>
        <v>9.4881889763779536E-6</v>
      </c>
      <c r="J26" s="1"/>
      <c r="K26" s="1"/>
      <c r="L26" s="1"/>
      <c r="M26" s="1"/>
      <c r="N26" s="1"/>
      <c r="O26" s="1"/>
      <c r="P26" s="1"/>
      <c r="Q26" s="1"/>
      <c r="R26" s="17"/>
      <c r="S26" s="1"/>
      <c r="T26" s="1"/>
      <c r="U26" s="1"/>
      <c r="AD26" s="6"/>
    </row>
    <row r="27" spans="1:30" x14ac:dyDescent="0.2">
      <c r="A27" s="35">
        <v>420</v>
      </c>
      <c r="B27" s="38">
        <v>8.3300000000000001E-7</v>
      </c>
      <c r="C27" s="38">
        <v>1.2919999999999999E-7</v>
      </c>
      <c r="D27" s="38">
        <v>2.7679999999999999E-7</v>
      </c>
      <c r="E27" s="3"/>
      <c r="F27" s="38">
        <f t="shared" si="0"/>
        <v>3.279527559055118E-5</v>
      </c>
      <c r="G27" s="38">
        <f t="shared" si="0"/>
        <v>5.0866141732283467E-6</v>
      </c>
      <c r="H27" s="38">
        <f t="shared" si="0"/>
        <v>1.0897637795275592E-5</v>
      </c>
      <c r="J27" s="1"/>
      <c r="K27" s="1"/>
      <c r="L27" s="1"/>
      <c r="M27" s="1"/>
      <c r="N27" s="1"/>
      <c r="O27" s="1"/>
      <c r="P27" s="1"/>
      <c r="Q27" s="1"/>
      <c r="R27" s="17"/>
      <c r="S27" s="1"/>
      <c r="T27" s="1"/>
      <c r="U27" s="1"/>
      <c r="AD27" s="6"/>
    </row>
    <row r="28" spans="1:30" x14ac:dyDescent="0.2">
      <c r="A28" s="35">
        <v>440</v>
      </c>
      <c r="B28" s="38">
        <v>9.5099999999999998E-7</v>
      </c>
      <c r="C28" s="38">
        <v>1.3750000000000001E-7</v>
      </c>
      <c r="D28" s="38">
        <v>3.178E-7</v>
      </c>
      <c r="E28" s="3"/>
      <c r="F28" s="38">
        <f t="shared" si="0"/>
        <v>3.7440944881889766E-5</v>
      </c>
      <c r="G28" s="38">
        <f t="shared" si="0"/>
        <v>5.4133858267716544E-6</v>
      </c>
      <c r="H28" s="38">
        <f t="shared" si="0"/>
        <v>1.2511811023622049E-5</v>
      </c>
      <c r="J28" s="1"/>
      <c r="K28" s="1"/>
      <c r="L28" s="1"/>
      <c r="M28" s="1"/>
      <c r="N28" s="1"/>
      <c r="O28" s="1"/>
      <c r="P28" s="1"/>
      <c r="Q28" s="1"/>
      <c r="R28" s="17"/>
      <c r="S28" s="9"/>
      <c r="T28" s="9"/>
      <c r="U28" s="9"/>
      <c r="AD28" s="6"/>
    </row>
    <row r="29" spans="1:30" x14ac:dyDescent="0.2">
      <c r="A29" s="35">
        <v>460</v>
      </c>
      <c r="B29" s="38">
        <v>1.08E-6</v>
      </c>
      <c r="C29" s="38">
        <v>1.4629999999999998E-7</v>
      </c>
      <c r="D29" s="38">
        <v>3.6210000000000005E-7</v>
      </c>
      <c r="E29" s="3"/>
      <c r="F29" s="38">
        <f t="shared" si="0"/>
        <v>4.2519685039370082E-5</v>
      </c>
      <c r="G29" s="38">
        <f t="shared" si="0"/>
        <v>5.7598425196850388E-6</v>
      </c>
      <c r="H29" s="38">
        <f t="shared" si="0"/>
        <v>1.4255905511811026E-5</v>
      </c>
      <c r="J29" s="1"/>
      <c r="K29" s="1"/>
      <c r="L29" s="1"/>
      <c r="M29" s="1"/>
      <c r="N29" s="1"/>
      <c r="O29" s="1"/>
      <c r="P29" s="1"/>
      <c r="Q29" s="1"/>
      <c r="R29" s="17"/>
      <c r="S29" s="1"/>
      <c r="T29" s="1"/>
      <c r="U29" s="1"/>
      <c r="AD29" s="6"/>
    </row>
    <row r="30" spans="1:30" x14ac:dyDescent="0.2">
      <c r="A30" s="35">
        <v>480</v>
      </c>
      <c r="B30" s="38">
        <v>1.1999999999999999E-6</v>
      </c>
      <c r="C30" s="38">
        <v>1.5580000000000001E-7</v>
      </c>
      <c r="D30" s="38">
        <v>4.066E-7</v>
      </c>
      <c r="E30" s="3"/>
      <c r="F30" s="38">
        <f t="shared" si="0"/>
        <v>4.7244094488188978E-5</v>
      </c>
      <c r="G30" s="38">
        <f t="shared" si="0"/>
        <v>6.1338582677165358E-6</v>
      </c>
      <c r="H30" s="38">
        <f t="shared" si="0"/>
        <v>1.6007874015748032E-5</v>
      </c>
      <c r="J30" s="1"/>
      <c r="K30" s="1"/>
      <c r="L30" s="1"/>
      <c r="M30" s="1"/>
      <c r="N30" s="1"/>
      <c r="O30" s="1"/>
      <c r="P30" s="1"/>
      <c r="Q30" s="1"/>
      <c r="R30" s="17"/>
      <c r="S30" s="1"/>
      <c r="T30" s="1"/>
      <c r="U30" s="1"/>
      <c r="AD30" s="6"/>
    </row>
    <row r="31" spans="1:30" x14ac:dyDescent="0.2">
      <c r="A31" s="35">
        <v>500</v>
      </c>
      <c r="B31" s="38">
        <v>1.328E-6</v>
      </c>
      <c r="C31" s="38">
        <v>1.6820000000000001E-7</v>
      </c>
      <c r="D31" s="38">
        <v>4.5049999999999996E-7</v>
      </c>
      <c r="E31" s="3"/>
      <c r="F31" s="38">
        <f t="shared" si="0"/>
        <v>5.2283464566929136E-5</v>
      </c>
      <c r="G31" s="38">
        <f t="shared" si="0"/>
        <v>6.6220472440944892E-6</v>
      </c>
      <c r="H31" s="38">
        <f t="shared" si="0"/>
        <v>1.7736220472440944E-5</v>
      </c>
      <c r="J31" s="1"/>
      <c r="K31" s="1"/>
      <c r="L31" s="1"/>
      <c r="M31" s="1"/>
      <c r="N31" s="1"/>
      <c r="O31" s="1"/>
      <c r="P31" s="1"/>
      <c r="Q31" s="1"/>
      <c r="R31" s="17"/>
      <c r="S31" s="9"/>
      <c r="T31" s="9"/>
      <c r="U31" s="9"/>
      <c r="AD31" s="6"/>
    </row>
    <row r="32" spans="1:30" x14ac:dyDescent="0.2">
      <c r="A32" s="35">
        <v>520</v>
      </c>
      <c r="B32" s="38">
        <v>1.4359999999999999E-6</v>
      </c>
      <c r="C32" s="38">
        <v>1.825E-7</v>
      </c>
      <c r="D32" s="38">
        <v>4.9150000000000008E-7</v>
      </c>
      <c r="E32" s="3"/>
      <c r="F32" s="38">
        <f t="shared" si="0"/>
        <v>5.6535433070866142E-5</v>
      </c>
      <c r="G32" s="38">
        <f t="shared" si="0"/>
        <v>7.1850393700787403E-6</v>
      </c>
      <c r="H32" s="38">
        <f t="shared" si="0"/>
        <v>1.9350393700787404E-5</v>
      </c>
      <c r="J32" s="1"/>
      <c r="K32" s="1"/>
      <c r="L32" s="1"/>
      <c r="M32" s="1"/>
      <c r="N32" s="1"/>
      <c r="O32" s="1"/>
      <c r="P32" s="1"/>
      <c r="Q32" s="1"/>
      <c r="R32" s="17"/>
      <c r="S32" s="1"/>
      <c r="T32" s="1"/>
      <c r="U32" s="1"/>
      <c r="AD32" s="6"/>
    </row>
    <row r="33" spans="1:30" x14ac:dyDescent="0.2">
      <c r="A33" s="35">
        <v>540</v>
      </c>
      <c r="B33" s="38">
        <v>1.5239999999999999E-6</v>
      </c>
      <c r="C33" s="38">
        <v>1.998E-7</v>
      </c>
      <c r="D33" s="38">
        <v>5.257999999999999E-7</v>
      </c>
      <c r="E33" s="3"/>
      <c r="F33" s="38">
        <f t="shared" si="0"/>
        <v>6.0000000000000002E-5</v>
      </c>
      <c r="G33" s="38">
        <f t="shared" si="0"/>
        <v>7.8661417322834656E-6</v>
      </c>
      <c r="H33" s="38">
        <f t="shared" si="0"/>
        <v>2.0700787401574798E-5</v>
      </c>
      <c r="J33" s="1"/>
      <c r="K33" s="1"/>
      <c r="L33" s="1"/>
      <c r="M33" s="1"/>
      <c r="N33" s="1"/>
      <c r="O33" s="1"/>
      <c r="P33" s="1"/>
      <c r="Q33" s="1"/>
      <c r="R33" s="17"/>
      <c r="S33" s="1"/>
      <c r="T33" s="1"/>
      <c r="U33" s="1"/>
      <c r="AD33" s="6"/>
    </row>
    <row r="34" spans="1:30" x14ac:dyDescent="0.2">
      <c r="A34" s="35">
        <v>560</v>
      </c>
      <c r="B34" s="38">
        <v>1.592E-6</v>
      </c>
      <c r="C34" s="38">
        <v>2.2020000000000003E-7</v>
      </c>
      <c r="D34" s="38">
        <v>5.5229999999999999E-7</v>
      </c>
      <c r="E34" s="3"/>
      <c r="F34" s="38">
        <f t="shared" si="0"/>
        <v>6.2677165354330702E-5</v>
      </c>
      <c r="G34" s="38">
        <f t="shared" si="0"/>
        <v>8.6692913385826798E-6</v>
      </c>
      <c r="H34" s="38">
        <f t="shared" si="0"/>
        <v>2.1744094488188978E-5</v>
      </c>
      <c r="J34" s="1"/>
      <c r="K34" s="1"/>
      <c r="L34" s="1"/>
      <c r="M34" s="1"/>
      <c r="N34" s="1"/>
      <c r="O34" s="1"/>
      <c r="P34" s="1"/>
      <c r="Q34" s="1"/>
      <c r="R34" s="17"/>
      <c r="S34" s="1"/>
      <c r="T34" s="1"/>
      <c r="U34" s="1"/>
      <c r="AD34" s="6"/>
    </row>
    <row r="35" spans="1:30" x14ac:dyDescent="0.2">
      <c r="A35" s="35">
        <v>580</v>
      </c>
      <c r="B35" s="38">
        <v>1.64E-6</v>
      </c>
      <c r="C35" s="38">
        <v>2.4260000000000002E-7</v>
      </c>
      <c r="D35" s="38">
        <v>5.7390000000000002E-7</v>
      </c>
      <c r="E35" s="3"/>
      <c r="F35" s="38">
        <f t="shared" si="0"/>
        <v>6.4566929133858276E-5</v>
      </c>
      <c r="G35" s="38">
        <f t="shared" si="0"/>
        <v>9.5511811023622061E-6</v>
      </c>
      <c r="H35" s="38">
        <f t="shared" si="0"/>
        <v>2.259448818897638E-5</v>
      </c>
      <c r="J35" s="1"/>
      <c r="K35" s="1"/>
      <c r="L35" s="1"/>
      <c r="M35" s="1"/>
      <c r="N35" s="1"/>
      <c r="O35" s="1"/>
      <c r="P35" s="1"/>
      <c r="Q35" s="1"/>
      <c r="R35" s="17"/>
      <c r="S35" s="1"/>
      <c r="T35" s="1"/>
      <c r="U35" s="1"/>
      <c r="AD35" s="6"/>
    </row>
    <row r="36" spans="1:30" x14ac:dyDescent="0.2">
      <c r="A36" s="35">
        <v>600</v>
      </c>
      <c r="B36" s="38">
        <v>1.669E-6</v>
      </c>
      <c r="C36" s="38">
        <v>2.6810000000000003E-7</v>
      </c>
      <c r="D36" s="38">
        <v>5.8969999999999994E-7</v>
      </c>
      <c r="E36" s="3"/>
      <c r="F36" s="38">
        <f t="shared" si="0"/>
        <v>6.570866141732285E-5</v>
      </c>
      <c r="G36" s="38">
        <f t="shared" si="0"/>
        <v>1.0555118110236221E-5</v>
      </c>
      <c r="H36" s="38">
        <f t="shared" si="0"/>
        <v>2.3216535433070866E-5</v>
      </c>
      <c r="J36" s="1"/>
      <c r="K36" s="1"/>
      <c r="L36" s="1"/>
      <c r="M36" s="1"/>
      <c r="N36" s="1"/>
      <c r="O36" s="1"/>
      <c r="P36" s="1"/>
      <c r="Q36" s="1"/>
      <c r="R36" s="17"/>
      <c r="S36" s="1"/>
      <c r="T36" s="1"/>
      <c r="U36" s="1"/>
      <c r="AD36" s="6"/>
    </row>
    <row r="37" spans="1:30" x14ac:dyDescent="0.2">
      <c r="A37" s="35">
        <v>620</v>
      </c>
      <c r="B37" s="38">
        <v>1.677E-6</v>
      </c>
      <c r="C37" s="38">
        <v>2.946E-7</v>
      </c>
      <c r="D37" s="38">
        <v>6.0150000000000009E-7</v>
      </c>
      <c r="E37" s="3"/>
      <c r="F37" s="38">
        <f t="shared" si="0"/>
        <v>6.6023622047244092E-5</v>
      </c>
      <c r="G37" s="38">
        <f t="shared" si="0"/>
        <v>1.1598425196850395E-5</v>
      </c>
      <c r="H37" s="38">
        <f t="shared" si="0"/>
        <v>2.3681102362204727E-5</v>
      </c>
      <c r="J37" s="1"/>
      <c r="K37" s="1"/>
      <c r="L37" s="1"/>
      <c r="M37" s="1"/>
      <c r="N37" s="1"/>
      <c r="O37" s="1"/>
      <c r="P37" s="1"/>
      <c r="Q37" s="1"/>
      <c r="R37" s="17"/>
      <c r="S37" s="1"/>
      <c r="T37" s="1"/>
      <c r="U37" s="1"/>
      <c r="AD37" s="6"/>
    </row>
    <row r="38" spans="1:30" x14ac:dyDescent="0.2">
      <c r="A38" s="35">
        <v>640</v>
      </c>
      <c r="B38" s="38">
        <v>1.686E-6</v>
      </c>
      <c r="C38" s="38">
        <v>3.2210000000000001E-7</v>
      </c>
      <c r="D38" s="38">
        <v>6.1149999999999999E-7</v>
      </c>
      <c r="E38" s="3"/>
      <c r="F38" s="38">
        <f t="shared" si="0"/>
        <v>6.637795275590552E-5</v>
      </c>
      <c r="G38" s="38">
        <f t="shared" si="0"/>
        <v>1.2681102362204726E-5</v>
      </c>
      <c r="H38" s="38">
        <f t="shared" si="0"/>
        <v>2.40748031496063E-5</v>
      </c>
      <c r="J38" s="1"/>
      <c r="K38" s="1"/>
      <c r="L38" s="1"/>
      <c r="M38" s="1"/>
      <c r="N38" s="1"/>
      <c r="O38" s="1"/>
      <c r="P38" s="1"/>
      <c r="Q38" s="1"/>
      <c r="R38" s="17"/>
      <c r="S38" s="1"/>
      <c r="T38" s="1"/>
      <c r="U38" s="1"/>
      <c r="AD38" s="6"/>
    </row>
    <row r="39" spans="1:30" x14ac:dyDescent="0.2">
      <c r="A39" s="35">
        <v>660</v>
      </c>
      <c r="B39" s="38">
        <v>1.674E-6</v>
      </c>
      <c r="C39" s="38">
        <v>3.4849999999999998E-7</v>
      </c>
      <c r="D39" s="38">
        <v>6.2050000000000003E-7</v>
      </c>
      <c r="E39" s="3"/>
      <c r="F39" s="38">
        <f t="shared" si="0"/>
        <v>6.5905511811023616E-5</v>
      </c>
      <c r="G39" s="38">
        <f t="shared" si="0"/>
        <v>1.3720472440944882E-5</v>
      </c>
      <c r="H39" s="38">
        <f t="shared" si="0"/>
        <v>2.4429133858267721E-5</v>
      </c>
      <c r="J39" s="1"/>
      <c r="K39" s="1"/>
      <c r="L39" s="1"/>
      <c r="M39" s="1"/>
      <c r="N39" s="1"/>
      <c r="O39" s="1"/>
      <c r="P39" s="1"/>
      <c r="Q39" s="1"/>
      <c r="R39" s="17"/>
      <c r="S39" s="1"/>
      <c r="T39" s="1"/>
      <c r="U39" s="1"/>
      <c r="AD39" s="6"/>
    </row>
    <row r="40" spans="1:30" x14ac:dyDescent="0.2">
      <c r="A40" s="35">
        <v>680</v>
      </c>
      <c r="B40" s="38">
        <v>1.6529999999999999E-6</v>
      </c>
      <c r="C40" s="38">
        <v>3.7580000000000002E-7</v>
      </c>
      <c r="D40" s="38">
        <v>6.2870000000000001E-7</v>
      </c>
      <c r="E40" s="3"/>
      <c r="F40" s="38">
        <f t="shared" si="0"/>
        <v>6.5078740157480312E-5</v>
      </c>
      <c r="G40" s="38">
        <f t="shared" si="0"/>
        <v>1.4795275590551183E-5</v>
      </c>
      <c r="H40" s="38">
        <f t="shared" si="0"/>
        <v>2.4751968503937013E-5</v>
      </c>
      <c r="J40" s="1"/>
      <c r="K40" s="1"/>
      <c r="L40" s="1"/>
      <c r="M40" s="1"/>
      <c r="N40" s="1"/>
      <c r="O40" s="1"/>
      <c r="P40" s="1"/>
      <c r="Q40" s="1"/>
      <c r="R40" s="17"/>
      <c r="S40" s="1"/>
      <c r="T40" s="1"/>
      <c r="U40" s="1"/>
      <c r="AD40" s="6"/>
    </row>
    <row r="41" spans="1:30" x14ac:dyDescent="0.2">
      <c r="A41" s="35">
        <v>700</v>
      </c>
      <c r="B41" s="38">
        <v>1.6309999999999999E-6</v>
      </c>
      <c r="C41" s="38">
        <v>4.009E-7</v>
      </c>
      <c r="D41" s="38">
        <v>6.3809999999999998E-7</v>
      </c>
      <c r="E41" s="3"/>
      <c r="F41" s="38">
        <f t="shared" si="0"/>
        <v>6.4212598425196848E-5</v>
      </c>
      <c r="G41" s="38">
        <f t="shared" si="0"/>
        <v>1.5783464566929133E-5</v>
      </c>
      <c r="H41" s="38">
        <f t="shared" si="0"/>
        <v>2.5122047244094488E-5</v>
      </c>
      <c r="J41" s="1"/>
      <c r="K41" s="1"/>
      <c r="L41" s="1"/>
      <c r="M41" s="1"/>
      <c r="N41" s="1"/>
      <c r="O41" s="1"/>
      <c r="P41" s="1"/>
      <c r="Q41" s="1"/>
      <c r="R41" s="17"/>
      <c r="S41" s="1"/>
      <c r="T41" s="1"/>
      <c r="U41" s="1"/>
      <c r="AD41" s="6"/>
    </row>
    <row r="42" spans="1:30" x14ac:dyDescent="0.2">
      <c r="A42" s="35">
        <v>720</v>
      </c>
      <c r="B42" s="38">
        <v>1.598E-6</v>
      </c>
      <c r="C42" s="38">
        <v>4.2400000000000004E-7</v>
      </c>
      <c r="D42" s="38">
        <v>6.4799999999999998E-7</v>
      </c>
      <c r="E42" s="3"/>
      <c r="F42" s="38">
        <f t="shared" si="0"/>
        <v>6.2913385826771654E-5</v>
      </c>
      <c r="G42" s="38">
        <f t="shared" si="0"/>
        <v>1.6692913385826777E-5</v>
      </c>
      <c r="H42" s="38">
        <f t="shared" si="0"/>
        <v>2.551181102362205E-5</v>
      </c>
      <c r="J42" s="1"/>
      <c r="K42" s="1"/>
      <c r="L42" s="1"/>
      <c r="M42" s="1"/>
      <c r="N42" s="1"/>
      <c r="O42" s="1"/>
      <c r="P42" s="1"/>
      <c r="Q42" s="1"/>
      <c r="R42" s="17"/>
      <c r="S42" s="2"/>
      <c r="T42" s="2"/>
      <c r="U42" s="2"/>
      <c r="AD42" s="6"/>
    </row>
    <row r="43" spans="1:30" x14ac:dyDescent="0.2">
      <c r="A43" s="35">
        <v>740</v>
      </c>
      <c r="B43" s="38">
        <v>1.5650000000000001E-6</v>
      </c>
      <c r="C43" s="38">
        <v>4.4499999999999997E-7</v>
      </c>
      <c r="D43" s="38">
        <v>6.5860000000000003E-7</v>
      </c>
      <c r="E43" s="3"/>
      <c r="F43" s="38">
        <f t="shared" si="0"/>
        <v>6.1614173228346459E-5</v>
      </c>
      <c r="G43" s="38">
        <f t="shared" si="0"/>
        <v>1.7519685039370078E-5</v>
      </c>
      <c r="H43" s="38">
        <f t="shared" si="0"/>
        <v>2.592913385826772E-5</v>
      </c>
      <c r="J43" s="1"/>
      <c r="K43" s="1"/>
      <c r="L43" s="1"/>
      <c r="M43" s="1"/>
      <c r="N43" s="1"/>
      <c r="O43" s="1"/>
      <c r="P43" s="1"/>
      <c r="Q43" s="1"/>
      <c r="R43" s="17"/>
      <c r="S43" s="3"/>
      <c r="T43" s="3"/>
      <c r="U43" s="3"/>
      <c r="AD43" s="6"/>
    </row>
    <row r="44" spans="1:30" x14ac:dyDescent="0.2">
      <c r="A44" s="35">
        <v>760</v>
      </c>
      <c r="B44" s="38">
        <v>1.5230000000000001E-6</v>
      </c>
      <c r="C44" s="38">
        <v>4.63E-7</v>
      </c>
      <c r="D44" s="38">
        <v>6.7090000000000001E-7</v>
      </c>
      <c r="E44" s="3"/>
      <c r="F44" s="38">
        <f t="shared" si="0"/>
        <v>5.996062992125985E-5</v>
      </c>
      <c r="G44" s="38">
        <f t="shared" si="0"/>
        <v>1.8228346456692913E-5</v>
      </c>
      <c r="H44" s="38">
        <f t="shared" si="0"/>
        <v>2.6413385826771654E-5</v>
      </c>
      <c r="J44" s="1"/>
      <c r="K44" s="1"/>
      <c r="L44" s="1"/>
      <c r="M44" s="1"/>
      <c r="N44" s="1"/>
      <c r="O44" s="1"/>
      <c r="P44" s="1"/>
      <c r="Q44" s="1"/>
      <c r="R44" s="17"/>
      <c r="S44" s="1"/>
      <c r="T44" s="1"/>
      <c r="U44" s="1"/>
      <c r="AD44" s="6"/>
    </row>
    <row r="45" spans="1:30" x14ac:dyDescent="0.2">
      <c r="A45" s="35">
        <v>780</v>
      </c>
      <c r="B45" s="38">
        <v>1.4900000000000001E-6</v>
      </c>
      <c r="C45" s="38">
        <v>4.7999999999999996E-7</v>
      </c>
      <c r="D45" s="38">
        <v>6.8510000000000001E-7</v>
      </c>
      <c r="E45" s="3"/>
      <c r="F45" s="38">
        <f t="shared" si="0"/>
        <v>5.8661417322834655E-5</v>
      </c>
      <c r="G45" s="38">
        <f t="shared" si="0"/>
        <v>1.889763779527559E-5</v>
      </c>
      <c r="H45" s="38">
        <f t="shared" si="0"/>
        <v>2.6972440944881891E-5</v>
      </c>
      <c r="J45" s="1"/>
      <c r="K45" s="1"/>
      <c r="L45" s="1"/>
      <c r="M45" s="1"/>
      <c r="N45" s="1"/>
      <c r="O45" s="1"/>
      <c r="P45" s="1"/>
      <c r="Q45" s="1"/>
      <c r="R45" s="17"/>
      <c r="S45" s="1"/>
      <c r="T45" s="1"/>
      <c r="U45" s="1"/>
      <c r="AD45" s="6"/>
    </row>
    <row r="46" spans="1:30" x14ac:dyDescent="0.2">
      <c r="A46" s="35">
        <v>800</v>
      </c>
      <c r="B46" s="38">
        <v>1.4470000000000001E-6</v>
      </c>
      <c r="C46" s="38">
        <v>4.9420000000000007E-7</v>
      </c>
      <c r="D46" s="38">
        <v>7.0050000000000001E-7</v>
      </c>
      <c r="E46" s="3"/>
      <c r="F46" s="38">
        <f t="shared" si="0"/>
        <v>5.696850393700788E-5</v>
      </c>
      <c r="G46" s="38">
        <f t="shared" si="0"/>
        <v>1.945669291338583E-5</v>
      </c>
      <c r="H46" s="38">
        <f t="shared" si="0"/>
        <v>2.7578740157480318E-5</v>
      </c>
      <c r="J46" s="1"/>
      <c r="K46" s="1"/>
      <c r="L46" s="1"/>
      <c r="M46" s="1"/>
      <c r="N46" s="1"/>
      <c r="O46" s="1"/>
      <c r="P46" s="1"/>
      <c r="Q46" s="1"/>
      <c r="R46" s="17"/>
      <c r="S46" s="1"/>
      <c r="T46" s="1"/>
      <c r="U46" s="1"/>
      <c r="AD46" s="5"/>
    </row>
    <row r="47" spans="1:30" x14ac:dyDescent="0.2">
      <c r="A47" s="35">
        <v>820</v>
      </c>
      <c r="B47" s="38">
        <v>1.404E-6</v>
      </c>
      <c r="C47" s="38">
        <v>5.0640000000000003E-7</v>
      </c>
      <c r="D47" s="38">
        <v>7.1689999999999997E-7</v>
      </c>
      <c r="E47" s="3"/>
      <c r="F47" s="38">
        <f t="shared" si="0"/>
        <v>5.5275590551181106E-5</v>
      </c>
      <c r="G47" s="38">
        <f t="shared" si="0"/>
        <v>1.9937007874015753E-5</v>
      </c>
      <c r="H47" s="38">
        <f t="shared" si="0"/>
        <v>2.8224409448818894E-5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D47" s="6"/>
    </row>
    <row r="48" spans="1:30" x14ac:dyDescent="0.2">
      <c r="A48" s="35">
        <v>840</v>
      </c>
      <c r="B48" s="38">
        <v>1.362E-6</v>
      </c>
      <c r="C48" s="38">
        <v>5.1669999999999996E-7</v>
      </c>
      <c r="D48" s="38">
        <v>7.3439999999999991E-7</v>
      </c>
      <c r="E48" s="3"/>
      <c r="F48" s="38">
        <f t="shared" si="0"/>
        <v>5.3622047244094497E-5</v>
      </c>
      <c r="G48" s="38">
        <f t="shared" si="0"/>
        <v>2.0342519685039369E-5</v>
      </c>
      <c r="H48" s="38">
        <f t="shared" si="0"/>
        <v>2.891338582677165E-5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D48" s="3"/>
    </row>
    <row r="49" spans="1:30" x14ac:dyDescent="0.2">
      <c r="A49" s="35">
        <v>860</v>
      </c>
      <c r="B49" s="38">
        <v>1.319E-6</v>
      </c>
      <c r="C49" s="38">
        <v>5.2509999999999996E-7</v>
      </c>
      <c r="D49" s="38">
        <v>7.5430000000000002E-7</v>
      </c>
      <c r="E49" s="3"/>
      <c r="F49" s="38">
        <f t="shared" si="0"/>
        <v>5.1929133858267722E-5</v>
      </c>
      <c r="G49" s="38">
        <f t="shared" si="0"/>
        <v>2.0673228346456689E-5</v>
      </c>
      <c r="H49" s="38">
        <f t="shared" si="0"/>
        <v>2.9696850393700792E-5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D49" s="3"/>
    </row>
    <row r="50" spans="1:30" x14ac:dyDescent="0.2">
      <c r="A50" s="35">
        <v>880</v>
      </c>
      <c r="B50" s="38">
        <v>1.277E-6</v>
      </c>
      <c r="C50" s="38">
        <v>5.3249999999999998E-7</v>
      </c>
      <c r="D50" s="38">
        <v>7.7690000000000003E-7</v>
      </c>
      <c r="E50" s="3"/>
      <c r="F50" s="38">
        <f t="shared" si="0"/>
        <v>5.0275590551181099E-5</v>
      </c>
      <c r="G50" s="38">
        <f t="shared" si="0"/>
        <v>2.0964566929133858E-5</v>
      </c>
      <c r="H50" s="38">
        <f t="shared" si="0"/>
        <v>3.0586614173228349E-5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D50" s="3"/>
    </row>
    <row r="51" spans="1:30" x14ac:dyDescent="0.2">
      <c r="A51" s="35">
        <v>900</v>
      </c>
      <c r="B51" s="38">
        <v>1.235E-6</v>
      </c>
      <c r="C51" s="38">
        <v>5.3899999999999994E-7</v>
      </c>
      <c r="D51" s="38">
        <v>8.0139999999999996E-7</v>
      </c>
      <c r="E51" s="3"/>
      <c r="F51" s="38">
        <f t="shared" si="0"/>
        <v>4.862204724409449E-5</v>
      </c>
      <c r="G51" s="38">
        <f t="shared" si="0"/>
        <v>2.1220472440944883E-5</v>
      </c>
      <c r="H51" s="38">
        <f t="shared" si="0"/>
        <v>3.1551181102362202E-5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D51" s="4"/>
    </row>
    <row r="52" spans="1:30" x14ac:dyDescent="0.2">
      <c r="A52" s="35">
        <v>920</v>
      </c>
      <c r="B52" s="38">
        <v>1.1930000000000001E-6</v>
      </c>
      <c r="C52" s="38">
        <v>5.4360000000000008E-7</v>
      </c>
      <c r="D52" s="38">
        <v>8.2880000000000001E-7</v>
      </c>
      <c r="E52" s="3"/>
      <c r="F52" s="38">
        <f t="shared" si="0"/>
        <v>4.6968503937007881E-5</v>
      </c>
      <c r="G52" s="38">
        <f t="shared" si="0"/>
        <v>2.1401574803149611E-5</v>
      </c>
      <c r="H52" s="38">
        <f t="shared" si="0"/>
        <v>3.2629921259842523E-5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D52" s="4"/>
    </row>
    <row r="53" spans="1:30" x14ac:dyDescent="0.2">
      <c r="A53" s="35">
        <v>940</v>
      </c>
      <c r="B53" s="38">
        <v>1.1510000000000001E-6</v>
      </c>
      <c r="C53" s="38">
        <v>5.4850000000000002E-7</v>
      </c>
      <c r="D53" s="38">
        <v>8.5800000000000009E-7</v>
      </c>
      <c r="E53" s="3"/>
      <c r="F53" s="38">
        <f t="shared" si="0"/>
        <v>4.5314960629921265E-5</v>
      </c>
      <c r="G53" s="38">
        <f t="shared" si="0"/>
        <v>2.159448818897638E-5</v>
      </c>
      <c r="H53" s="38">
        <f t="shared" si="0"/>
        <v>3.3779527559055119E-5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  <c r="AD53" s="4"/>
    </row>
    <row r="54" spans="1:30" x14ac:dyDescent="0.2">
      <c r="A54" s="35">
        <v>960</v>
      </c>
      <c r="B54" s="38">
        <v>1.114E-6</v>
      </c>
      <c r="C54" s="38">
        <v>5.5260000000000001E-7</v>
      </c>
      <c r="D54" s="38">
        <v>8.8999999999999995E-7</v>
      </c>
      <c r="E54" s="3"/>
      <c r="F54" s="38">
        <f t="shared" si="0"/>
        <v>4.3858267716535436E-5</v>
      </c>
      <c r="G54" s="38">
        <f t="shared" si="0"/>
        <v>2.1755905511811025E-5</v>
      </c>
      <c r="H54" s="38">
        <f t="shared" si="0"/>
        <v>3.5039370078740156E-5</v>
      </c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AD54" s="4"/>
    </row>
    <row r="55" spans="1:30" x14ac:dyDescent="0.2">
      <c r="A55" s="8">
        <v>980</v>
      </c>
      <c r="B55" s="38">
        <v>1.0779999999999999E-6</v>
      </c>
      <c r="C55" s="38">
        <v>5.5609999999999996E-7</v>
      </c>
      <c r="D55" s="38">
        <v>9.2500000000000004E-7</v>
      </c>
      <c r="E55" s="3"/>
      <c r="F55" s="38">
        <f t="shared" si="0"/>
        <v>4.2440944881889765E-5</v>
      </c>
      <c r="G55" s="38">
        <f t="shared" si="0"/>
        <v>2.1893700787401574E-5</v>
      </c>
      <c r="H55" s="38">
        <f t="shared" si="0"/>
        <v>3.6417322834645674E-5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D55" s="4"/>
    </row>
    <row r="56" spans="1:30" x14ac:dyDescent="0.2">
      <c r="A56" s="8">
        <v>1000</v>
      </c>
      <c r="B56" s="38">
        <v>1.0440000000000001E-6</v>
      </c>
      <c r="C56" s="38">
        <v>5.6000000000000004E-7</v>
      </c>
      <c r="D56" s="38">
        <v>9.6099999999999999E-7</v>
      </c>
      <c r="E56" s="3"/>
      <c r="F56" s="38">
        <f t="shared" si="0"/>
        <v>4.1102362204724412E-5</v>
      </c>
      <c r="G56" s="38">
        <f t="shared" si="0"/>
        <v>2.2047244094488194E-5</v>
      </c>
      <c r="H56" s="38">
        <f t="shared" si="0"/>
        <v>3.7834645669291338E-5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D56" s="4"/>
    </row>
    <row r="57" spans="1:30" x14ac:dyDescent="0.2">
      <c r="A57" s="8">
        <v>1020</v>
      </c>
      <c r="B57" s="38">
        <v>1.0100000000000001E-6</v>
      </c>
      <c r="C57" s="38">
        <v>5.623E-7</v>
      </c>
      <c r="D57" s="38">
        <v>9.9900000000000009E-7</v>
      </c>
      <c r="E57" s="3"/>
      <c r="F57" s="38">
        <f t="shared" si="0"/>
        <v>3.9763779527559058E-5</v>
      </c>
      <c r="G57" s="38">
        <f t="shared" si="0"/>
        <v>2.2137795275590551E-5</v>
      </c>
      <c r="H57" s="38">
        <f t="shared" si="0"/>
        <v>3.9330708661417327E-5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D57" s="4"/>
    </row>
    <row r="58" spans="1:30" x14ac:dyDescent="0.2">
      <c r="A58" s="8">
        <v>1040</v>
      </c>
      <c r="B58" s="38">
        <v>9.7700000000000013E-7</v>
      </c>
      <c r="C58" s="38">
        <v>5.6499999999999999E-7</v>
      </c>
      <c r="D58" s="38">
        <v>1.034E-6</v>
      </c>
      <c r="E58" s="3"/>
      <c r="F58" s="38">
        <f t="shared" si="0"/>
        <v>3.846456692913387E-5</v>
      </c>
      <c r="G58" s="38">
        <f t="shared" si="0"/>
        <v>2.2244094488188977E-5</v>
      </c>
      <c r="H58" s="38">
        <f t="shared" si="0"/>
        <v>4.0708661417322839E-5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D58" s="4"/>
    </row>
    <row r="59" spans="1:30" x14ac:dyDescent="0.2">
      <c r="A59" s="8">
        <v>1060</v>
      </c>
      <c r="B59" s="38">
        <v>9.4500000000000006E-7</v>
      </c>
      <c r="C59" s="39">
        <v>5.6710000000000004E-7</v>
      </c>
      <c r="D59" s="38">
        <v>1.063E-6</v>
      </c>
      <c r="E59" s="3"/>
      <c r="F59" s="38">
        <f t="shared" si="0"/>
        <v>3.7204724409448827E-5</v>
      </c>
      <c r="G59" s="38">
        <f t="shared" si="0"/>
        <v>2.2326771653543312E-5</v>
      </c>
      <c r="H59" s="38">
        <f t="shared" si="0"/>
        <v>4.1850393700787399E-5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D59" s="4"/>
    </row>
    <row r="60" spans="1:30" x14ac:dyDescent="0.2">
      <c r="A60" s="8">
        <v>1080</v>
      </c>
      <c r="B60" s="38">
        <v>9.1399999999999995E-7</v>
      </c>
      <c r="C60" s="38">
        <v>5.6819999999999991E-7</v>
      </c>
      <c r="D60" s="38">
        <v>1.0690000000000001E-6</v>
      </c>
      <c r="E60" s="3"/>
      <c r="F60" s="38">
        <f t="shared" si="0"/>
        <v>3.5984251968503936E-5</v>
      </c>
      <c r="G60" s="38">
        <f t="shared" si="0"/>
        <v>2.2370078740157479E-5</v>
      </c>
      <c r="H60" s="38">
        <f t="shared" si="0"/>
        <v>4.2086614173228351E-5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D60" s="3"/>
    </row>
    <row r="61" spans="1:30" x14ac:dyDescent="0.2">
      <c r="A61" s="8">
        <v>1100</v>
      </c>
      <c r="B61" s="38">
        <v>8.8299999999999995E-7</v>
      </c>
      <c r="C61" s="38">
        <v>5.6779999999999999E-7</v>
      </c>
      <c r="D61" s="38">
        <v>1.0410000000000001E-6</v>
      </c>
      <c r="E61" s="3"/>
      <c r="F61" s="38">
        <f t="shared" si="0"/>
        <v>3.4763779527559059E-5</v>
      </c>
      <c r="G61" s="38">
        <f t="shared" si="0"/>
        <v>2.2354330708661421E-5</v>
      </c>
      <c r="H61" s="38">
        <f t="shared" si="0"/>
        <v>4.0984251968503942E-5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D61" s="3"/>
    </row>
    <row r="62" spans="1:30" x14ac:dyDescent="0.2">
      <c r="A62" s="8">
        <v>1120</v>
      </c>
      <c r="B62" s="38">
        <v>8.5299999999999992E-7</v>
      </c>
      <c r="C62" s="38">
        <v>5.651E-7</v>
      </c>
      <c r="D62" s="38">
        <v>1.006E-6</v>
      </c>
      <c r="E62" s="3"/>
      <c r="F62" s="38">
        <f t="shared" si="0"/>
        <v>3.3582677165354326E-5</v>
      </c>
      <c r="G62" s="38">
        <f t="shared" si="0"/>
        <v>2.2248031496062995E-5</v>
      </c>
      <c r="H62" s="38">
        <f t="shared" si="0"/>
        <v>3.9606299212598424E-5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D62" s="3"/>
    </row>
    <row r="63" spans="1:30" x14ac:dyDescent="0.2">
      <c r="A63" s="8">
        <v>1140</v>
      </c>
      <c r="B63" s="38">
        <v>8.2600000000000001E-7</v>
      </c>
      <c r="C63" s="38">
        <v>5.5960000000000001E-7</v>
      </c>
      <c r="D63" s="38">
        <v>1.02E-6</v>
      </c>
      <c r="E63" s="3"/>
      <c r="F63" s="38">
        <f t="shared" si="0"/>
        <v>3.2519685039370083E-5</v>
      </c>
      <c r="G63" s="38">
        <f t="shared" si="0"/>
        <v>2.2031496062992129E-5</v>
      </c>
      <c r="H63" s="38">
        <f t="shared" si="0"/>
        <v>4.0157480314960638E-5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D63" s="3"/>
    </row>
    <row r="64" spans="1:30" x14ac:dyDescent="0.2">
      <c r="A64" s="8">
        <v>1160</v>
      </c>
      <c r="B64" s="38">
        <v>7.9800000000000003E-7</v>
      </c>
      <c r="C64" s="38">
        <v>5.5299999999999994E-7</v>
      </c>
      <c r="D64" s="38">
        <v>1.0780000000000001E-6</v>
      </c>
      <c r="E64" s="3"/>
      <c r="F64" s="38">
        <f t="shared" si="0"/>
        <v>3.1417322834645668E-5</v>
      </c>
      <c r="G64" s="38">
        <f t="shared" si="0"/>
        <v>2.1771653543307083E-5</v>
      </c>
      <c r="H64" s="38">
        <f t="shared" si="0"/>
        <v>4.2440944881889772E-5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D64" s="3"/>
    </row>
    <row r="65" spans="1:30" x14ac:dyDescent="0.2">
      <c r="A65" s="8">
        <v>1180</v>
      </c>
      <c r="B65" s="38">
        <v>7.7000000000000004E-7</v>
      </c>
      <c r="C65" s="38">
        <v>5.482999999999999E-7</v>
      </c>
      <c r="D65" s="38">
        <v>1.1289999999999999E-6</v>
      </c>
      <c r="E65" s="3"/>
      <c r="F65" s="38">
        <f t="shared" si="0"/>
        <v>3.0314960629921263E-5</v>
      </c>
      <c r="G65" s="38">
        <f t="shared" si="0"/>
        <v>2.1586614173228344E-5</v>
      </c>
      <c r="H65" s="38">
        <f t="shared" si="0"/>
        <v>4.4448818897637795E-5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D65" s="3"/>
    </row>
    <row r="66" spans="1:30" x14ac:dyDescent="0.2">
      <c r="A66" s="8">
        <v>1200</v>
      </c>
      <c r="B66" s="38">
        <v>7.4300000000000002E-7</v>
      </c>
      <c r="C66" s="38">
        <v>5.4550000000000001E-7</v>
      </c>
      <c r="D66" s="38">
        <v>1.1629999999999999E-6</v>
      </c>
      <c r="E66" s="3"/>
      <c r="F66" s="38">
        <f t="shared" si="0"/>
        <v>2.9251968503937014E-5</v>
      </c>
      <c r="G66" s="38">
        <f t="shared" si="0"/>
        <v>2.1476377952755907E-5</v>
      </c>
      <c r="H66" s="38">
        <f t="shared" si="0"/>
        <v>4.5787401574803149E-5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D66" s="3"/>
    </row>
    <row r="67" spans="1:30" x14ac:dyDescent="0.2">
      <c r="A67" s="8">
        <v>1220</v>
      </c>
      <c r="B67" s="38">
        <v>7.1800000000000005E-7</v>
      </c>
      <c r="C67" s="38">
        <v>5.4350000000000007E-7</v>
      </c>
      <c r="D67" s="38">
        <v>1.1850000000000001E-6</v>
      </c>
      <c r="E67" s="3"/>
      <c r="F67" s="38">
        <f t="shared" si="0"/>
        <v>2.8267716535433071E-5</v>
      </c>
      <c r="G67" s="38">
        <f t="shared" si="0"/>
        <v>2.1397637795275593E-5</v>
      </c>
      <c r="H67" s="38">
        <f t="shared" si="0"/>
        <v>4.6653543307086619E-5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D67" s="1"/>
    </row>
    <row r="68" spans="1:30" x14ac:dyDescent="0.2">
      <c r="A68" s="8">
        <v>1240</v>
      </c>
      <c r="B68" s="38">
        <v>6.9500000000000002E-7</v>
      </c>
      <c r="C68" s="38">
        <v>5.4170000000000004E-7</v>
      </c>
      <c r="D68" s="38">
        <v>1.201E-6</v>
      </c>
      <c r="E68" s="3"/>
      <c r="F68" s="38">
        <f t="shared" si="0"/>
        <v>2.7362204724409449E-5</v>
      </c>
      <c r="G68" s="38">
        <f t="shared" si="0"/>
        <v>2.1326771653543308E-5</v>
      </c>
      <c r="H68" s="38">
        <f t="shared" si="0"/>
        <v>4.7283464566929137E-5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D68" s="1"/>
    </row>
    <row r="69" spans="1:30" x14ac:dyDescent="0.2">
      <c r="A69" s="8">
        <v>1260</v>
      </c>
      <c r="B69" s="38">
        <v>6.7200000000000009E-7</v>
      </c>
      <c r="C69" s="38">
        <v>5.397E-7</v>
      </c>
      <c r="D69" s="38">
        <v>1.2190000000000001E-6</v>
      </c>
      <c r="E69" s="3"/>
      <c r="F69" s="38">
        <f t="shared" si="0"/>
        <v>2.6456692913385831E-5</v>
      </c>
      <c r="G69" s="38">
        <f t="shared" si="0"/>
        <v>2.1248031496062991E-5</v>
      </c>
      <c r="H69" s="38">
        <f t="shared" si="0"/>
        <v>4.7992125984251972E-5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D69" s="1"/>
    </row>
    <row r="70" spans="1:30" x14ac:dyDescent="0.2">
      <c r="A70" s="8">
        <v>1280</v>
      </c>
      <c r="B70" s="38">
        <v>6.5099999999999999E-7</v>
      </c>
      <c r="C70" s="38">
        <v>5.3759999999999994E-7</v>
      </c>
      <c r="D70" s="38">
        <v>1.226E-6</v>
      </c>
      <c r="E70" s="3"/>
      <c r="F70" s="38">
        <f t="shared" si="0"/>
        <v>2.5629921259842519E-5</v>
      </c>
      <c r="G70" s="38">
        <f t="shared" si="0"/>
        <v>2.1165354330708659E-5</v>
      </c>
      <c r="H70" s="38">
        <f t="shared" si="0"/>
        <v>4.8267716535433076E-5</v>
      </c>
      <c r="J70" s="1"/>
      <c r="K70" s="1"/>
      <c r="L70" s="5"/>
      <c r="M70" s="1"/>
      <c r="N70" s="1"/>
      <c r="O70" s="1"/>
      <c r="P70" s="1"/>
      <c r="Q70" s="1"/>
      <c r="R70" s="17"/>
      <c r="S70" s="1"/>
      <c r="T70" s="1"/>
      <c r="U70" s="1"/>
      <c r="AD70" s="1"/>
    </row>
    <row r="71" spans="1:30" x14ac:dyDescent="0.2">
      <c r="A71" s="8">
        <v>1300</v>
      </c>
      <c r="B71" s="38">
        <v>6.3200000000000005E-7</v>
      </c>
      <c r="C71" s="38">
        <v>5.3529999999999998E-7</v>
      </c>
      <c r="D71" s="38">
        <v>1.2330000000000001E-6</v>
      </c>
      <c r="E71" s="3"/>
      <c r="F71" s="38">
        <f t="shared" ref="F71:H126" si="1">B71*1000/25.4</f>
        <v>2.4881889763779532E-5</v>
      </c>
      <c r="G71" s="38">
        <f t="shared" si="1"/>
        <v>2.1074803149606298E-5</v>
      </c>
      <c r="H71" s="38">
        <f t="shared" si="1"/>
        <v>4.854330708661418E-5</v>
      </c>
      <c r="J71" s="1"/>
      <c r="K71" s="3"/>
      <c r="L71" s="20"/>
      <c r="M71" s="1"/>
      <c r="N71" s="1"/>
      <c r="O71" s="1"/>
      <c r="P71" s="1"/>
      <c r="Q71" s="1"/>
      <c r="R71" s="1"/>
      <c r="S71" s="1"/>
      <c r="T71" s="1"/>
      <c r="U71" s="1"/>
      <c r="AD71" s="1"/>
    </row>
    <row r="72" spans="1:30" x14ac:dyDescent="0.2">
      <c r="A72" s="8">
        <v>1320</v>
      </c>
      <c r="B72" s="38">
        <v>6.1500000000000004E-7</v>
      </c>
      <c r="C72" s="38">
        <v>5.3390000000000009E-7</v>
      </c>
      <c r="D72" s="38">
        <v>1.2499999999999999E-6</v>
      </c>
      <c r="E72" s="3"/>
      <c r="F72" s="38">
        <f t="shared" si="1"/>
        <v>2.4212598425196855E-5</v>
      </c>
      <c r="G72" s="38">
        <f t="shared" si="1"/>
        <v>2.1019685039370085E-5</v>
      </c>
      <c r="H72" s="38">
        <f t="shared" si="1"/>
        <v>4.9212598425196843E-5</v>
      </c>
      <c r="J72" s="1"/>
      <c r="K72" s="1"/>
      <c r="L72" s="20"/>
      <c r="M72" s="1"/>
      <c r="N72" s="1"/>
      <c r="O72" s="1"/>
      <c r="P72" s="1"/>
      <c r="Q72" s="1"/>
      <c r="R72" s="1"/>
      <c r="S72" s="1"/>
      <c r="T72" s="1"/>
      <c r="U72" s="1"/>
      <c r="AD72" s="1"/>
    </row>
    <row r="73" spans="1:30" x14ac:dyDescent="0.2">
      <c r="A73" s="8">
        <v>1340</v>
      </c>
      <c r="B73" s="38">
        <v>5.99E-7</v>
      </c>
      <c r="C73" s="38">
        <v>5.3150000000000001E-7</v>
      </c>
      <c r="D73" s="38">
        <v>1.2580000000000001E-6</v>
      </c>
      <c r="E73" s="3"/>
      <c r="F73" s="38">
        <f t="shared" si="1"/>
        <v>2.3582677165354334E-5</v>
      </c>
      <c r="G73" s="38">
        <f t="shared" si="1"/>
        <v>2.0925196850393699E-5</v>
      </c>
      <c r="H73" s="38">
        <f t="shared" si="1"/>
        <v>4.9527559055118112E-5</v>
      </c>
      <c r="J73" s="1"/>
      <c r="K73" s="1"/>
      <c r="L73" s="20"/>
      <c r="M73" s="1"/>
      <c r="N73" s="1"/>
      <c r="O73" s="1"/>
      <c r="P73" s="1"/>
      <c r="Q73" s="1"/>
      <c r="R73" s="1"/>
      <c r="S73" s="1"/>
      <c r="T73" s="1"/>
      <c r="U73" s="1"/>
      <c r="AD73" s="1"/>
    </row>
    <row r="74" spans="1:30" x14ac:dyDescent="0.2">
      <c r="A74" s="8">
        <v>1360</v>
      </c>
      <c r="B74" s="38">
        <v>5.8400000000000004E-7</v>
      </c>
      <c r="C74" s="38">
        <v>5.299E-7</v>
      </c>
      <c r="D74" s="38">
        <v>1.265E-6</v>
      </c>
      <c r="E74" s="3"/>
      <c r="F74" s="38">
        <f t="shared" si="1"/>
        <v>2.2992125984251971E-5</v>
      </c>
      <c r="G74" s="38">
        <f t="shared" si="1"/>
        <v>2.086220472440945E-5</v>
      </c>
      <c r="H74" s="38">
        <f t="shared" si="1"/>
        <v>4.9803149606299216E-5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D74" s="1"/>
    </row>
    <row r="75" spans="1:30" x14ac:dyDescent="0.2">
      <c r="A75" s="8">
        <v>1380</v>
      </c>
      <c r="B75" s="38">
        <v>5.7000000000000005E-7</v>
      </c>
      <c r="C75" s="38">
        <v>5.2739999999999992E-7</v>
      </c>
      <c r="D75" s="38">
        <v>1.271E-6</v>
      </c>
      <c r="E75" s="3"/>
      <c r="F75" s="38">
        <f t="shared" si="1"/>
        <v>2.2440944881889767E-5</v>
      </c>
      <c r="G75" s="38">
        <f t="shared" si="1"/>
        <v>2.0763779527559054E-5</v>
      </c>
      <c r="H75" s="38">
        <f t="shared" si="1"/>
        <v>5.0039370078740161E-5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D75" s="1"/>
    </row>
    <row r="76" spans="1:30" x14ac:dyDescent="0.2">
      <c r="A76" s="8">
        <v>1400</v>
      </c>
      <c r="B76" s="38">
        <v>5.5799999999999999E-7</v>
      </c>
      <c r="C76" s="38">
        <v>5.257E-7</v>
      </c>
      <c r="D76" s="38">
        <v>1.2779999999999999E-6</v>
      </c>
      <c r="E76" s="3"/>
      <c r="F76" s="38">
        <f t="shared" si="1"/>
        <v>2.1968503937007877E-5</v>
      </c>
      <c r="G76" s="38">
        <f t="shared" si="1"/>
        <v>2.069685039370079E-5</v>
      </c>
      <c r="H76" s="38">
        <f t="shared" si="1"/>
        <v>5.0314960629921258E-5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D76" s="1"/>
    </row>
    <row r="77" spans="1:30" x14ac:dyDescent="0.2">
      <c r="A77" s="8">
        <v>1420</v>
      </c>
      <c r="B77" s="38">
        <v>5.4700000000000001E-7</v>
      </c>
      <c r="C77" s="38">
        <v>5.2399999999999998E-7</v>
      </c>
      <c r="D77" s="38">
        <v>1.285E-6</v>
      </c>
      <c r="E77" s="3"/>
      <c r="F77" s="38">
        <f t="shared" si="1"/>
        <v>2.1535433070866142E-5</v>
      </c>
      <c r="G77" s="38">
        <f t="shared" si="1"/>
        <v>2.062992125984252E-5</v>
      </c>
      <c r="H77" s="38">
        <f t="shared" si="1"/>
        <v>5.0590551181102362E-5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D77" s="1"/>
    </row>
    <row r="78" spans="1:30" x14ac:dyDescent="0.2">
      <c r="A78" s="8">
        <v>1440</v>
      </c>
      <c r="B78" s="38">
        <v>5.3600000000000004E-7</v>
      </c>
      <c r="C78" s="38">
        <v>5.2220000000000006E-7</v>
      </c>
      <c r="D78" s="38">
        <v>1.291E-6</v>
      </c>
      <c r="E78" s="3"/>
      <c r="F78" s="38">
        <f t="shared" si="1"/>
        <v>2.110236220472441E-5</v>
      </c>
      <c r="G78" s="38">
        <f t="shared" si="1"/>
        <v>2.0559055118110238E-5</v>
      </c>
      <c r="H78" s="38">
        <f t="shared" si="1"/>
        <v>5.0826771653543314E-5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D78" s="1"/>
    </row>
    <row r="79" spans="1:30" x14ac:dyDescent="0.2">
      <c r="A79" s="8">
        <v>1460</v>
      </c>
      <c r="B79" s="38">
        <v>5.2600000000000002E-7</v>
      </c>
      <c r="C79" s="38">
        <v>5.2040000000000003E-7</v>
      </c>
      <c r="D79" s="38">
        <v>1.297E-6</v>
      </c>
      <c r="E79" s="3"/>
      <c r="F79" s="38">
        <f t="shared" si="1"/>
        <v>2.0708661417322837E-5</v>
      </c>
      <c r="G79" s="38">
        <f t="shared" si="1"/>
        <v>2.0488188976377957E-5</v>
      </c>
      <c r="H79" s="38">
        <f t="shared" si="1"/>
        <v>5.1062992125984252E-5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D79" s="1"/>
    </row>
    <row r="80" spans="1:30" x14ac:dyDescent="0.2">
      <c r="A80" s="8">
        <v>1480</v>
      </c>
      <c r="B80" s="38">
        <v>5.1600000000000001E-7</v>
      </c>
      <c r="C80" s="38">
        <v>5.1940000000000006E-7</v>
      </c>
      <c r="D80" s="38">
        <v>1.3030000000000001E-6</v>
      </c>
      <c r="E80" s="3"/>
      <c r="F80" s="38">
        <f t="shared" si="1"/>
        <v>2.0314960629921261E-5</v>
      </c>
      <c r="G80" s="38">
        <f t="shared" si="1"/>
        <v>2.0448818897637798E-5</v>
      </c>
      <c r="H80" s="38">
        <f t="shared" si="1"/>
        <v>5.1299212598425204E-5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D80" s="1"/>
    </row>
    <row r="81" spans="1:30" x14ac:dyDescent="0.2">
      <c r="A81" s="8">
        <v>1500</v>
      </c>
      <c r="B81" s="38">
        <v>5.0699999999999997E-7</v>
      </c>
      <c r="C81" s="38">
        <v>5.1750000000000002E-7</v>
      </c>
      <c r="D81" s="38">
        <v>1.3090000000000001E-6</v>
      </c>
      <c r="E81" s="3"/>
      <c r="F81" s="38">
        <f t="shared" si="1"/>
        <v>1.9960629921259843E-5</v>
      </c>
      <c r="G81" s="38">
        <f t="shared" si="1"/>
        <v>2.0374015748031499E-5</v>
      </c>
      <c r="H81" s="38">
        <f t="shared" si="1"/>
        <v>5.1535433070866149E-5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</row>
    <row r="82" spans="1:30" x14ac:dyDescent="0.2">
      <c r="A82" s="8">
        <v>1520</v>
      </c>
      <c r="B82" s="38">
        <v>4.9699999999999996E-7</v>
      </c>
      <c r="C82" s="38">
        <v>5.1540000000000008E-7</v>
      </c>
      <c r="D82" s="38">
        <v>1.3150000000000001E-6</v>
      </c>
      <c r="E82" s="3"/>
      <c r="F82" s="38">
        <f t="shared" si="1"/>
        <v>1.9566929133858267E-5</v>
      </c>
      <c r="G82" s="38">
        <f t="shared" si="1"/>
        <v>2.029133858267717E-5</v>
      </c>
      <c r="H82" s="38">
        <f t="shared" si="1"/>
        <v>5.1771653543307094E-5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D82" s="1"/>
    </row>
    <row r="83" spans="1:30" x14ac:dyDescent="0.2">
      <c r="A83" s="8">
        <v>1540</v>
      </c>
      <c r="B83" s="38">
        <v>4.8800000000000003E-7</v>
      </c>
      <c r="C83" s="38">
        <v>5.1340000000000003E-7</v>
      </c>
      <c r="D83" s="38">
        <v>1.3199999999999999E-6</v>
      </c>
      <c r="E83" s="3"/>
      <c r="F83" s="38">
        <f t="shared" si="1"/>
        <v>1.9212598425196852E-5</v>
      </c>
      <c r="G83" s="38">
        <f t="shared" si="1"/>
        <v>2.0212598425196853E-5</v>
      </c>
      <c r="H83" s="38">
        <f t="shared" si="1"/>
        <v>5.1968503937007867E-5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D83" s="1"/>
    </row>
    <row r="84" spans="1:30" x14ac:dyDescent="0.2">
      <c r="A84" s="8">
        <v>1560</v>
      </c>
      <c r="B84" s="38">
        <v>4.7800000000000002E-7</v>
      </c>
      <c r="C84" s="38">
        <v>5.102E-7</v>
      </c>
      <c r="D84" s="38">
        <v>1.3260000000000001E-6</v>
      </c>
      <c r="E84" s="3"/>
      <c r="F84" s="38">
        <f t="shared" si="1"/>
        <v>1.8818897637795276E-5</v>
      </c>
      <c r="G84" s="38">
        <f t="shared" si="1"/>
        <v>2.0086614173228348E-5</v>
      </c>
      <c r="H84" s="38">
        <f t="shared" si="1"/>
        <v>5.2204724409448826E-5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D84" s="1"/>
    </row>
    <row r="85" spans="1:30" x14ac:dyDescent="0.2">
      <c r="A85" s="8">
        <v>1580</v>
      </c>
      <c r="B85" s="38">
        <v>4.6899999999999998E-7</v>
      </c>
      <c r="C85" s="38">
        <v>5.0810000000000006E-7</v>
      </c>
      <c r="D85" s="38">
        <v>1.3309999999999998E-6</v>
      </c>
      <c r="E85" s="3"/>
      <c r="F85" s="38">
        <f t="shared" si="1"/>
        <v>1.8464566929133858E-5</v>
      </c>
      <c r="G85" s="38">
        <f t="shared" si="1"/>
        <v>2.000393700787402E-5</v>
      </c>
      <c r="H85" s="38">
        <f t="shared" si="1"/>
        <v>5.2401574803149606E-5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D85" s="1"/>
    </row>
    <row r="86" spans="1:30" x14ac:dyDescent="0.2">
      <c r="A86" s="8">
        <v>1600</v>
      </c>
      <c r="B86" s="38">
        <v>4.58E-7</v>
      </c>
      <c r="C86" s="38">
        <v>5.0490000000000003E-7</v>
      </c>
      <c r="D86" s="38">
        <v>1.3370000000000001E-6</v>
      </c>
      <c r="E86" s="3"/>
      <c r="F86" s="38">
        <f t="shared" si="1"/>
        <v>1.8031496062992127E-5</v>
      </c>
      <c r="G86" s="38">
        <f t="shared" si="1"/>
        <v>1.9877952755905515E-5</v>
      </c>
      <c r="H86" s="38">
        <f t="shared" si="1"/>
        <v>5.2637795275590557E-5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D86" s="1"/>
    </row>
    <row r="87" spans="1:30" x14ac:dyDescent="0.2">
      <c r="A87" s="8">
        <v>1620</v>
      </c>
      <c r="B87" s="38">
        <v>4.4900000000000001E-7</v>
      </c>
      <c r="C87" s="38">
        <v>5.0180000000000001E-7</v>
      </c>
      <c r="D87" s="38">
        <v>1.353E-6</v>
      </c>
      <c r="E87" s="3"/>
      <c r="F87" s="38">
        <f t="shared" si="1"/>
        <v>1.7677165354330709E-5</v>
      </c>
      <c r="G87" s="38">
        <f t="shared" si="1"/>
        <v>1.9755905511811027E-5</v>
      </c>
      <c r="H87" s="38">
        <f t="shared" si="1"/>
        <v>5.3267716535433076E-5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D87" s="1"/>
    </row>
    <row r="88" spans="1:30" x14ac:dyDescent="0.2">
      <c r="A88" s="8">
        <v>1640</v>
      </c>
      <c r="B88" s="38">
        <v>4.3799999999999998E-7</v>
      </c>
      <c r="C88" s="38">
        <v>4.9859999999999998E-7</v>
      </c>
      <c r="D88" s="38">
        <v>1.359E-6</v>
      </c>
      <c r="E88" s="3"/>
      <c r="F88" s="38">
        <f t="shared" si="1"/>
        <v>1.7244094488188977E-5</v>
      </c>
      <c r="G88" s="38">
        <f t="shared" si="1"/>
        <v>1.9629921259842519E-5</v>
      </c>
      <c r="H88" s="38">
        <f t="shared" si="1"/>
        <v>5.3503937007874021E-5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D88" s="1"/>
    </row>
    <row r="89" spans="1:30" x14ac:dyDescent="0.2">
      <c r="A89" s="8">
        <v>1660</v>
      </c>
      <c r="B89" s="38">
        <v>4.2799999999999997E-7</v>
      </c>
      <c r="C89" s="38">
        <v>4.9539999999999995E-7</v>
      </c>
      <c r="D89" s="38">
        <v>1.3650000000000001E-6</v>
      </c>
      <c r="E89" s="3"/>
      <c r="F89" s="38">
        <f t="shared" si="1"/>
        <v>1.6850393700787401E-5</v>
      </c>
      <c r="G89" s="38">
        <f t="shared" si="1"/>
        <v>1.9503937007874014E-5</v>
      </c>
      <c r="H89" s="38">
        <f t="shared" si="1"/>
        <v>5.3740157480314966E-5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D89" s="1"/>
    </row>
    <row r="90" spans="1:30" x14ac:dyDescent="0.2">
      <c r="A90" s="8">
        <v>1680</v>
      </c>
      <c r="B90" s="38">
        <v>4.1699999999999999E-7</v>
      </c>
      <c r="C90" s="38">
        <v>4.9220000000000003E-7</v>
      </c>
      <c r="D90" s="38">
        <v>1.3820000000000001E-6</v>
      </c>
      <c r="E90" s="3"/>
      <c r="F90" s="38">
        <f t="shared" si="1"/>
        <v>1.6417322834645669E-5</v>
      </c>
      <c r="G90" s="38">
        <f t="shared" si="1"/>
        <v>1.9377952755905516E-5</v>
      </c>
      <c r="H90" s="38">
        <f t="shared" si="1"/>
        <v>5.4409448818897643E-5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D90" s="1"/>
    </row>
    <row r="91" spans="1:30" x14ac:dyDescent="0.2">
      <c r="A91" s="8">
        <v>1700</v>
      </c>
      <c r="B91" s="38">
        <v>4.0600000000000001E-7</v>
      </c>
      <c r="C91" s="38">
        <v>4.8800000000000003E-7</v>
      </c>
      <c r="D91" s="38">
        <v>1.3989999999999999E-6</v>
      </c>
      <c r="E91" s="3"/>
      <c r="F91" s="38">
        <f t="shared" si="1"/>
        <v>1.5984251968503938E-5</v>
      </c>
      <c r="G91" s="38">
        <f t="shared" si="1"/>
        <v>1.9212598425196852E-5</v>
      </c>
      <c r="H91" s="38">
        <f t="shared" si="1"/>
        <v>5.5078740157480312E-5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D91" s="1"/>
    </row>
    <row r="92" spans="1:30" x14ac:dyDescent="0.2">
      <c r="A92" s="8">
        <v>1720</v>
      </c>
      <c r="B92" s="38">
        <v>3.96E-7</v>
      </c>
      <c r="C92" s="38">
        <v>4.8390000000000004E-7</v>
      </c>
      <c r="D92" s="38">
        <v>1.4159999999999999E-6</v>
      </c>
      <c r="E92" s="3"/>
      <c r="F92" s="38">
        <f t="shared" si="1"/>
        <v>1.5590551181102362E-5</v>
      </c>
      <c r="G92" s="38">
        <f t="shared" si="1"/>
        <v>1.9051181102362207E-5</v>
      </c>
      <c r="H92" s="38">
        <f t="shared" si="1"/>
        <v>5.5748031496062996E-5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D92" s="1"/>
    </row>
    <row r="93" spans="1:30" x14ac:dyDescent="0.2">
      <c r="A93" s="8">
        <v>1740</v>
      </c>
      <c r="B93" s="38">
        <v>3.8500000000000002E-7</v>
      </c>
      <c r="C93" s="38">
        <v>4.8070000000000001E-7</v>
      </c>
      <c r="D93" s="38">
        <v>1.4329999999999999E-6</v>
      </c>
      <c r="E93" s="3"/>
      <c r="F93" s="38">
        <f t="shared" si="1"/>
        <v>1.5157480314960632E-5</v>
      </c>
      <c r="G93" s="38">
        <f t="shared" si="1"/>
        <v>1.8925196850393702E-5</v>
      </c>
      <c r="H93" s="38">
        <f t="shared" si="1"/>
        <v>5.6417322834645666E-5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D93" s="1"/>
    </row>
    <row r="94" spans="1:30" x14ac:dyDescent="0.2">
      <c r="A94" s="8">
        <v>1760</v>
      </c>
      <c r="B94" s="38">
        <v>3.7500000000000001E-7</v>
      </c>
      <c r="C94" s="38">
        <v>4.7660000000000002E-7</v>
      </c>
      <c r="D94" s="38">
        <v>1.451E-6</v>
      </c>
      <c r="E94" s="3"/>
      <c r="F94" s="38">
        <f t="shared" si="1"/>
        <v>1.4763779527559057E-5</v>
      </c>
      <c r="G94" s="38">
        <f t="shared" si="1"/>
        <v>1.8763779527559059E-5</v>
      </c>
      <c r="H94" s="38">
        <f t="shared" si="1"/>
        <v>5.7125984251968508E-5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D94" s="1"/>
    </row>
    <row r="95" spans="1:30" x14ac:dyDescent="0.2">
      <c r="A95" s="8">
        <v>1780</v>
      </c>
      <c r="B95" s="38">
        <v>3.65E-7</v>
      </c>
      <c r="C95" s="38">
        <v>4.7339999999999999E-7</v>
      </c>
      <c r="D95" s="38">
        <v>1.4789999999999999E-6</v>
      </c>
      <c r="E95" s="3"/>
      <c r="F95" s="38">
        <f t="shared" si="1"/>
        <v>1.4370078740157481E-5</v>
      </c>
      <c r="G95" s="38">
        <f t="shared" si="1"/>
        <v>1.8637795275590554E-5</v>
      </c>
      <c r="H95" s="38">
        <f t="shared" si="1"/>
        <v>5.822834645669291E-5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D95" s="1"/>
    </row>
    <row r="96" spans="1:30" x14ac:dyDescent="0.2">
      <c r="A96" s="8">
        <v>1800</v>
      </c>
      <c r="B96" s="38">
        <v>3.5600000000000001E-7</v>
      </c>
      <c r="C96" s="38">
        <v>4.7029999999999997E-7</v>
      </c>
      <c r="D96" s="38">
        <v>1.5070000000000001E-6</v>
      </c>
      <c r="E96" s="3"/>
      <c r="F96" s="38">
        <f t="shared" si="1"/>
        <v>1.4015748031496065E-5</v>
      </c>
      <c r="G96" s="38">
        <f t="shared" si="1"/>
        <v>1.8515748031496064E-5</v>
      </c>
      <c r="H96" s="38">
        <f t="shared" si="1"/>
        <v>5.9330708661417332E-5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D96" s="1"/>
    </row>
    <row r="97" spans="1:30" x14ac:dyDescent="0.2">
      <c r="A97" s="8">
        <v>1820</v>
      </c>
      <c r="B97" s="38">
        <v>3.4700000000000002E-7</v>
      </c>
      <c r="C97" s="38">
        <v>4.672E-7</v>
      </c>
      <c r="D97" s="38">
        <v>1.536E-6</v>
      </c>
      <c r="E97" s="3"/>
      <c r="F97" s="38">
        <f t="shared" si="1"/>
        <v>1.3661417322834647E-5</v>
      </c>
      <c r="G97" s="38">
        <f t="shared" si="1"/>
        <v>1.8393700787401577E-5</v>
      </c>
      <c r="H97" s="38">
        <f t="shared" si="1"/>
        <v>6.0472440944881892E-5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D97" s="1"/>
    </row>
    <row r="98" spans="1:30" x14ac:dyDescent="0.2">
      <c r="A98" s="8">
        <v>1840</v>
      </c>
      <c r="B98" s="38">
        <v>3.39E-7</v>
      </c>
      <c r="C98" s="38">
        <v>4.6410000000000003E-7</v>
      </c>
      <c r="D98" s="38">
        <v>1.5740000000000001E-6</v>
      </c>
      <c r="E98" s="3"/>
      <c r="F98" s="38">
        <f t="shared" si="1"/>
        <v>1.3346456692913386E-5</v>
      </c>
      <c r="G98" s="38">
        <f t="shared" si="1"/>
        <v>1.827165354330709E-5</v>
      </c>
      <c r="H98" s="38">
        <f t="shared" si="1"/>
        <v>6.1968503937007887E-5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D98" s="1"/>
    </row>
    <row r="99" spans="1:30" x14ac:dyDescent="0.2">
      <c r="A99" s="8">
        <v>1860</v>
      </c>
      <c r="B99" s="38">
        <v>3.3099999999999999E-7</v>
      </c>
      <c r="C99" s="38">
        <v>4.6200000000000003E-7</v>
      </c>
      <c r="D99" s="38">
        <v>1.6130000000000001E-6</v>
      </c>
      <c r="E99" s="3"/>
      <c r="F99" s="38">
        <f t="shared" si="1"/>
        <v>1.3031496062992125E-5</v>
      </c>
      <c r="G99" s="38">
        <f t="shared" si="1"/>
        <v>1.8188976377952758E-5</v>
      </c>
      <c r="H99" s="38">
        <f t="shared" si="1"/>
        <v>6.350393700787402E-5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D99" s="1"/>
    </row>
    <row r="100" spans="1:30" x14ac:dyDescent="0.2">
      <c r="A100" s="8">
        <v>1880</v>
      </c>
      <c r="B100" s="38">
        <v>3.2500000000000001E-7</v>
      </c>
      <c r="C100" s="38">
        <v>4.5989999999999998E-7</v>
      </c>
      <c r="D100" s="38">
        <v>1.6610000000000001E-6</v>
      </c>
      <c r="E100" s="3"/>
      <c r="F100" s="38">
        <f t="shared" si="1"/>
        <v>1.2795275590551182E-5</v>
      </c>
      <c r="G100" s="38">
        <f t="shared" si="1"/>
        <v>1.8106299212598426E-5</v>
      </c>
      <c r="H100" s="38">
        <f t="shared" si="1"/>
        <v>6.5393700787401581E-5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D100" s="1"/>
    </row>
    <row r="101" spans="1:30" x14ac:dyDescent="0.2">
      <c r="A101" s="8">
        <v>1900</v>
      </c>
      <c r="B101" s="38">
        <v>3.1799999999999996E-7</v>
      </c>
      <c r="C101" s="38">
        <v>4.5880000000000001E-7</v>
      </c>
      <c r="D101" s="38">
        <v>1.7099999999999999E-6</v>
      </c>
      <c r="E101" s="3"/>
      <c r="F101" s="38">
        <f t="shared" si="1"/>
        <v>1.2519685039370078E-5</v>
      </c>
      <c r="G101" s="38">
        <f t="shared" si="1"/>
        <v>1.8062992125984253E-5</v>
      </c>
      <c r="H101" s="38">
        <f t="shared" si="1"/>
        <v>6.7322834645669287E-5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D101" s="1"/>
    </row>
    <row r="102" spans="1:30" x14ac:dyDescent="0.2">
      <c r="A102" s="8">
        <v>1920</v>
      </c>
      <c r="B102" s="38">
        <v>3.1199999999999999E-7</v>
      </c>
      <c r="C102" s="38">
        <v>4.5779999999999998E-7</v>
      </c>
      <c r="D102" s="38">
        <v>1.759E-6</v>
      </c>
      <c r="E102" s="3"/>
      <c r="F102" s="38">
        <f t="shared" si="1"/>
        <v>1.2283464566929135E-5</v>
      </c>
      <c r="G102" s="38">
        <f t="shared" si="1"/>
        <v>1.8023622047244094E-5</v>
      </c>
      <c r="H102" s="38">
        <f t="shared" si="1"/>
        <v>6.9251968503937007E-5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D102" s="1"/>
    </row>
    <row r="103" spans="1:30" x14ac:dyDescent="0.2">
      <c r="A103" s="8">
        <v>1940</v>
      </c>
      <c r="B103" s="38">
        <v>3.0699999999999998E-7</v>
      </c>
      <c r="C103" s="38">
        <v>4.5670000000000001E-7</v>
      </c>
      <c r="D103" s="38">
        <v>1.8080000000000001E-6</v>
      </c>
      <c r="E103" s="3"/>
      <c r="F103" s="38">
        <f t="shared" si="1"/>
        <v>1.2086614173228347E-5</v>
      </c>
      <c r="G103" s="38">
        <f t="shared" si="1"/>
        <v>1.7980314960629921E-5</v>
      </c>
      <c r="H103" s="38">
        <f t="shared" si="1"/>
        <v>7.118110236220474E-5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D103" s="1"/>
    </row>
    <row r="104" spans="1:30" x14ac:dyDescent="0.2">
      <c r="A104" s="8">
        <v>1960</v>
      </c>
      <c r="B104" s="38">
        <v>3.0099999999999996E-7</v>
      </c>
      <c r="C104" s="38">
        <v>4.5559999999999998E-7</v>
      </c>
      <c r="D104" s="38">
        <v>1.866E-6</v>
      </c>
      <c r="E104" s="3"/>
      <c r="F104" s="38">
        <f t="shared" si="1"/>
        <v>1.18503937007874E-5</v>
      </c>
      <c r="G104" s="38">
        <f t="shared" si="1"/>
        <v>1.7937007874015748E-5</v>
      </c>
      <c r="H104" s="38">
        <f t="shared" si="1"/>
        <v>7.346456692913386E-5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D104" s="1"/>
    </row>
    <row r="105" spans="1:30" x14ac:dyDescent="0.2">
      <c r="A105" s="8">
        <v>1980</v>
      </c>
      <c r="B105" s="38">
        <v>2.9699999999999997E-7</v>
      </c>
      <c r="C105" s="38">
        <v>4.5550000000000002E-7</v>
      </c>
      <c r="D105" s="38">
        <v>1.9350000000000001E-6</v>
      </c>
      <c r="E105" s="3"/>
      <c r="F105" s="38">
        <f t="shared" si="1"/>
        <v>1.169291338582677E-5</v>
      </c>
      <c r="G105" s="38">
        <f t="shared" si="1"/>
        <v>1.7933070866141733E-5</v>
      </c>
      <c r="H105" s="38">
        <f t="shared" si="1"/>
        <v>7.6181102362204726E-5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D105" s="1"/>
    </row>
    <row r="106" spans="1:30" x14ac:dyDescent="0.2">
      <c r="A106" s="8">
        <v>2000</v>
      </c>
      <c r="B106" s="38">
        <v>2.9399999999999996E-7</v>
      </c>
      <c r="C106" s="38">
        <v>4.545E-7</v>
      </c>
      <c r="D106" s="38">
        <v>2.0040000000000002E-6</v>
      </c>
      <c r="E106" s="3"/>
      <c r="F106" s="38">
        <f t="shared" si="1"/>
        <v>1.1574803149606298E-5</v>
      </c>
      <c r="G106" s="38">
        <f t="shared" si="1"/>
        <v>1.7893700787401575E-5</v>
      </c>
      <c r="H106" s="38">
        <f t="shared" si="1"/>
        <v>7.8897637795275605E-5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D106" s="1"/>
    </row>
    <row r="107" spans="1:30" x14ac:dyDescent="0.2">
      <c r="A107" s="8">
        <v>2020</v>
      </c>
      <c r="B107" s="38">
        <v>2.91E-7</v>
      </c>
      <c r="C107" s="38">
        <v>4.5439999999999999E-7</v>
      </c>
      <c r="D107" s="38">
        <v>2.0830000000000002E-6</v>
      </c>
      <c r="E107" s="3"/>
      <c r="F107" s="38">
        <f t="shared" si="1"/>
        <v>1.1456692913385827E-5</v>
      </c>
      <c r="G107" s="38">
        <f t="shared" si="1"/>
        <v>1.788976377952756E-5</v>
      </c>
      <c r="H107" s="38">
        <f t="shared" si="1"/>
        <v>8.2007874015748044E-5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D107" s="1"/>
    </row>
    <row r="108" spans="1:30" x14ac:dyDescent="0.2">
      <c r="A108" s="8">
        <v>2040</v>
      </c>
      <c r="B108" s="38">
        <v>2.8900000000000001E-7</v>
      </c>
      <c r="C108" s="38">
        <v>4.5540000000000001E-7</v>
      </c>
      <c r="D108" s="38">
        <v>2.1620000000000002E-6</v>
      </c>
      <c r="E108" s="3"/>
      <c r="F108" s="38">
        <f t="shared" si="1"/>
        <v>1.1377952755905513E-5</v>
      </c>
      <c r="G108" s="38">
        <f t="shared" si="1"/>
        <v>1.7929133858267719E-5</v>
      </c>
      <c r="H108" s="38">
        <f t="shared" si="1"/>
        <v>8.5118110236220482E-5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D108" s="1"/>
    </row>
    <row r="109" spans="1:30" x14ac:dyDescent="0.2">
      <c r="A109" s="8">
        <v>2060</v>
      </c>
      <c r="B109" s="38">
        <v>2.8699999999999996E-7</v>
      </c>
      <c r="C109" s="38">
        <v>4.5530000000000001E-7</v>
      </c>
      <c r="D109" s="38">
        <v>2.261E-6</v>
      </c>
      <c r="E109" s="3"/>
      <c r="F109" s="38">
        <f t="shared" si="1"/>
        <v>1.1299212598425197E-5</v>
      </c>
      <c r="G109" s="38">
        <f t="shared" si="1"/>
        <v>1.7925196850393701E-5</v>
      </c>
      <c r="H109" s="38">
        <f t="shared" si="1"/>
        <v>8.9015748031496067E-5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D109" s="1"/>
    </row>
    <row r="110" spans="1:30" x14ac:dyDescent="0.2">
      <c r="A110" s="8">
        <v>2080</v>
      </c>
      <c r="B110" s="38">
        <v>2.8599999999999999E-7</v>
      </c>
      <c r="C110" s="38">
        <v>4.5630000000000003E-7</v>
      </c>
      <c r="D110" s="38">
        <v>2.3599999999999999E-6</v>
      </c>
      <c r="E110" s="3"/>
      <c r="F110" s="38">
        <f t="shared" si="1"/>
        <v>1.125984251968504E-5</v>
      </c>
      <c r="G110" s="38">
        <f t="shared" si="1"/>
        <v>1.796456692913386E-5</v>
      </c>
      <c r="H110" s="38">
        <f t="shared" si="1"/>
        <v>9.2913385826771651E-5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D110" s="1"/>
    </row>
    <row r="111" spans="1:30" x14ac:dyDescent="0.2">
      <c r="A111" s="8">
        <v>2100</v>
      </c>
      <c r="B111" s="38">
        <v>2.8599999999999999E-7</v>
      </c>
      <c r="C111" s="38">
        <v>4.573E-7</v>
      </c>
      <c r="D111" s="38">
        <v>2.4793000000000001E-6</v>
      </c>
      <c r="E111" s="3"/>
      <c r="F111" s="38">
        <f t="shared" si="1"/>
        <v>1.125984251968504E-5</v>
      </c>
      <c r="G111" s="38">
        <f t="shared" si="1"/>
        <v>1.8003937007874018E-5</v>
      </c>
      <c r="H111" s="38">
        <f t="shared" si="1"/>
        <v>9.7610236220472459E-5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D111" s="1"/>
    </row>
    <row r="112" spans="1:30" x14ac:dyDescent="0.2">
      <c r="A112" s="8">
        <v>2120</v>
      </c>
      <c r="B112" s="38">
        <v>2.8599999999999999E-7</v>
      </c>
      <c r="C112" s="38">
        <v>4.5919999999999998E-7</v>
      </c>
      <c r="D112" s="38">
        <v>2.5985000000000002E-6</v>
      </c>
      <c r="E112" s="3"/>
      <c r="F112" s="38">
        <f t="shared" si="1"/>
        <v>1.125984251968504E-5</v>
      </c>
      <c r="G112" s="38">
        <f t="shared" si="1"/>
        <v>1.8078740157480314E-5</v>
      </c>
      <c r="H112" s="38">
        <f t="shared" si="1"/>
        <v>1.0230314960629922E-4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D112" s="1"/>
    </row>
    <row r="113" spans="1:30" x14ac:dyDescent="0.2">
      <c r="A113" s="8">
        <v>2140</v>
      </c>
      <c r="B113" s="38">
        <v>2.8699999999999996E-7</v>
      </c>
      <c r="C113" s="38">
        <v>4.602E-7</v>
      </c>
      <c r="D113" s="38">
        <v>2.7377000000000001E-6</v>
      </c>
      <c r="E113" s="3"/>
      <c r="F113" s="38">
        <f t="shared" si="1"/>
        <v>1.1299212598425197E-5</v>
      </c>
      <c r="G113" s="38">
        <f t="shared" si="1"/>
        <v>1.8118110236220473E-5</v>
      </c>
      <c r="H113" s="38">
        <f t="shared" si="1"/>
        <v>1.0778346456692914E-4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D113" s="1"/>
    </row>
    <row r="114" spans="1:30" x14ac:dyDescent="0.2">
      <c r="A114" s="8">
        <v>2160</v>
      </c>
      <c r="B114" s="38">
        <v>2.8900000000000001E-7</v>
      </c>
      <c r="C114" s="38">
        <v>4.622E-7</v>
      </c>
      <c r="D114" s="38">
        <v>2.897E-6</v>
      </c>
      <c r="E114" s="3"/>
      <c r="F114" s="38">
        <f t="shared" si="1"/>
        <v>1.1377952755905513E-5</v>
      </c>
      <c r="G114" s="38">
        <f t="shared" si="1"/>
        <v>1.819685039370079E-5</v>
      </c>
      <c r="H114" s="38">
        <f t="shared" si="1"/>
        <v>1.1405511811023622E-4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D114" s="1"/>
    </row>
    <row r="115" spans="1:30" x14ac:dyDescent="0.2">
      <c r="A115" s="8">
        <v>2180</v>
      </c>
      <c r="B115" s="38">
        <v>2.91E-7</v>
      </c>
      <c r="C115" s="38">
        <v>4.6409999999999998E-7</v>
      </c>
      <c r="D115" s="38">
        <v>3.0662999999999998E-6</v>
      </c>
      <c r="E115" s="3"/>
      <c r="F115" s="38">
        <f t="shared" si="1"/>
        <v>1.1456692913385827E-5</v>
      </c>
      <c r="G115" s="38">
        <f t="shared" si="1"/>
        <v>1.8271653543307086E-5</v>
      </c>
      <c r="H115" s="38">
        <f t="shared" si="1"/>
        <v>1.2072047244094488E-4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D115" s="1"/>
    </row>
    <row r="116" spans="1:30" x14ac:dyDescent="0.2">
      <c r="A116" s="8">
        <v>2200</v>
      </c>
      <c r="B116" s="38">
        <v>2.9400000000000001E-7</v>
      </c>
      <c r="C116" s="38">
        <v>4.6609999999999997E-7</v>
      </c>
      <c r="D116" s="38">
        <v>3.2457000000000001E-6</v>
      </c>
      <c r="E116" s="3"/>
      <c r="F116" s="38">
        <f t="shared" si="1"/>
        <v>1.1574803149606299E-5</v>
      </c>
      <c r="G116" s="38">
        <f t="shared" si="1"/>
        <v>1.83503937007874E-5</v>
      </c>
      <c r="H116" s="38">
        <f t="shared" si="1"/>
        <v>1.2778346456692916E-4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D116" s="1"/>
    </row>
    <row r="117" spans="1:30" x14ac:dyDescent="0.2">
      <c r="A117" s="8">
        <v>2220</v>
      </c>
      <c r="B117" s="38">
        <v>2.96E-7</v>
      </c>
      <c r="C117" s="38">
        <v>4.6810000000000002E-7</v>
      </c>
      <c r="D117" s="38">
        <v>3.4452000000000001E-6</v>
      </c>
      <c r="E117" s="3"/>
      <c r="F117" s="38">
        <f t="shared" si="1"/>
        <v>1.1653543307086615E-5</v>
      </c>
      <c r="G117" s="38">
        <f t="shared" si="1"/>
        <v>1.8429133858267718E-5</v>
      </c>
      <c r="H117" s="38">
        <f t="shared" si="1"/>
        <v>1.3563779527559056E-4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D117" s="1"/>
    </row>
    <row r="118" spans="1:30" x14ac:dyDescent="0.2">
      <c r="A118" s="8">
        <v>2240</v>
      </c>
      <c r="B118" s="38">
        <v>2.9999999999999999E-7</v>
      </c>
      <c r="C118" s="38">
        <v>4.7E-7</v>
      </c>
      <c r="D118" s="38">
        <v>3.6647000000000003E-6</v>
      </c>
      <c r="E118" s="3"/>
      <c r="F118" s="38">
        <f t="shared" si="1"/>
        <v>1.1811023622047245E-5</v>
      </c>
      <c r="G118" s="38">
        <f t="shared" si="1"/>
        <v>1.8503937007874017E-5</v>
      </c>
      <c r="H118" s="38">
        <f t="shared" si="1"/>
        <v>1.4427952755905515E-4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D118" s="1"/>
    </row>
    <row r="119" spans="1:30" x14ac:dyDescent="0.2">
      <c r="A119" s="8">
        <v>2260</v>
      </c>
      <c r="B119" s="38">
        <v>3.0399999999999997E-7</v>
      </c>
      <c r="C119" s="38">
        <v>4.7199999999999999E-7</v>
      </c>
      <c r="D119" s="38">
        <v>3.9041999999999998E-6</v>
      </c>
      <c r="E119" s="3"/>
      <c r="F119" s="38">
        <f t="shared" si="1"/>
        <v>1.1968503937007872E-5</v>
      </c>
      <c r="G119" s="38">
        <f t="shared" si="1"/>
        <v>1.8582677165354331E-5</v>
      </c>
      <c r="H119" s="38">
        <f t="shared" si="1"/>
        <v>1.5370866141732283E-4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D119" s="1"/>
    </row>
    <row r="120" spans="1:30" x14ac:dyDescent="0.2">
      <c r="A120" s="8">
        <v>2280</v>
      </c>
      <c r="B120" s="38">
        <v>3.0800000000000001E-7</v>
      </c>
      <c r="C120" s="38">
        <v>4.7399999999999998E-7</v>
      </c>
      <c r="D120" s="38">
        <v>4.1637999999999998E-6</v>
      </c>
      <c r="E120" s="3"/>
      <c r="F120" s="38">
        <f t="shared" si="1"/>
        <v>1.2125984251968505E-5</v>
      </c>
      <c r="G120" s="38">
        <f t="shared" si="1"/>
        <v>1.8661417322834645E-5</v>
      </c>
      <c r="H120" s="38">
        <f t="shared" si="1"/>
        <v>1.639291338582677E-4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D120" s="1"/>
    </row>
    <row r="121" spans="1:30" x14ac:dyDescent="0.2">
      <c r="A121" s="8">
        <v>2300</v>
      </c>
      <c r="B121" s="38">
        <v>3.1200000000000004E-7</v>
      </c>
      <c r="C121" s="38">
        <v>4.749E-7</v>
      </c>
      <c r="D121" s="38">
        <v>4.4534999999999998E-6</v>
      </c>
      <c r="E121" s="3"/>
      <c r="F121" s="38">
        <f t="shared" si="1"/>
        <v>1.2283464566929136E-5</v>
      </c>
      <c r="G121" s="38">
        <f t="shared" si="1"/>
        <v>1.8696850393700789E-5</v>
      </c>
      <c r="H121" s="38">
        <f t="shared" si="1"/>
        <v>1.7533464566929136E-4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D121" s="1"/>
    </row>
    <row r="122" spans="1:30" x14ac:dyDescent="0.2">
      <c r="A122" s="8">
        <v>2320</v>
      </c>
      <c r="B122" s="38">
        <v>3.1699999999999999E-7</v>
      </c>
      <c r="C122" s="38">
        <v>4.7589999999999997E-7</v>
      </c>
      <c r="D122" s="38">
        <v>4.7532000000000005E-6</v>
      </c>
      <c r="E122" s="3"/>
      <c r="F122" s="38">
        <f t="shared" si="1"/>
        <v>1.2480314960629923E-5</v>
      </c>
      <c r="G122" s="38">
        <f t="shared" si="1"/>
        <v>1.8736220472440944E-5</v>
      </c>
      <c r="H122" s="38">
        <f t="shared" si="1"/>
        <v>1.8713385826771658E-4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D122" s="1"/>
    </row>
    <row r="123" spans="1:30" x14ac:dyDescent="0.2">
      <c r="A123" s="8">
        <v>2340</v>
      </c>
      <c r="B123" s="38">
        <v>3.2099999999999998E-7</v>
      </c>
      <c r="C123" s="38">
        <v>4.7690000000000004E-7</v>
      </c>
      <c r="D123" s="38">
        <v>5.0930000000000002E-6</v>
      </c>
      <c r="E123" s="3"/>
      <c r="F123" s="38">
        <f t="shared" si="1"/>
        <v>1.2637795275590552E-5</v>
      </c>
      <c r="G123" s="38">
        <f t="shared" si="1"/>
        <v>1.8775590551181106E-5</v>
      </c>
      <c r="H123" s="38">
        <f t="shared" si="1"/>
        <v>2.0051181102362207E-4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D123" s="1"/>
    </row>
    <row r="124" spans="1:30" x14ac:dyDescent="0.2">
      <c r="A124" s="8">
        <v>2360</v>
      </c>
      <c r="B124" s="38">
        <v>3.2500000000000001E-7</v>
      </c>
      <c r="C124" s="38">
        <v>4.778E-7</v>
      </c>
      <c r="D124" s="38">
        <v>5.4529000000000008E-6</v>
      </c>
      <c r="E124" s="3"/>
      <c r="F124" s="38">
        <f t="shared" si="1"/>
        <v>1.2795275590551182E-5</v>
      </c>
      <c r="G124" s="38">
        <f t="shared" si="1"/>
        <v>1.8811023622047247E-5</v>
      </c>
      <c r="H124" s="38">
        <f t="shared" si="1"/>
        <v>2.1468110236220477E-4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D124" s="1"/>
    </row>
    <row r="125" spans="1:30" x14ac:dyDescent="0.2">
      <c r="A125" s="8">
        <v>2380</v>
      </c>
      <c r="B125" s="38">
        <v>3.2899999999999999E-7</v>
      </c>
      <c r="C125" s="38">
        <v>4.7680000000000003E-7</v>
      </c>
      <c r="D125" s="38">
        <v>5.8428000000000002E-6</v>
      </c>
      <c r="E125" s="3"/>
      <c r="F125" s="38">
        <f t="shared" si="1"/>
        <v>1.2952755905511812E-5</v>
      </c>
      <c r="G125" s="38">
        <f t="shared" si="1"/>
        <v>1.8771653543307088E-5</v>
      </c>
      <c r="H125" s="38">
        <f t="shared" si="1"/>
        <v>2.3003149606299215E-4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D125" s="1"/>
    </row>
    <row r="126" spans="1:30" x14ac:dyDescent="0.2">
      <c r="A126" s="8">
        <v>2400</v>
      </c>
      <c r="B126" s="38">
        <v>3.3200000000000001E-7</v>
      </c>
      <c r="C126" s="38">
        <v>4.7580000000000001E-7</v>
      </c>
      <c r="D126" s="38">
        <v>6.2628000000000004E-6</v>
      </c>
      <c r="E126" s="3"/>
      <c r="F126" s="38">
        <f t="shared" si="1"/>
        <v>1.3070866141732284E-5</v>
      </c>
      <c r="G126" s="38">
        <f t="shared" si="1"/>
        <v>1.873228346456693E-5</v>
      </c>
      <c r="H126" s="38">
        <f t="shared" si="1"/>
        <v>2.4656692913385832E-4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D126" s="1"/>
    </row>
    <row r="127" spans="1:30" x14ac:dyDescent="0.2">
      <c r="A127" s="3"/>
      <c r="B127" s="3"/>
      <c r="C127" s="3"/>
      <c r="D127" s="3"/>
      <c r="E127" s="3"/>
      <c r="F127" s="3"/>
      <c r="G127" s="3"/>
      <c r="H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D127" s="1"/>
    </row>
    <row r="128" spans="1:30" x14ac:dyDescent="0.2">
      <c r="A128" s="8" t="s">
        <v>21</v>
      </c>
      <c r="B128" s="38">
        <f>MAX(B6:B126)</f>
        <v>1.686E-6</v>
      </c>
      <c r="C128" s="38">
        <f>MAX(C6:C126)</f>
        <v>5.6819999999999991E-7</v>
      </c>
      <c r="D128" s="38">
        <f>MAX(D6:D126)</f>
        <v>6.2628000000000004E-6</v>
      </c>
      <c r="E128" s="4"/>
      <c r="F128" s="38">
        <f>MAX(F20:F126)</f>
        <v>6.637795275590552E-5</v>
      </c>
      <c r="G128" s="38">
        <f>MAX(G20:G126)</f>
        <v>2.2370078740157479E-5</v>
      </c>
      <c r="H128" s="38">
        <f>MAX(H20:H126)</f>
        <v>2.4656692913385832E-4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D128" s="1"/>
    </row>
    <row r="129" spans="1:30" x14ac:dyDescent="0.2">
      <c r="A129" s="8" t="s">
        <v>22</v>
      </c>
      <c r="B129" s="38">
        <f>B128*limits!$E29</f>
        <v>3.1427236269450853E-4</v>
      </c>
      <c r="C129" s="38">
        <f>C128*limits!$E29</f>
        <v>1.059131414490034E-4</v>
      </c>
      <c r="D129" s="38">
        <f>D128*limits!$E29</f>
        <v>1.1673932106068615E-3</v>
      </c>
      <c r="E129" s="4"/>
      <c r="F129" s="38">
        <f>F128*limits!$E29</f>
        <v>1.2372927665138133E-2</v>
      </c>
      <c r="G129" s="38">
        <f>G128*limits!$E29</f>
        <v>4.1698087184647006E-3</v>
      </c>
      <c r="H129" s="38">
        <f>H128*limits!$E29</f>
        <v>4.5960362622317383E-2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D129" s="1"/>
    </row>
    <row r="130" spans="1:30" x14ac:dyDescent="0.2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D130" s="1"/>
    </row>
    <row r="131" spans="1:30" x14ac:dyDescent="0.2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D131" s="1"/>
    </row>
    <row r="132" spans="1:30" x14ac:dyDescent="0.2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D132" s="1"/>
    </row>
    <row r="133" spans="1:30" x14ac:dyDescent="0.2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D133" s="1"/>
    </row>
    <row r="134" spans="1:30" x14ac:dyDescent="0.2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D134" s="1"/>
    </row>
    <row r="135" spans="1:30" x14ac:dyDescent="0.2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D135" s="1"/>
    </row>
    <row r="136" spans="1:30" x14ac:dyDescent="0.2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D136" s="1"/>
    </row>
    <row r="137" spans="1:30" x14ac:dyDescent="0.2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</row>
    <row r="138" spans="1:30" x14ac:dyDescent="0.2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1"/>
    </row>
    <row r="139" spans="1:30" x14ac:dyDescent="0.2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1"/>
    </row>
    <row r="140" spans="1:30" x14ac:dyDescent="0.2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1"/>
    </row>
  </sheetData>
  <mergeCells count="4">
    <mergeCell ref="F2:H2"/>
    <mergeCell ref="A4:A5"/>
    <mergeCell ref="B4:D4"/>
    <mergeCell ref="F4:H4"/>
  </mergeCells>
  <printOptions horizontalCentered="1"/>
  <pageMargins left="0.75" right="0.75" top="1.5" bottom="0.5" header="0.75" footer="0.75"/>
  <pageSetup orientation="portrait" r:id="rId1"/>
  <headerFooter alignWithMargins="0">
    <oddHeader>&amp;L&amp;8&amp;F&amp;R&amp;8&amp;D
By: SS
Chkd:___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39F3-CBD0-42A3-A096-B2A94980623A}">
  <dimension ref="A1:AD140"/>
  <sheetViews>
    <sheetView showGridLines="0" zoomScale="130" zoomScaleNormal="130" workbookViewId="0">
      <selection activeCell="B6" sqref="B6:D126"/>
    </sheetView>
  </sheetViews>
  <sheetFormatPr defaultRowHeight="12.75" x14ac:dyDescent="0.2"/>
  <cols>
    <col min="1" max="1" width="12" customWidth="1"/>
    <col min="2" max="4" width="10.42578125" bestFit="1" customWidth="1"/>
    <col min="5" max="5" width="5.5703125" customWidth="1"/>
    <col min="19" max="19" width="9.28515625" bestFit="1" customWidth="1"/>
    <col min="20" max="21" width="9.28515625" customWidth="1"/>
    <col min="22" max="22" width="12.140625" style="36" customWidth="1"/>
    <col min="23" max="25" width="9.5703125" style="36" bestFit="1" customWidth="1"/>
    <col min="26" max="26" width="9.140625" style="36"/>
    <col min="27" max="27" width="10.85546875" style="36" bestFit="1" customWidth="1"/>
    <col min="28" max="28" width="9.28515625" style="36" customWidth="1"/>
    <col min="29" max="29" width="10.85546875" style="36" bestFit="1" customWidth="1"/>
    <col min="31" max="31" width="9.28515625" bestFit="1" customWidth="1"/>
    <col min="32" max="32" width="13" bestFit="1" customWidth="1"/>
    <col min="33" max="33" width="9.28515625" bestFit="1" customWidth="1"/>
    <col min="35" max="38" width="9.28515625" bestFit="1" customWidth="1"/>
    <col min="39" max="40" width="10.5703125" bestFit="1" customWidth="1"/>
    <col min="41" max="41" width="9.28515625" bestFit="1" customWidth="1"/>
    <col min="42" max="43" width="10.5703125" bestFit="1" customWidth="1"/>
    <col min="49" max="50" width="10.5703125" bestFit="1" customWidth="1"/>
    <col min="51" max="51" width="9.28515625" bestFit="1" customWidth="1"/>
    <col min="52" max="53" width="10.5703125" bestFit="1" customWidth="1"/>
  </cols>
  <sheetData>
    <row r="1" spans="1:30" x14ac:dyDescent="0.2">
      <c r="A1" s="37" t="s">
        <v>34</v>
      </c>
      <c r="B1" s="3"/>
      <c r="C1" s="3"/>
      <c r="D1" s="3"/>
      <c r="E1" s="3"/>
      <c r="F1" s="3"/>
      <c r="G1" s="3"/>
      <c r="H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</row>
    <row r="2" spans="1:30" x14ac:dyDescent="0.2">
      <c r="A2" s="22" t="s">
        <v>38</v>
      </c>
      <c r="B2" s="1"/>
      <c r="C2" s="1"/>
      <c r="D2" s="1"/>
      <c r="E2" s="3"/>
      <c r="F2" s="40"/>
      <c r="G2" s="40"/>
      <c r="H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1"/>
    </row>
    <row r="3" spans="1:30" x14ac:dyDescent="0.2">
      <c r="A3" s="22" t="s">
        <v>39</v>
      </c>
      <c r="B3" s="36"/>
      <c r="C3" s="36"/>
      <c r="D3" s="36"/>
      <c r="E3" s="36"/>
      <c r="F3" s="36"/>
      <c r="G3" s="36"/>
      <c r="H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1"/>
    </row>
    <row r="4" spans="1:30" x14ac:dyDescent="0.2">
      <c r="A4" s="41" t="s">
        <v>35</v>
      </c>
      <c r="B4" s="43" t="s">
        <v>36</v>
      </c>
      <c r="C4" s="43"/>
      <c r="D4" s="43"/>
      <c r="E4" s="3"/>
      <c r="F4" s="43" t="s">
        <v>37</v>
      </c>
      <c r="G4" s="43"/>
      <c r="H4" s="4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1"/>
    </row>
    <row r="5" spans="1:30" x14ac:dyDescent="0.2">
      <c r="A5" s="42"/>
      <c r="B5" s="8" t="s">
        <v>0</v>
      </c>
      <c r="C5" s="8" t="s">
        <v>1</v>
      </c>
      <c r="D5" s="8" t="s">
        <v>2</v>
      </c>
      <c r="E5" s="3"/>
      <c r="F5" s="8" t="s">
        <v>0</v>
      </c>
      <c r="G5" s="8" t="s">
        <v>1</v>
      </c>
      <c r="H5" s="8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1"/>
    </row>
    <row r="6" spans="1:30" x14ac:dyDescent="0.2">
      <c r="A6" s="35">
        <v>0</v>
      </c>
      <c r="B6" s="38">
        <v>1.8250000000000001E-16</v>
      </c>
      <c r="C6" s="38">
        <v>2.9339999999999999E-17</v>
      </c>
      <c r="D6" s="38">
        <v>8.7980000000000002E-17</v>
      </c>
      <c r="E6" s="3"/>
      <c r="F6" s="38">
        <f>B6*1000/25.4</f>
        <v>7.18503937007874E-15</v>
      </c>
      <c r="G6" s="38">
        <f>C6*1000/25.4</f>
        <v>1.1551181102362205E-15</v>
      </c>
      <c r="H6" s="38">
        <f>D6*1000/25.4</f>
        <v>3.4637795275590554E-15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1"/>
    </row>
    <row r="7" spans="1:30" x14ac:dyDescent="0.2">
      <c r="A7" s="35">
        <v>20</v>
      </c>
      <c r="B7" s="38">
        <v>1.3310000000000001E-9</v>
      </c>
      <c r="C7" s="38">
        <v>2.513E-10</v>
      </c>
      <c r="D7" s="38">
        <v>4.7300000000000002E-10</v>
      </c>
      <c r="E7" s="3"/>
      <c r="F7" s="38">
        <f t="shared" ref="F7:H70" si="0">B7*1000/25.4</f>
        <v>5.2401574803149611E-8</v>
      </c>
      <c r="G7" s="38">
        <f t="shared" si="0"/>
        <v>9.8937007874015741E-9</v>
      </c>
      <c r="H7" s="38">
        <f t="shared" si="0"/>
        <v>1.8622047244094489E-8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3"/>
      <c r="AC7" s="3"/>
      <c r="AD7" s="1"/>
    </row>
    <row r="8" spans="1:30" x14ac:dyDescent="0.2">
      <c r="A8" s="35">
        <v>40</v>
      </c>
      <c r="B8" s="38">
        <v>5.4599999999999998E-9</v>
      </c>
      <c r="C8" s="38">
        <v>9.7900000000000003E-10</v>
      </c>
      <c r="D8" s="38">
        <v>1.9260000000000002E-9</v>
      </c>
      <c r="E8" s="3"/>
      <c r="F8" s="38">
        <f t="shared" si="0"/>
        <v>2.1496062992125984E-7</v>
      </c>
      <c r="G8" s="38">
        <f t="shared" si="0"/>
        <v>3.854330708661418E-8</v>
      </c>
      <c r="H8" s="38">
        <f t="shared" si="0"/>
        <v>7.5826771653543316E-8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1"/>
    </row>
    <row r="9" spans="1:30" x14ac:dyDescent="0.2">
      <c r="A9" s="35">
        <v>60</v>
      </c>
      <c r="B9" s="38">
        <v>1.254E-8</v>
      </c>
      <c r="C9" s="38">
        <v>2.2200000000000002E-9</v>
      </c>
      <c r="D9" s="38">
        <v>4.4300000000000006E-9</v>
      </c>
      <c r="E9" s="3"/>
      <c r="F9" s="38">
        <f t="shared" si="0"/>
        <v>4.9370078740157486E-7</v>
      </c>
      <c r="G9" s="38">
        <f t="shared" si="0"/>
        <v>8.740157480314962E-8</v>
      </c>
      <c r="H9" s="38">
        <f t="shared" si="0"/>
        <v>1.7440944881889768E-7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D9" s="3"/>
    </row>
    <row r="10" spans="1:30" x14ac:dyDescent="0.2">
      <c r="A10" s="35">
        <v>80</v>
      </c>
      <c r="B10" s="38">
        <v>2.3000000000000001E-8</v>
      </c>
      <c r="C10" s="38">
        <v>4.1000000000000003E-9</v>
      </c>
      <c r="D10" s="38">
        <v>8.0500000000000009E-9</v>
      </c>
      <c r="E10" s="3"/>
      <c r="F10" s="38">
        <f t="shared" si="0"/>
        <v>9.0551181102362207E-7</v>
      </c>
      <c r="G10" s="38">
        <f t="shared" si="0"/>
        <v>1.614173228346457E-7</v>
      </c>
      <c r="H10" s="38">
        <f t="shared" si="0"/>
        <v>3.1692913385826778E-7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D10" s="3"/>
    </row>
    <row r="11" spans="1:30" x14ac:dyDescent="0.2">
      <c r="A11" s="35">
        <v>100</v>
      </c>
      <c r="B11" s="38">
        <v>3.7499999999999998E-8</v>
      </c>
      <c r="C11" s="38">
        <v>6.5700000000000003E-9</v>
      </c>
      <c r="D11" s="38">
        <v>1.296E-8</v>
      </c>
      <c r="E11" s="3"/>
      <c r="F11" s="38">
        <f t="shared" si="0"/>
        <v>1.4763779527559056E-6</v>
      </c>
      <c r="G11" s="38">
        <f t="shared" si="0"/>
        <v>2.5866141732283466E-7</v>
      </c>
      <c r="H11" s="38">
        <f t="shared" si="0"/>
        <v>5.1023622047244099E-7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AD11" s="3"/>
    </row>
    <row r="12" spans="1:30" x14ac:dyDescent="0.2">
      <c r="A12" s="35">
        <v>120</v>
      </c>
      <c r="B12" s="38">
        <v>5.6799999999999992E-8</v>
      </c>
      <c r="C12" s="38">
        <v>9.8600000000000003E-9</v>
      </c>
      <c r="D12" s="38">
        <v>1.934E-8</v>
      </c>
      <c r="E12" s="3"/>
      <c r="F12" s="38">
        <f t="shared" si="0"/>
        <v>2.2362204724409446E-6</v>
      </c>
      <c r="G12" s="38">
        <f t="shared" si="0"/>
        <v>3.881889763779528E-7</v>
      </c>
      <c r="H12" s="38">
        <f t="shared" si="0"/>
        <v>7.614173228346458E-7</v>
      </c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AD12" s="1"/>
    </row>
    <row r="13" spans="1:30" x14ac:dyDescent="0.2">
      <c r="A13" s="35">
        <v>140</v>
      </c>
      <c r="B13" s="38">
        <v>8.2399999999999997E-8</v>
      </c>
      <c r="C13" s="38">
        <v>1.4020000000000001E-8</v>
      </c>
      <c r="D13" s="38">
        <v>2.7460000000000002E-8</v>
      </c>
      <c r="E13" s="3"/>
      <c r="F13" s="38">
        <f t="shared" si="0"/>
        <v>3.2440944881889763E-6</v>
      </c>
      <c r="G13" s="38">
        <f t="shared" si="0"/>
        <v>5.5196850393700792E-7</v>
      </c>
      <c r="H13" s="38">
        <f t="shared" si="0"/>
        <v>1.0811023622047245E-6</v>
      </c>
      <c r="J13" s="1"/>
      <c r="K13" s="1"/>
      <c r="L13" s="1"/>
      <c r="M13" s="1"/>
      <c r="N13" s="1"/>
      <c r="O13" s="1"/>
      <c r="P13" s="1"/>
      <c r="Q13" s="1"/>
      <c r="R13" s="17"/>
      <c r="S13" s="9"/>
      <c r="T13" s="9"/>
      <c r="U13" s="9"/>
      <c r="AD13" s="6"/>
    </row>
    <row r="14" spans="1:30" x14ac:dyDescent="0.2">
      <c r="A14" s="35">
        <v>160</v>
      </c>
      <c r="B14" s="38">
        <v>1.158E-7</v>
      </c>
      <c r="C14" s="38">
        <v>1.9300000000000001E-8</v>
      </c>
      <c r="D14" s="38">
        <v>3.77E-8</v>
      </c>
      <c r="E14" s="3"/>
      <c r="F14" s="38">
        <f t="shared" si="0"/>
        <v>4.5590551181102372E-6</v>
      </c>
      <c r="G14" s="38">
        <f t="shared" si="0"/>
        <v>7.5984251968503947E-7</v>
      </c>
      <c r="H14" s="38">
        <f t="shared" si="0"/>
        <v>1.4842519685039371E-6</v>
      </c>
      <c r="J14" s="1"/>
      <c r="K14" s="1"/>
      <c r="L14" s="1"/>
      <c r="M14" s="1"/>
      <c r="N14" s="1"/>
      <c r="O14" s="1"/>
      <c r="P14" s="1"/>
      <c r="Q14" s="1"/>
      <c r="R14" s="17"/>
      <c r="S14" s="9"/>
      <c r="T14" s="9"/>
      <c r="U14" s="9"/>
      <c r="AD14" s="6"/>
    </row>
    <row r="15" spans="1:30" x14ac:dyDescent="0.2">
      <c r="A15" s="35">
        <v>180</v>
      </c>
      <c r="B15" s="38">
        <v>1.578E-7</v>
      </c>
      <c r="C15" s="38">
        <v>2.5699999999999999E-8</v>
      </c>
      <c r="D15" s="38">
        <v>5.0099999999999999E-8</v>
      </c>
      <c r="E15" s="3"/>
      <c r="F15" s="38">
        <f t="shared" si="0"/>
        <v>6.2125984251968506E-6</v>
      </c>
      <c r="G15" s="38">
        <f t="shared" si="0"/>
        <v>1.0118110236220473E-6</v>
      </c>
      <c r="H15" s="38">
        <f t="shared" si="0"/>
        <v>1.9724409448818899E-6</v>
      </c>
      <c r="J15" s="1"/>
      <c r="K15" s="1"/>
      <c r="L15" s="1"/>
      <c r="M15" s="1"/>
      <c r="N15" s="1"/>
      <c r="O15" s="1"/>
      <c r="P15" s="1"/>
      <c r="Q15" s="1"/>
      <c r="R15" s="17"/>
      <c r="S15" s="1"/>
      <c r="T15" s="1"/>
      <c r="U15" s="1"/>
      <c r="AD15" s="6"/>
    </row>
    <row r="16" spans="1:30" x14ac:dyDescent="0.2">
      <c r="A16" s="35">
        <v>200</v>
      </c>
      <c r="B16" s="38">
        <v>2.051E-7</v>
      </c>
      <c r="C16" s="38">
        <v>3.3400000000000001E-8</v>
      </c>
      <c r="D16" s="38">
        <v>6.4200000000000006E-8</v>
      </c>
      <c r="E16" s="3"/>
      <c r="F16" s="38">
        <f t="shared" si="0"/>
        <v>8.074803149606299E-6</v>
      </c>
      <c r="G16" s="38">
        <f t="shared" si="0"/>
        <v>1.3149606299212598E-6</v>
      </c>
      <c r="H16" s="38">
        <f t="shared" si="0"/>
        <v>2.5275590551181102E-6</v>
      </c>
      <c r="J16" s="1"/>
      <c r="K16" s="1"/>
      <c r="L16" s="1"/>
      <c r="M16" s="1"/>
      <c r="N16" s="1"/>
      <c r="O16" s="1"/>
      <c r="P16" s="1"/>
      <c r="Q16" s="1"/>
      <c r="R16" s="17"/>
      <c r="S16" s="1"/>
      <c r="T16" s="1"/>
      <c r="U16" s="1"/>
      <c r="AD16" s="6"/>
    </row>
    <row r="17" spans="1:30" x14ac:dyDescent="0.2">
      <c r="A17" s="35">
        <v>220</v>
      </c>
      <c r="B17" s="38">
        <v>2.4770000000000003E-7</v>
      </c>
      <c r="C17" s="38">
        <v>4.2200000000000001E-8</v>
      </c>
      <c r="D17" s="38">
        <v>7.7700000000000001E-8</v>
      </c>
      <c r="E17" s="3"/>
      <c r="F17" s="38">
        <f t="shared" si="0"/>
        <v>9.7519685039370088E-6</v>
      </c>
      <c r="G17" s="38">
        <f t="shared" si="0"/>
        <v>1.6614173228346458E-6</v>
      </c>
      <c r="H17" s="38">
        <f t="shared" si="0"/>
        <v>3.0590551181102368E-6</v>
      </c>
      <c r="J17" s="1"/>
      <c r="K17" s="1"/>
      <c r="L17" s="1"/>
      <c r="M17" s="1"/>
      <c r="N17" s="1"/>
      <c r="O17" s="1"/>
      <c r="P17" s="1"/>
      <c r="Q17" s="1"/>
      <c r="R17" s="17"/>
      <c r="S17" s="9"/>
      <c r="T17" s="9"/>
      <c r="U17" s="9"/>
      <c r="AD17" s="6"/>
    </row>
    <row r="18" spans="1:30" x14ac:dyDescent="0.2">
      <c r="A18" s="35">
        <v>240</v>
      </c>
      <c r="B18" s="38">
        <v>2.7999999999999997E-7</v>
      </c>
      <c r="C18" s="38">
        <v>5.17E-8</v>
      </c>
      <c r="D18" s="38">
        <v>8.9699999999999989E-8</v>
      </c>
      <c r="E18" s="3"/>
      <c r="F18" s="38">
        <f t="shared" si="0"/>
        <v>1.1023622047244094E-5</v>
      </c>
      <c r="G18" s="38">
        <f t="shared" si="0"/>
        <v>2.0354330708661419E-6</v>
      </c>
      <c r="H18" s="38">
        <f t="shared" si="0"/>
        <v>3.5314960629921258E-6</v>
      </c>
      <c r="J18" s="1"/>
      <c r="K18" s="1"/>
      <c r="L18" s="1"/>
      <c r="M18" s="1"/>
      <c r="N18" s="1"/>
      <c r="O18" s="1"/>
      <c r="P18" s="1"/>
      <c r="Q18" s="1"/>
      <c r="R18" s="17"/>
      <c r="S18" s="1"/>
      <c r="T18" s="1"/>
      <c r="U18" s="1"/>
      <c r="AD18" s="6"/>
    </row>
    <row r="19" spans="1:30" x14ac:dyDescent="0.2">
      <c r="A19" s="35">
        <v>260</v>
      </c>
      <c r="B19" s="38">
        <v>3.0800000000000001E-7</v>
      </c>
      <c r="C19" s="38">
        <v>6.2299999999999995E-8</v>
      </c>
      <c r="D19" s="38">
        <v>1.0050000000000001E-7</v>
      </c>
      <c r="E19" s="3"/>
      <c r="F19" s="38">
        <f t="shared" si="0"/>
        <v>1.2125984251968505E-5</v>
      </c>
      <c r="G19" s="38">
        <f t="shared" si="0"/>
        <v>2.4527559055118108E-6</v>
      </c>
      <c r="H19" s="38">
        <f t="shared" si="0"/>
        <v>3.9566929133858275E-6</v>
      </c>
      <c r="J19" s="1"/>
      <c r="K19" s="1"/>
      <c r="L19" s="1"/>
      <c r="M19" s="1"/>
      <c r="N19" s="1"/>
      <c r="O19" s="1"/>
      <c r="P19" s="1"/>
      <c r="Q19" s="1"/>
      <c r="R19" s="17"/>
      <c r="S19" s="1"/>
      <c r="T19" s="1"/>
      <c r="U19" s="1"/>
      <c r="AD19" s="6"/>
    </row>
    <row r="20" spans="1:30" x14ac:dyDescent="0.2">
      <c r="A20" s="35">
        <v>280</v>
      </c>
      <c r="B20" s="38">
        <v>3.4000000000000003E-7</v>
      </c>
      <c r="C20" s="38">
        <v>7.3599999999999997E-8</v>
      </c>
      <c r="D20" s="38">
        <v>1.118E-7</v>
      </c>
      <c r="E20" s="3"/>
      <c r="F20" s="38">
        <f t="shared" si="0"/>
        <v>1.3385826771653545E-5</v>
      </c>
      <c r="G20" s="38">
        <f t="shared" si="0"/>
        <v>2.8976377952755906E-6</v>
      </c>
      <c r="H20" s="38">
        <f t="shared" si="0"/>
        <v>4.401574803149606E-6</v>
      </c>
      <c r="J20" s="1"/>
      <c r="K20" s="1"/>
      <c r="L20" s="1"/>
      <c r="M20" s="1"/>
      <c r="N20" s="1"/>
      <c r="O20" s="1"/>
      <c r="P20" s="1"/>
      <c r="Q20" s="1"/>
      <c r="R20" s="17"/>
      <c r="S20" s="9"/>
      <c r="T20" s="9"/>
      <c r="U20" s="9"/>
      <c r="AD20" s="6"/>
    </row>
    <row r="21" spans="1:30" x14ac:dyDescent="0.2">
      <c r="A21" s="35">
        <v>300</v>
      </c>
      <c r="B21" s="38">
        <v>3.8200000000000001E-7</v>
      </c>
      <c r="C21" s="38">
        <v>8.5199999999999995E-8</v>
      </c>
      <c r="D21" s="38">
        <v>1.2450000000000001E-7</v>
      </c>
      <c r="E21" s="3"/>
      <c r="F21" s="38">
        <f t="shared" si="0"/>
        <v>1.5039370078740159E-5</v>
      </c>
      <c r="G21" s="38">
        <f t="shared" si="0"/>
        <v>3.3543307086614173E-6</v>
      </c>
      <c r="H21" s="38">
        <f t="shared" si="0"/>
        <v>4.9015748031496072E-6</v>
      </c>
      <c r="J21" s="1"/>
      <c r="K21" s="1"/>
      <c r="L21" s="1"/>
      <c r="M21" s="1"/>
      <c r="N21" s="1"/>
      <c r="O21" s="1"/>
      <c r="P21" s="1"/>
      <c r="Q21" s="1"/>
      <c r="R21" s="17"/>
      <c r="S21" s="1"/>
      <c r="T21" s="1"/>
      <c r="U21" s="1"/>
      <c r="AD21" s="6"/>
    </row>
    <row r="22" spans="1:30" x14ac:dyDescent="0.2">
      <c r="A22" s="35">
        <v>320</v>
      </c>
      <c r="B22" s="38">
        <v>4.3199999999999995E-7</v>
      </c>
      <c r="C22" s="38">
        <v>9.6799999999999993E-8</v>
      </c>
      <c r="D22" s="38">
        <v>1.3860000000000001E-7</v>
      </c>
      <c r="E22" s="3"/>
      <c r="F22" s="38">
        <f t="shared" si="0"/>
        <v>1.7007874015748029E-5</v>
      </c>
      <c r="G22" s="38">
        <f t="shared" si="0"/>
        <v>3.8110236220472441E-6</v>
      </c>
      <c r="H22" s="38">
        <f t="shared" si="0"/>
        <v>5.4566929133858275E-6</v>
      </c>
      <c r="J22" s="1"/>
      <c r="K22" s="1"/>
      <c r="L22" s="1"/>
      <c r="M22" s="1"/>
      <c r="N22" s="1"/>
      <c r="O22" s="1"/>
      <c r="P22" s="1"/>
      <c r="Q22" s="1"/>
      <c r="R22" s="17"/>
      <c r="S22" s="2"/>
      <c r="T22" s="2"/>
      <c r="U22" s="2"/>
      <c r="AD22" s="6"/>
    </row>
    <row r="23" spans="1:30" x14ac:dyDescent="0.2">
      <c r="A23" s="35">
        <v>340</v>
      </c>
      <c r="B23" s="38">
        <v>4.9100000000000004E-7</v>
      </c>
      <c r="C23" s="38">
        <v>1.085E-7</v>
      </c>
      <c r="D23" s="38">
        <v>1.5599999999999999E-7</v>
      </c>
      <c r="E23" s="3"/>
      <c r="F23" s="38">
        <f t="shared" si="0"/>
        <v>1.9330708661417325E-5</v>
      </c>
      <c r="G23" s="38">
        <f t="shared" si="0"/>
        <v>4.2716535433070865E-6</v>
      </c>
      <c r="H23" s="38">
        <f t="shared" si="0"/>
        <v>6.1417322834645674E-6</v>
      </c>
      <c r="J23" s="1"/>
      <c r="K23" s="1"/>
      <c r="L23" s="1"/>
      <c r="M23" s="1"/>
      <c r="N23" s="1"/>
      <c r="O23" s="1"/>
      <c r="P23" s="1"/>
      <c r="Q23" s="1"/>
      <c r="R23" s="17"/>
      <c r="S23" s="3"/>
      <c r="T23" s="3"/>
      <c r="U23" s="3"/>
      <c r="AD23" s="6"/>
    </row>
    <row r="24" spans="1:30" x14ac:dyDescent="0.2">
      <c r="A24" s="35">
        <v>360</v>
      </c>
      <c r="B24" s="38">
        <v>5.5899999999999996E-7</v>
      </c>
      <c r="C24" s="38">
        <v>1.2070000000000002E-7</v>
      </c>
      <c r="D24" s="38">
        <v>1.7490000000000001E-7</v>
      </c>
      <c r="E24" s="3"/>
      <c r="F24" s="38">
        <f t="shared" si="0"/>
        <v>2.2007874015748028E-5</v>
      </c>
      <c r="G24" s="38">
        <f t="shared" si="0"/>
        <v>4.7519685039370092E-6</v>
      </c>
      <c r="H24" s="38">
        <f t="shared" si="0"/>
        <v>6.8858267716535444E-6</v>
      </c>
      <c r="J24" s="1"/>
      <c r="K24" s="1"/>
      <c r="L24" s="1"/>
      <c r="M24" s="1"/>
      <c r="N24" s="1"/>
      <c r="O24" s="1"/>
      <c r="P24" s="1"/>
      <c r="Q24" s="1"/>
      <c r="R24" s="17"/>
      <c r="S24" s="9"/>
      <c r="T24" s="9"/>
      <c r="U24" s="9"/>
      <c r="AD24" s="6"/>
    </row>
    <row r="25" spans="1:30" x14ac:dyDescent="0.2">
      <c r="A25" s="35">
        <v>380</v>
      </c>
      <c r="B25" s="38">
        <v>6.3799999999999997E-7</v>
      </c>
      <c r="C25" s="38">
        <v>1.3379999999999999E-7</v>
      </c>
      <c r="D25" s="38">
        <v>1.9539999999999999E-7</v>
      </c>
      <c r="E25" s="3"/>
      <c r="F25" s="38">
        <f t="shared" si="0"/>
        <v>2.5118110236220474E-5</v>
      </c>
      <c r="G25" s="38">
        <f t="shared" si="0"/>
        <v>5.2677165354330709E-6</v>
      </c>
      <c r="H25" s="38">
        <f t="shared" si="0"/>
        <v>7.6929133858267713E-6</v>
      </c>
      <c r="J25" s="1"/>
      <c r="K25" s="1"/>
      <c r="L25" s="1"/>
      <c r="M25" s="1"/>
      <c r="N25" s="1"/>
      <c r="O25" s="1"/>
      <c r="P25" s="1"/>
      <c r="Q25" s="1"/>
      <c r="R25" s="17"/>
      <c r="S25" s="9"/>
      <c r="T25" s="9"/>
      <c r="U25" s="9"/>
      <c r="AD25" s="6"/>
    </row>
    <row r="26" spans="1:30" x14ac:dyDescent="0.2">
      <c r="A26" s="35">
        <v>400</v>
      </c>
      <c r="B26" s="38">
        <v>7.2800000000000006E-7</v>
      </c>
      <c r="C26" s="38">
        <v>1.4810000000000001E-7</v>
      </c>
      <c r="D26" s="38">
        <v>2.1829999999999999E-7</v>
      </c>
      <c r="E26" s="3"/>
      <c r="F26" s="38">
        <f t="shared" si="0"/>
        <v>2.8661417322834647E-5</v>
      </c>
      <c r="G26" s="38">
        <f t="shared" si="0"/>
        <v>5.8307086614173237E-6</v>
      </c>
      <c r="H26" s="38">
        <f t="shared" si="0"/>
        <v>8.5944881889763787E-6</v>
      </c>
      <c r="J26" s="1"/>
      <c r="K26" s="1"/>
      <c r="L26" s="1"/>
      <c r="M26" s="1"/>
      <c r="N26" s="1"/>
      <c r="O26" s="1"/>
      <c r="P26" s="1"/>
      <c r="Q26" s="1"/>
      <c r="R26" s="17"/>
      <c r="S26" s="1"/>
      <c r="T26" s="1"/>
      <c r="U26" s="1"/>
      <c r="AD26" s="6"/>
    </row>
    <row r="27" spans="1:30" x14ac:dyDescent="0.2">
      <c r="A27" s="35">
        <v>420</v>
      </c>
      <c r="B27" s="38">
        <v>8.3300000000000001E-7</v>
      </c>
      <c r="C27" s="38">
        <v>1.6469999999999999E-7</v>
      </c>
      <c r="D27" s="38">
        <v>2.417E-7</v>
      </c>
      <c r="E27" s="3"/>
      <c r="F27" s="38">
        <f t="shared" si="0"/>
        <v>3.279527559055118E-5</v>
      </c>
      <c r="G27" s="38">
        <f t="shared" si="0"/>
        <v>6.4842519685039373E-6</v>
      </c>
      <c r="H27" s="38">
        <f t="shared" si="0"/>
        <v>9.5157480314960636E-6</v>
      </c>
      <c r="J27" s="1"/>
      <c r="K27" s="1"/>
      <c r="L27" s="1"/>
      <c r="M27" s="1"/>
      <c r="N27" s="1"/>
      <c r="O27" s="1"/>
      <c r="P27" s="1"/>
      <c r="Q27" s="1"/>
      <c r="R27" s="17"/>
      <c r="S27" s="1"/>
      <c r="T27" s="1"/>
      <c r="U27" s="1"/>
      <c r="AD27" s="6"/>
    </row>
    <row r="28" spans="1:30" x14ac:dyDescent="0.2">
      <c r="A28" s="35">
        <v>440</v>
      </c>
      <c r="B28" s="38">
        <v>9.5099999999999998E-7</v>
      </c>
      <c r="C28" s="38">
        <v>1.8299999999999998E-7</v>
      </c>
      <c r="D28" s="38">
        <v>2.6529999999999997E-7</v>
      </c>
      <c r="E28" s="3"/>
      <c r="F28" s="38">
        <f t="shared" si="0"/>
        <v>3.7440944881889766E-5</v>
      </c>
      <c r="G28" s="38">
        <f t="shared" si="0"/>
        <v>7.2047244094488179E-6</v>
      </c>
      <c r="H28" s="38">
        <f t="shared" si="0"/>
        <v>1.0444881889763779E-5</v>
      </c>
      <c r="J28" s="1"/>
      <c r="K28" s="1"/>
      <c r="L28" s="1"/>
      <c r="M28" s="1"/>
      <c r="N28" s="1"/>
      <c r="O28" s="1"/>
      <c r="P28" s="1"/>
      <c r="Q28" s="1"/>
      <c r="R28" s="17"/>
      <c r="S28" s="9"/>
      <c r="T28" s="9"/>
      <c r="U28" s="9"/>
      <c r="AD28" s="6"/>
    </row>
    <row r="29" spans="1:30" x14ac:dyDescent="0.2">
      <c r="A29" s="35">
        <v>460</v>
      </c>
      <c r="B29" s="38">
        <v>1.08E-6</v>
      </c>
      <c r="C29" s="38">
        <v>2.0390000000000002E-7</v>
      </c>
      <c r="D29" s="38">
        <v>2.861E-7</v>
      </c>
      <c r="E29" s="3"/>
      <c r="F29" s="38">
        <f t="shared" si="0"/>
        <v>4.2519685039370082E-5</v>
      </c>
      <c r="G29" s="38">
        <f t="shared" si="0"/>
        <v>8.0275590551181114E-6</v>
      </c>
      <c r="H29" s="38">
        <f t="shared" si="0"/>
        <v>1.1263779527559057E-5</v>
      </c>
      <c r="J29" s="1"/>
      <c r="K29" s="1"/>
      <c r="L29" s="1"/>
      <c r="M29" s="1"/>
      <c r="N29" s="1"/>
      <c r="O29" s="1"/>
      <c r="P29" s="1"/>
      <c r="Q29" s="1"/>
      <c r="R29" s="17"/>
      <c r="S29" s="1"/>
      <c r="T29" s="1"/>
      <c r="U29" s="1"/>
      <c r="AD29" s="6"/>
    </row>
    <row r="30" spans="1:30" x14ac:dyDescent="0.2">
      <c r="A30" s="35">
        <v>480</v>
      </c>
      <c r="B30" s="38">
        <v>1.1999999999999999E-6</v>
      </c>
      <c r="C30" s="38">
        <v>2.2959999999999999E-7</v>
      </c>
      <c r="D30" s="38">
        <v>3.0079999999999999E-7</v>
      </c>
      <c r="E30" s="3"/>
      <c r="F30" s="38">
        <f t="shared" si="0"/>
        <v>4.7244094488188978E-5</v>
      </c>
      <c r="G30" s="38">
        <f t="shared" si="0"/>
        <v>9.0393700787401572E-6</v>
      </c>
      <c r="H30" s="38">
        <f t="shared" si="0"/>
        <v>1.1842519685039371E-5</v>
      </c>
      <c r="J30" s="1"/>
      <c r="K30" s="1"/>
      <c r="L30" s="1"/>
      <c r="M30" s="1"/>
      <c r="N30" s="1"/>
      <c r="O30" s="1"/>
      <c r="P30" s="1"/>
      <c r="Q30" s="1"/>
      <c r="R30" s="17"/>
      <c r="S30" s="1"/>
      <c r="T30" s="1"/>
      <c r="U30" s="1"/>
      <c r="AD30" s="6"/>
    </row>
    <row r="31" spans="1:30" x14ac:dyDescent="0.2">
      <c r="A31" s="35">
        <v>500</v>
      </c>
      <c r="B31" s="38">
        <v>1.328E-6</v>
      </c>
      <c r="C31" s="38">
        <v>2.5730000000000001E-7</v>
      </c>
      <c r="D31" s="38">
        <v>3.1049999999999998E-7</v>
      </c>
      <c r="E31" s="3"/>
      <c r="F31" s="38">
        <f t="shared" si="0"/>
        <v>5.2283464566929136E-5</v>
      </c>
      <c r="G31" s="38">
        <f t="shared" si="0"/>
        <v>1.012992125984252E-5</v>
      </c>
      <c r="H31" s="38">
        <f t="shared" si="0"/>
        <v>1.2224409448818897E-5</v>
      </c>
      <c r="J31" s="1"/>
      <c r="K31" s="1"/>
      <c r="L31" s="1"/>
      <c r="M31" s="1"/>
      <c r="N31" s="1"/>
      <c r="O31" s="1"/>
      <c r="P31" s="1"/>
      <c r="Q31" s="1"/>
      <c r="R31" s="17"/>
      <c r="S31" s="9"/>
      <c r="T31" s="9"/>
      <c r="U31" s="9"/>
      <c r="AD31" s="6"/>
    </row>
    <row r="32" spans="1:30" x14ac:dyDescent="0.2">
      <c r="A32" s="35">
        <v>520</v>
      </c>
      <c r="B32" s="38">
        <v>1.4359999999999999E-6</v>
      </c>
      <c r="C32" s="38">
        <v>2.8910000000000001E-7</v>
      </c>
      <c r="D32" s="38">
        <v>3.1190000000000003E-7</v>
      </c>
      <c r="E32" s="3"/>
      <c r="F32" s="38">
        <f t="shared" si="0"/>
        <v>5.6535433070866142E-5</v>
      </c>
      <c r="G32" s="38">
        <f t="shared" si="0"/>
        <v>1.1381889763779529E-5</v>
      </c>
      <c r="H32" s="38">
        <f t="shared" si="0"/>
        <v>1.227952755905512E-5</v>
      </c>
      <c r="J32" s="1"/>
      <c r="K32" s="1"/>
      <c r="L32" s="1"/>
      <c r="M32" s="1"/>
      <c r="N32" s="1"/>
      <c r="O32" s="1"/>
      <c r="P32" s="1"/>
      <c r="Q32" s="1"/>
      <c r="R32" s="17"/>
      <c r="S32" s="1"/>
      <c r="T32" s="1"/>
      <c r="U32" s="1"/>
      <c r="AD32" s="6"/>
    </row>
    <row r="33" spans="1:30" x14ac:dyDescent="0.2">
      <c r="A33" s="35">
        <v>540</v>
      </c>
      <c r="B33" s="38">
        <v>1.5239999999999999E-6</v>
      </c>
      <c r="C33" s="38">
        <v>3.22E-7</v>
      </c>
      <c r="D33" s="38">
        <v>3.0619999999999998E-7</v>
      </c>
      <c r="E33" s="3"/>
      <c r="F33" s="38">
        <f t="shared" si="0"/>
        <v>6.0000000000000002E-5</v>
      </c>
      <c r="G33" s="38">
        <f t="shared" si="0"/>
        <v>1.2677165354330709E-5</v>
      </c>
      <c r="H33" s="38">
        <f t="shared" si="0"/>
        <v>1.205511811023622E-5</v>
      </c>
      <c r="J33" s="1"/>
      <c r="K33" s="1"/>
      <c r="L33" s="1"/>
      <c r="M33" s="1"/>
      <c r="N33" s="1"/>
      <c r="O33" s="1"/>
      <c r="P33" s="1"/>
      <c r="Q33" s="1"/>
      <c r="R33" s="17"/>
      <c r="S33" s="1"/>
      <c r="T33" s="1"/>
      <c r="U33" s="1"/>
      <c r="AD33" s="6"/>
    </row>
    <row r="34" spans="1:30" x14ac:dyDescent="0.2">
      <c r="A34" s="35">
        <v>560</v>
      </c>
      <c r="B34" s="38">
        <v>1.592E-6</v>
      </c>
      <c r="C34" s="38">
        <v>3.58E-7</v>
      </c>
      <c r="D34" s="38">
        <v>2.9330000000000001E-7</v>
      </c>
      <c r="E34" s="3"/>
      <c r="F34" s="38">
        <f t="shared" si="0"/>
        <v>6.2677165354330702E-5</v>
      </c>
      <c r="G34" s="38">
        <f t="shared" si="0"/>
        <v>1.409448818897638E-5</v>
      </c>
      <c r="H34" s="38">
        <f t="shared" si="0"/>
        <v>1.1547244094488191E-5</v>
      </c>
      <c r="J34" s="1"/>
      <c r="K34" s="1"/>
      <c r="L34" s="1"/>
      <c r="M34" s="1"/>
      <c r="N34" s="1"/>
      <c r="O34" s="1"/>
      <c r="P34" s="1"/>
      <c r="Q34" s="1"/>
      <c r="R34" s="17"/>
      <c r="S34" s="1"/>
      <c r="T34" s="1"/>
      <c r="U34" s="1"/>
      <c r="AD34" s="6"/>
    </row>
    <row r="35" spans="1:30" x14ac:dyDescent="0.2">
      <c r="A35" s="35">
        <v>580</v>
      </c>
      <c r="B35" s="38">
        <v>1.64E-6</v>
      </c>
      <c r="C35" s="38">
        <v>3.9309999999999999E-7</v>
      </c>
      <c r="D35" s="38">
        <v>2.762E-7</v>
      </c>
      <c r="E35" s="3"/>
      <c r="F35" s="38">
        <f t="shared" si="0"/>
        <v>6.4566929133858276E-5</v>
      </c>
      <c r="G35" s="38">
        <f t="shared" si="0"/>
        <v>1.5476377952755907E-5</v>
      </c>
      <c r="H35" s="38">
        <f t="shared" si="0"/>
        <v>1.0874015748031496E-5</v>
      </c>
      <c r="J35" s="1"/>
      <c r="K35" s="1"/>
      <c r="L35" s="1"/>
      <c r="M35" s="1"/>
      <c r="N35" s="1"/>
      <c r="O35" s="1"/>
      <c r="P35" s="1"/>
      <c r="Q35" s="1"/>
      <c r="R35" s="17"/>
      <c r="S35" s="1"/>
      <c r="T35" s="1"/>
      <c r="U35" s="1"/>
      <c r="AD35" s="6"/>
    </row>
    <row r="36" spans="1:30" x14ac:dyDescent="0.2">
      <c r="A36" s="35">
        <v>600</v>
      </c>
      <c r="B36" s="38">
        <v>1.669E-6</v>
      </c>
      <c r="C36" s="38">
        <v>4.2950000000000003E-7</v>
      </c>
      <c r="D36" s="38">
        <v>2.5699999999999999E-7</v>
      </c>
      <c r="E36" s="3"/>
      <c r="F36" s="38">
        <f t="shared" si="0"/>
        <v>6.570866141732285E-5</v>
      </c>
      <c r="G36" s="38">
        <f t="shared" si="0"/>
        <v>1.6909448818897639E-5</v>
      </c>
      <c r="H36" s="38">
        <f t="shared" si="0"/>
        <v>1.0118110236220472E-5</v>
      </c>
      <c r="J36" s="1"/>
      <c r="K36" s="1"/>
      <c r="L36" s="1"/>
      <c r="M36" s="1"/>
      <c r="N36" s="1"/>
      <c r="O36" s="1"/>
      <c r="P36" s="1"/>
      <c r="Q36" s="1"/>
      <c r="R36" s="17"/>
      <c r="S36" s="1"/>
      <c r="T36" s="1"/>
      <c r="U36" s="1"/>
      <c r="AD36" s="6"/>
    </row>
    <row r="37" spans="1:30" x14ac:dyDescent="0.2">
      <c r="A37" s="35">
        <v>620</v>
      </c>
      <c r="B37" s="38">
        <v>1.677E-6</v>
      </c>
      <c r="C37" s="38">
        <v>4.6499999999999999E-7</v>
      </c>
      <c r="D37" s="38">
        <v>2.3760000000000001E-7</v>
      </c>
      <c r="E37" s="3"/>
      <c r="F37" s="38">
        <f t="shared" si="0"/>
        <v>6.6023622047244092E-5</v>
      </c>
      <c r="G37" s="38">
        <f t="shared" si="0"/>
        <v>1.8307086614173227E-5</v>
      </c>
      <c r="H37" s="38">
        <f t="shared" si="0"/>
        <v>9.3543307086614179E-6</v>
      </c>
      <c r="J37" s="1"/>
      <c r="K37" s="1"/>
      <c r="L37" s="1"/>
      <c r="M37" s="1"/>
      <c r="N37" s="1"/>
      <c r="O37" s="1"/>
      <c r="P37" s="1"/>
      <c r="Q37" s="1"/>
      <c r="R37" s="17"/>
      <c r="S37" s="1"/>
      <c r="T37" s="1"/>
      <c r="U37" s="1"/>
      <c r="AD37" s="6"/>
    </row>
    <row r="38" spans="1:30" x14ac:dyDescent="0.2">
      <c r="A38" s="35">
        <v>640</v>
      </c>
      <c r="B38" s="38">
        <v>1.686E-6</v>
      </c>
      <c r="C38" s="38">
        <v>4.9859999999999998E-7</v>
      </c>
      <c r="D38" s="38">
        <v>2.181E-7</v>
      </c>
      <c r="E38" s="3"/>
      <c r="F38" s="38">
        <f t="shared" si="0"/>
        <v>6.637795275590552E-5</v>
      </c>
      <c r="G38" s="38">
        <f t="shared" si="0"/>
        <v>1.9629921259842519E-5</v>
      </c>
      <c r="H38" s="38">
        <f t="shared" si="0"/>
        <v>8.5866141732283463E-6</v>
      </c>
      <c r="J38" s="1"/>
      <c r="K38" s="1"/>
      <c r="L38" s="1"/>
      <c r="M38" s="1"/>
      <c r="N38" s="1"/>
      <c r="O38" s="1"/>
      <c r="P38" s="1"/>
      <c r="Q38" s="1"/>
      <c r="R38" s="17"/>
      <c r="S38" s="1"/>
      <c r="T38" s="1"/>
      <c r="U38" s="1"/>
      <c r="AD38" s="6"/>
    </row>
    <row r="39" spans="1:30" x14ac:dyDescent="0.2">
      <c r="A39" s="35">
        <v>660</v>
      </c>
      <c r="B39" s="38">
        <v>1.674E-6</v>
      </c>
      <c r="C39" s="38">
        <v>5.3019999999999992E-7</v>
      </c>
      <c r="D39" s="38">
        <v>2.0179999999999999E-7</v>
      </c>
      <c r="E39" s="3"/>
      <c r="F39" s="38">
        <f t="shared" si="0"/>
        <v>6.5905511811023616E-5</v>
      </c>
      <c r="G39" s="38">
        <f t="shared" si="0"/>
        <v>2.0874015748031494E-5</v>
      </c>
      <c r="H39" s="38">
        <f t="shared" si="0"/>
        <v>7.9448818897637796E-6</v>
      </c>
      <c r="J39" s="1"/>
      <c r="K39" s="1"/>
      <c r="L39" s="1"/>
      <c r="M39" s="1"/>
      <c r="N39" s="1"/>
      <c r="O39" s="1"/>
      <c r="P39" s="1"/>
      <c r="Q39" s="1"/>
      <c r="R39" s="17"/>
      <c r="S39" s="1"/>
      <c r="T39" s="1"/>
      <c r="U39" s="1"/>
      <c r="AD39" s="6"/>
    </row>
    <row r="40" spans="1:30" x14ac:dyDescent="0.2">
      <c r="A40" s="35">
        <v>680</v>
      </c>
      <c r="B40" s="38">
        <v>1.6529999999999999E-6</v>
      </c>
      <c r="C40" s="38">
        <v>5.5980000000000002E-7</v>
      </c>
      <c r="D40" s="38">
        <v>1.8869999999999999E-7</v>
      </c>
      <c r="E40" s="3"/>
      <c r="F40" s="38">
        <f t="shared" si="0"/>
        <v>6.5078740157480312E-5</v>
      </c>
      <c r="G40" s="38">
        <f t="shared" si="0"/>
        <v>2.2039370078740161E-5</v>
      </c>
      <c r="H40" s="38">
        <f t="shared" si="0"/>
        <v>7.4291338582677161E-6</v>
      </c>
      <c r="J40" s="1"/>
      <c r="K40" s="1"/>
      <c r="L40" s="1"/>
      <c r="M40" s="1"/>
      <c r="N40" s="1"/>
      <c r="O40" s="1"/>
      <c r="P40" s="1"/>
      <c r="Q40" s="1"/>
      <c r="R40" s="17"/>
      <c r="S40" s="1"/>
      <c r="T40" s="1"/>
      <c r="U40" s="1"/>
      <c r="AD40" s="6"/>
    </row>
    <row r="41" spans="1:30" x14ac:dyDescent="0.2">
      <c r="A41" s="35">
        <v>700</v>
      </c>
      <c r="B41" s="38">
        <v>1.6309999999999999E-6</v>
      </c>
      <c r="C41" s="38">
        <v>5.8719999999999996E-7</v>
      </c>
      <c r="D41" s="38">
        <v>1.7909999999999998E-7</v>
      </c>
      <c r="E41" s="3"/>
      <c r="F41" s="38">
        <f t="shared" si="0"/>
        <v>6.4212598425196848E-5</v>
      </c>
      <c r="G41" s="38">
        <f t="shared" si="0"/>
        <v>2.3118110236220473E-5</v>
      </c>
      <c r="H41" s="38">
        <f t="shared" si="0"/>
        <v>7.0511811023622046E-6</v>
      </c>
      <c r="J41" s="1"/>
      <c r="K41" s="1"/>
      <c r="L41" s="1"/>
      <c r="M41" s="1"/>
      <c r="N41" s="1"/>
      <c r="O41" s="1"/>
      <c r="P41" s="1"/>
      <c r="Q41" s="1"/>
      <c r="R41" s="17"/>
      <c r="S41" s="1"/>
      <c r="T41" s="1"/>
      <c r="U41" s="1"/>
      <c r="AD41" s="6"/>
    </row>
    <row r="42" spans="1:30" x14ac:dyDescent="0.2">
      <c r="A42" s="35">
        <v>720</v>
      </c>
      <c r="B42" s="38">
        <v>1.598E-6</v>
      </c>
      <c r="C42" s="38">
        <v>6.1040000000000001E-7</v>
      </c>
      <c r="D42" s="38">
        <v>1.7219999999999999E-7</v>
      </c>
      <c r="E42" s="3"/>
      <c r="F42" s="38">
        <f t="shared" si="0"/>
        <v>6.2913385826771654E-5</v>
      </c>
      <c r="G42" s="38">
        <f t="shared" si="0"/>
        <v>2.4031496062992127E-5</v>
      </c>
      <c r="H42" s="38">
        <f t="shared" si="0"/>
        <v>6.7795275590551179E-6</v>
      </c>
      <c r="J42" s="1"/>
      <c r="K42" s="1"/>
      <c r="L42" s="1"/>
      <c r="M42" s="1"/>
      <c r="N42" s="1"/>
      <c r="O42" s="1"/>
      <c r="P42" s="1"/>
      <c r="Q42" s="1"/>
      <c r="R42" s="17"/>
      <c r="S42" s="2"/>
      <c r="T42" s="2"/>
      <c r="U42" s="2"/>
      <c r="AD42" s="6"/>
    </row>
    <row r="43" spans="1:30" x14ac:dyDescent="0.2">
      <c r="A43" s="35">
        <v>740</v>
      </c>
      <c r="B43" s="38">
        <v>1.5650000000000001E-6</v>
      </c>
      <c r="C43" s="38">
        <v>6.2949999999999997E-7</v>
      </c>
      <c r="D43" s="38">
        <v>1.7019999999999998E-7</v>
      </c>
      <c r="E43" s="3"/>
      <c r="F43" s="38">
        <f t="shared" si="0"/>
        <v>6.1614173228346459E-5</v>
      </c>
      <c r="G43" s="38">
        <f t="shared" si="0"/>
        <v>2.4783464566929132E-5</v>
      </c>
      <c r="H43" s="38">
        <f t="shared" si="0"/>
        <v>6.7007874015748023E-6</v>
      </c>
      <c r="J43" s="1"/>
      <c r="K43" s="1"/>
      <c r="L43" s="1"/>
      <c r="M43" s="1"/>
      <c r="N43" s="1"/>
      <c r="O43" s="1"/>
      <c r="P43" s="1"/>
      <c r="Q43" s="1"/>
      <c r="R43" s="17"/>
      <c r="S43" s="3"/>
      <c r="T43" s="3"/>
      <c r="U43" s="3"/>
      <c r="AD43" s="6"/>
    </row>
    <row r="44" spans="1:30" x14ac:dyDescent="0.2">
      <c r="A44" s="35">
        <v>760</v>
      </c>
      <c r="B44" s="38">
        <v>1.5230000000000001E-6</v>
      </c>
      <c r="C44" s="38">
        <v>6.4649999999999997E-7</v>
      </c>
      <c r="D44" s="38">
        <v>1.7109999999999999E-7</v>
      </c>
      <c r="E44" s="3"/>
      <c r="F44" s="38">
        <f t="shared" si="0"/>
        <v>5.996062992125985E-5</v>
      </c>
      <c r="G44" s="38">
        <f t="shared" si="0"/>
        <v>2.5452755905511809E-5</v>
      </c>
      <c r="H44" s="38">
        <f t="shared" si="0"/>
        <v>6.7362204724409447E-6</v>
      </c>
      <c r="J44" s="1"/>
      <c r="K44" s="1"/>
      <c r="L44" s="1"/>
      <c r="M44" s="1"/>
      <c r="N44" s="1"/>
      <c r="O44" s="1"/>
      <c r="P44" s="1"/>
      <c r="Q44" s="1"/>
      <c r="R44" s="17"/>
      <c r="S44" s="1"/>
      <c r="T44" s="1"/>
      <c r="U44" s="1"/>
      <c r="AD44" s="6"/>
    </row>
    <row r="45" spans="1:30" x14ac:dyDescent="0.2">
      <c r="A45" s="35">
        <v>780</v>
      </c>
      <c r="B45" s="38">
        <v>1.4900000000000001E-6</v>
      </c>
      <c r="C45" s="38">
        <v>6.5939999999999999E-7</v>
      </c>
      <c r="D45" s="38">
        <v>1.761E-7</v>
      </c>
      <c r="E45" s="3"/>
      <c r="F45" s="38">
        <f t="shared" si="0"/>
        <v>5.8661417322834655E-5</v>
      </c>
      <c r="G45" s="38">
        <f t="shared" si="0"/>
        <v>2.5960629921259843E-5</v>
      </c>
      <c r="H45" s="38">
        <f t="shared" si="0"/>
        <v>6.9330708661417329E-6</v>
      </c>
      <c r="J45" s="1"/>
      <c r="K45" s="1"/>
      <c r="L45" s="1"/>
      <c r="M45" s="1"/>
      <c r="N45" s="1"/>
      <c r="O45" s="1"/>
      <c r="P45" s="1"/>
      <c r="Q45" s="1"/>
      <c r="R45" s="17"/>
      <c r="S45" s="1"/>
      <c r="T45" s="1"/>
      <c r="U45" s="1"/>
      <c r="AD45" s="6"/>
    </row>
    <row r="46" spans="1:30" x14ac:dyDescent="0.2">
      <c r="A46" s="35">
        <v>800</v>
      </c>
      <c r="B46" s="38">
        <v>1.4470000000000001E-6</v>
      </c>
      <c r="C46" s="38">
        <v>6.6920000000000009E-7</v>
      </c>
      <c r="D46" s="38">
        <v>1.843E-7</v>
      </c>
      <c r="E46" s="3"/>
      <c r="F46" s="38">
        <f t="shared" si="0"/>
        <v>5.696850393700788E-5</v>
      </c>
      <c r="G46" s="38">
        <f t="shared" si="0"/>
        <v>2.634645669291339E-5</v>
      </c>
      <c r="H46" s="38">
        <f t="shared" si="0"/>
        <v>7.2559055118110243E-6</v>
      </c>
      <c r="J46" s="1"/>
      <c r="K46" s="1"/>
      <c r="L46" s="1"/>
      <c r="M46" s="1"/>
      <c r="N46" s="1"/>
      <c r="O46" s="1"/>
      <c r="P46" s="1"/>
      <c r="Q46" s="1"/>
      <c r="R46" s="17"/>
      <c r="S46" s="1"/>
      <c r="T46" s="1"/>
      <c r="U46" s="1"/>
      <c r="AD46" s="5"/>
    </row>
    <row r="47" spans="1:30" x14ac:dyDescent="0.2">
      <c r="A47" s="35">
        <v>820</v>
      </c>
      <c r="B47" s="38">
        <v>1.404E-6</v>
      </c>
      <c r="C47" s="38">
        <v>6.7719999999999995E-7</v>
      </c>
      <c r="D47" s="38">
        <v>1.9530000000000001E-7</v>
      </c>
      <c r="E47" s="3"/>
      <c r="F47" s="38">
        <f t="shared" si="0"/>
        <v>5.5275590551181106E-5</v>
      </c>
      <c r="G47" s="38">
        <f t="shared" si="0"/>
        <v>2.6661417322834646E-5</v>
      </c>
      <c r="H47" s="38">
        <f t="shared" si="0"/>
        <v>7.6889763779527568E-6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D47" s="6"/>
    </row>
    <row r="48" spans="1:30" x14ac:dyDescent="0.2">
      <c r="A48" s="35">
        <v>840</v>
      </c>
      <c r="B48" s="38">
        <v>1.362E-6</v>
      </c>
      <c r="C48" s="38">
        <v>6.8220000000000001E-7</v>
      </c>
      <c r="D48" s="38">
        <v>2.0919999999999999E-7</v>
      </c>
      <c r="E48" s="3"/>
      <c r="F48" s="38">
        <f t="shared" si="0"/>
        <v>5.3622047244094497E-5</v>
      </c>
      <c r="G48" s="38">
        <f t="shared" si="0"/>
        <v>2.6858267716535436E-5</v>
      </c>
      <c r="H48" s="38">
        <f t="shared" si="0"/>
        <v>8.2362204724409448E-6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D48" s="3"/>
    </row>
    <row r="49" spans="1:30" x14ac:dyDescent="0.2">
      <c r="A49" s="35">
        <v>860</v>
      </c>
      <c r="B49" s="38">
        <v>1.319E-6</v>
      </c>
      <c r="C49" s="38">
        <v>6.863E-7</v>
      </c>
      <c r="D49" s="38">
        <v>2.255E-7</v>
      </c>
      <c r="E49" s="3"/>
      <c r="F49" s="38">
        <f t="shared" si="0"/>
        <v>5.1929133858267722E-5</v>
      </c>
      <c r="G49" s="38">
        <f t="shared" si="0"/>
        <v>2.7019685039370082E-5</v>
      </c>
      <c r="H49" s="38">
        <f t="shared" si="0"/>
        <v>8.8779527559055132E-6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D49" s="3"/>
    </row>
    <row r="50" spans="1:30" x14ac:dyDescent="0.2">
      <c r="A50" s="35">
        <v>880</v>
      </c>
      <c r="B50" s="38">
        <v>1.277E-6</v>
      </c>
      <c r="C50" s="38">
        <v>6.8849999999999995E-7</v>
      </c>
      <c r="D50" s="38">
        <v>2.452E-7</v>
      </c>
      <c r="E50" s="3"/>
      <c r="F50" s="38">
        <f t="shared" si="0"/>
        <v>5.0275590551181099E-5</v>
      </c>
      <c r="G50" s="38">
        <f t="shared" si="0"/>
        <v>2.7106299212598425E-5</v>
      </c>
      <c r="H50" s="38">
        <f t="shared" si="0"/>
        <v>9.6535433070866138E-6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D50" s="3"/>
    </row>
    <row r="51" spans="1:30" x14ac:dyDescent="0.2">
      <c r="A51" s="35">
        <v>900</v>
      </c>
      <c r="B51" s="38">
        <v>1.235E-6</v>
      </c>
      <c r="C51" s="38">
        <v>6.8890000000000009E-7</v>
      </c>
      <c r="D51" s="38">
        <v>2.6720000000000001E-7</v>
      </c>
      <c r="E51" s="3"/>
      <c r="F51" s="38">
        <f t="shared" si="0"/>
        <v>4.862204724409449E-5</v>
      </c>
      <c r="G51" s="38">
        <f t="shared" si="0"/>
        <v>2.7122047244094493E-5</v>
      </c>
      <c r="H51" s="38">
        <f t="shared" si="0"/>
        <v>1.0519685039370079E-5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D51" s="4"/>
    </row>
    <row r="52" spans="1:30" x14ac:dyDescent="0.2">
      <c r="A52" s="35">
        <v>920</v>
      </c>
      <c r="B52" s="38">
        <v>1.1930000000000001E-6</v>
      </c>
      <c r="C52" s="38">
        <v>6.8840000000000005E-7</v>
      </c>
      <c r="D52" s="38">
        <v>2.9259999999999996E-7</v>
      </c>
      <c r="E52" s="3"/>
      <c r="F52" s="38">
        <f t="shared" si="0"/>
        <v>4.6968503937007881E-5</v>
      </c>
      <c r="G52" s="38">
        <f t="shared" si="0"/>
        <v>2.7102362204724414E-5</v>
      </c>
      <c r="H52" s="38">
        <f t="shared" si="0"/>
        <v>1.1519685039370078E-5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D52" s="4"/>
    </row>
    <row r="53" spans="1:30" x14ac:dyDescent="0.2">
      <c r="A53" s="35">
        <v>940</v>
      </c>
      <c r="B53" s="38">
        <v>1.1510000000000001E-6</v>
      </c>
      <c r="C53" s="38">
        <v>6.8619999999999999E-7</v>
      </c>
      <c r="D53" s="38">
        <v>3.1880000000000002E-7</v>
      </c>
      <c r="E53" s="3"/>
      <c r="F53" s="38">
        <f t="shared" si="0"/>
        <v>4.5314960629921265E-5</v>
      </c>
      <c r="G53" s="38">
        <f t="shared" si="0"/>
        <v>2.7015748031496064E-5</v>
      </c>
      <c r="H53" s="38">
        <f t="shared" si="0"/>
        <v>1.2551181102362204E-5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  <c r="AD53" s="4"/>
    </row>
    <row r="54" spans="1:30" x14ac:dyDescent="0.2">
      <c r="A54" s="35">
        <v>960</v>
      </c>
      <c r="B54" s="38">
        <v>1.114E-6</v>
      </c>
      <c r="C54" s="38">
        <v>6.8429999999999995E-7</v>
      </c>
      <c r="D54" s="38">
        <v>3.46E-7</v>
      </c>
      <c r="E54" s="3"/>
      <c r="F54" s="38">
        <f t="shared" si="0"/>
        <v>4.3858267716535436E-5</v>
      </c>
      <c r="G54" s="38">
        <f t="shared" si="0"/>
        <v>2.6940944881889764E-5</v>
      </c>
      <c r="H54" s="38">
        <f t="shared" si="0"/>
        <v>1.362204724409449E-5</v>
      </c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AD54" s="4"/>
    </row>
    <row r="55" spans="1:30" x14ac:dyDescent="0.2">
      <c r="A55" s="8">
        <v>980</v>
      </c>
      <c r="B55" s="38">
        <v>1.0779999999999999E-6</v>
      </c>
      <c r="C55" s="38">
        <v>6.8170000000000008E-7</v>
      </c>
      <c r="D55" s="38">
        <v>3.7300000000000002E-7</v>
      </c>
      <c r="E55" s="3"/>
      <c r="F55" s="38">
        <f t="shared" si="0"/>
        <v>4.2440944881889765E-5</v>
      </c>
      <c r="G55" s="38">
        <f t="shared" si="0"/>
        <v>2.6838582677165357E-5</v>
      </c>
      <c r="H55" s="38">
        <f t="shared" si="0"/>
        <v>1.4685039370078741E-5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D55" s="4"/>
    </row>
    <row r="56" spans="1:30" x14ac:dyDescent="0.2">
      <c r="A56" s="8">
        <v>1000</v>
      </c>
      <c r="B56" s="38">
        <v>1.0440000000000001E-6</v>
      </c>
      <c r="C56" s="38">
        <v>6.7829999999999993E-7</v>
      </c>
      <c r="D56" s="38">
        <v>4.0000000000000003E-7</v>
      </c>
      <c r="E56" s="3"/>
      <c r="F56" s="38">
        <f t="shared" si="0"/>
        <v>4.1102362204724412E-5</v>
      </c>
      <c r="G56" s="38">
        <f t="shared" si="0"/>
        <v>2.6704724409448819E-5</v>
      </c>
      <c r="H56" s="38">
        <f t="shared" si="0"/>
        <v>1.5748031496062993E-5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D56" s="4"/>
    </row>
    <row r="57" spans="1:30" x14ac:dyDescent="0.2">
      <c r="A57" s="8">
        <v>1020</v>
      </c>
      <c r="B57" s="38">
        <v>1.0100000000000001E-6</v>
      </c>
      <c r="C57" s="38">
        <v>6.75E-7</v>
      </c>
      <c r="D57" s="38">
        <v>4.3099999999999998E-7</v>
      </c>
      <c r="E57" s="3"/>
      <c r="F57" s="38">
        <f t="shared" si="0"/>
        <v>3.9763779527559058E-5</v>
      </c>
      <c r="G57" s="38">
        <f t="shared" si="0"/>
        <v>2.6574803149606303E-5</v>
      </c>
      <c r="H57" s="38">
        <f t="shared" si="0"/>
        <v>1.6968503937007874E-5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D57" s="4"/>
    </row>
    <row r="58" spans="1:30" x14ac:dyDescent="0.2">
      <c r="A58" s="8">
        <v>1040</v>
      </c>
      <c r="B58" s="38">
        <v>9.7700000000000013E-7</v>
      </c>
      <c r="C58" s="38">
        <v>6.6959999999999991E-7</v>
      </c>
      <c r="D58" s="38">
        <v>4.7399999999999998E-7</v>
      </c>
      <c r="E58" s="3"/>
      <c r="F58" s="38">
        <f t="shared" si="0"/>
        <v>3.846456692913387E-5</v>
      </c>
      <c r="G58" s="38">
        <f t="shared" si="0"/>
        <v>2.6362204724409445E-5</v>
      </c>
      <c r="H58" s="38">
        <f t="shared" si="0"/>
        <v>1.8661417322834645E-5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D58" s="4"/>
    </row>
    <row r="59" spans="1:30" x14ac:dyDescent="0.2">
      <c r="A59" s="8">
        <v>1060</v>
      </c>
      <c r="B59" s="38">
        <v>9.4500000000000006E-7</v>
      </c>
      <c r="C59" s="39">
        <v>6.6410000000000002E-7</v>
      </c>
      <c r="D59" s="38">
        <v>5.5000000000000003E-7</v>
      </c>
      <c r="E59" s="3"/>
      <c r="F59" s="38">
        <f t="shared" si="0"/>
        <v>3.7204724409448827E-5</v>
      </c>
      <c r="G59" s="38">
        <f t="shared" si="0"/>
        <v>2.6145669291338586E-5</v>
      </c>
      <c r="H59" s="38">
        <f t="shared" si="0"/>
        <v>2.1653543307086618E-5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D59" s="4"/>
    </row>
    <row r="60" spans="1:30" x14ac:dyDescent="0.2">
      <c r="A60" s="8">
        <v>1080</v>
      </c>
      <c r="B60" s="38">
        <v>9.1399999999999995E-7</v>
      </c>
      <c r="C60" s="38">
        <v>6.582E-7</v>
      </c>
      <c r="D60" s="38">
        <v>6.61E-7</v>
      </c>
      <c r="E60" s="3"/>
      <c r="F60" s="38">
        <f t="shared" si="0"/>
        <v>3.5984251968503936E-5</v>
      </c>
      <c r="G60" s="38">
        <f t="shared" si="0"/>
        <v>2.5913385826771652E-5</v>
      </c>
      <c r="H60" s="38">
        <f t="shared" si="0"/>
        <v>2.6023622047244096E-5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D60" s="3"/>
    </row>
    <row r="61" spans="1:30" x14ac:dyDescent="0.2">
      <c r="A61" s="8">
        <v>1100</v>
      </c>
      <c r="B61" s="38">
        <v>8.8299999999999995E-7</v>
      </c>
      <c r="C61" s="38">
        <v>6.5440000000000004E-7</v>
      </c>
      <c r="D61" s="38">
        <v>7.7399999999999992E-7</v>
      </c>
      <c r="E61" s="3"/>
      <c r="F61" s="38">
        <f t="shared" si="0"/>
        <v>3.4763779527559059E-5</v>
      </c>
      <c r="G61" s="38">
        <f t="shared" si="0"/>
        <v>2.576377952755906E-5</v>
      </c>
      <c r="H61" s="38">
        <f t="shared" si="0"/>
        <v>3.0472440944881891E-5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D61" s="3"/>
    </row>
    <row r="62" spans="1:30" x14ac:dyDescent="0.2">
      <c r="A62" s="8">
        <v>1120</v>
      </c>
      <c r="B62" s="38">
        <v>8.5299999999999992E-7</v>
      </c>
      <c r="C62" s="38">
        <v>6.5139999999999992E-7</v>
      </c>
      <c r="D62" s="38">
        <v>8.4399999999999999E-7</v>
      </c>
      <c r="E62" s="3"/>
      <c r="F62" s="38">
        <f t="shared" si="0"/>
        <v>3.3582677165354326E-5</v>
      </c>
      <c r="G62" s="38">
        <f t="shared" si="0"/>
        <v>2.5645669291338581E-5</v>
      </c>
      <c r="H62" s="38">
        <f t="shared" si="0"/>
        <v>3.3228346456692919E-5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D62" s="3"/>
    </row>
    <row r="63" spans="1:30" x14ac:dyDescent="0.2">
      <c r="A63" s="8">
        <v>1140</v>
      </c>
      <c r="B63" s="38">
        <v>8.2600000000000001E-7</v>
      </c>
      <c r="C63" s="38">
        <v>6.4809999999999999E-7</v>
      </c>
      <c r="D63" s="38">
        <v>8.6099999999999989E-7</v>
      </c>
      <c r="E63" s="3"/>
      <c r="F63" s="38">
        <f t="shared" si="0"/>
        <v>3.2519685039370083E-5</v>
      </c>
      <c r="G63" s="38">
        <f t="shared" si="0"/>
        <v>2.5515748031496065E-5</v>
      </c>
      <c r="H63" s="38">
        <f t="shared" si="0"/>
        <v>3.3897637795275589E-5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D63" s="3"/>
    </row>
    <row r="64" spans="1:30" x14ac:dyDescent="0.2">
      <c r="A64" s="8">
        <v>1160</v>
      </c>
      <c r="B64" s="38">
        <v>7.9800000000000003E-7</v>
      </c>
      <c r="C64" s="38">
        <v>6.4369999999999997E-7</v>
      </c>
      <c r="D64" s="38">
        <v>8.3399999999999998E-7</v>
      </c>
      <c r="E64" s="3"/>
      <c r="F64" s="38">
        <f t="shared" si="0"/>
        <v>3.1417322834645668E-5</v>
      </c>
      <c r="G64" s="38">
        <f t="shared" si="0"/>
        <v>2.5342519685039372E-5</v>
      </c>
      <c r="H64" s="38">
        <f t="shared" si="0"/>
        <v>3.2834645669291339E-5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D64" s="3"/>
    </row>
    <row r="65" spans="1:30" x14ac:dyDescent="0.2">
      <c r="A65" s="8">
        <v>1180</v>
      </c>
      <c r="B65" s="38">
        <v>7.7000000000000004E-7</v>
      </c>
      <c r="C65" s="38">
        <v>6.3590000000000002E-7</v>
      </c>
      <c r="D65" s="38">
        <v>7.85E-7</v>
      </c>
      <c r="E65" s="3"/>
      <c r="F65" s="38">
        <f t="shared" si="0"/>
        <v>3.0314960629921263E-5</v>
      </c>
      <c r="G65" s="38">
        <f t="shared" si="0"/>
        <v>2.5035433070866142E-5</v>
      </c>
      <c r="H65" s="38">
        <f t="shared" si="0"/>
        <v>3.0905511811023626E-5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D65" s="3"/>
    </row>
    <row r="66" spans="1:30" x14ac:dyDescent="0.2">
      <c r="A66" s="8">
        <v>1200</v>
      </c>
      <c r="B66" s="38">
        <v>7.4300000000000002E-7</v>
      </c>
      <c r="C66" s="38">
        <v>6.2770000000000004E-7</v>
      </c>
      <c r="D66" s="38">
        <v>7.4000000000000001E-7</v>
      </c>
      <c r="E66" s="3"/>
      <c r="F66" s="38">
        <f t="shared" si="0"/>
        <v>2.9251968503937014E-5</v>
      </c>
      <c r="G66" s="38">
        <f t="shared" si="0"/>
        <v>2.4712598425196854E-5</v>
      </c>
      <c r="H66" s="38">
        <f t="shared" si="0"/>
        <v>2.9133858267716538E-5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D66" s="3"/>
    </row>
    <row r="67" spans="1:30" x14ac:dyDescent="0.2">
      <c r="A67" s="8">
        <v>1220</v>
      </c>
      <c r="B67" s="38">
        <v>7.1800000000000005E-7</v>
      </c>
      <c r="C67" s="38">
        <v>6.1920000000000004E-7</v>
      </c>
      <c r="D67" s="38">
        <v>7.0999999999999998E-7</v>
      </c>
      <c r="E67" s="3"/>
      <c r="F67" s="38">
        <f t="shared" si="0"/>
        <v>2.8267716535433071E-5</v>
      </c>
      <c r="G67" s="38">
        <f t="shared" si="0"/>
        <v>2.4377952755905516E-5</v>
      </c>
      <c r="H67" s="38">
        <f t="shared" si="0"/>
        <v>2.7952755905511812E-5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D67" s="1"/>
    </row>
    <row r="68" spans="1:30" x14ac:dyDescent="0.2">
      <c r="A68" s="8">
        <v>1240</v>
      </c>
      <c r="B68" s="38">
        <v>6.9500000000000002E-7</v>
      </c>
      <c r="C68" s="38">
        <v>6.1080000000000004E-7</v>
      </c>
      <c r="D68" s="38">
        <v>6.9500000000000002E-7</v>
      </c>
      <c r="E68" s="3"/>
      <c r="F68" s="38">
        <f t="shared" si="0"/>
        <v>2.7362204724409449E-5</v>
      </c>
      <c r="G68" s="38">
        <f t="shared" si="0"/>
        <v>2.4047244094488192E-5</v>
      </c>
      <c r="H68" s="38">
        <f t="shared" si="0"/>
        <v>2.7362204724409449E-5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D68" s="1"/>
    </row>
    <row r="69" spans="1:30" x14ac:dyDescent="0.2">
      <c r="A69" s="8">
        <v>1260</v>
      </c>
      <c r="B69" s="38">
        <v>6.7200000000000009E-7</v>
      </c>
      <c r="C69" s="38">
        <v>6.0270000000000007E-7</v>
      </c>
      <c r="D69" s="38">
        <v>6.9100000000000003E-7</v>
      </c>
      <c r="E69" s="3"/>
      <c r="F69" s="38">
        <f t="shared" si="0"/>
        <v>2.6456692913385831E-5</v>
      </c>
      <c r="G69" s="38">
        <f t="shared" si="0"/>
        <v>2.3728346456692918E-5</v>
      </c>
      <c r="H69" s="38">
        <f t="shared" si="0"/>
        <v>2.7204724409448821E-5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D69" s="1"/>
    </row>
    <row r="70" spans="1:30" x14ac:dyDescent="0.2">
      <c r="A70" s="8">
        <v>1280</v>
      </c>
      <c r="B70" s="38">
        <v>6.5099999999999999E-7</v>
      </c>
      <c r="C70" s="38">
        <v>5.9589999999999998E-7</v>
      </c>
      <c r="D70" s="38">
        <v>6.9400000000000005E-7</v>
      </c>
      <c r="E70" s="3"/>
      <c r="F70" s="38">
        <f t="shared" si="0"/>
        <v>2.5629921259842519E-5</v>
      </c>
      <c r="G70" s="38">
        <f t="shared" si="0"/>
        <v>2.3460629921259843E-5</v>
      </c>
      <c r="H70" s="38">
        <f t="shared" si="0"/>
        <v>2.7322834645669294E-5</v>
      </c>
      <c r="J70" s="1"/>
      <c r="K70" s="1"/>
      <c r="L70" s="5"/>
      <c r="M70" s="1"/>
      <c r="N70" s="1"/>
      <c r="O70" s="1"/>
      <c r="P70" s="1"/>
      <c r="Q70" s="1"/>
      <c r="R70" s="17"/>
      <c r="S70" s="1"/>
      <c r="T70" s="1"/>
      <c r="U70" s="1"/>
      <c r="AD70" s="1"/>
    </row>
    <row r="71" spans="1:30" x14ac:dyDescent="0.2">
      <c r="A71" s="8">
        <v>1300</v>
      </c>
      <c r="B71" s="38">
        <v>6.3200000000000005E-7</v>
      </c>
      <c r="C71" s="38">
        <v>5.8930000000000002E-7</v>
      </c>
      <c r="D71" s="38">
        <v>7.0200000000000001E-7</v>
      </c>
      <c r="E71" s="3"/>
      <c r="F71" s="38">
        <f t="shared" ref="F71:H126" si="1">B71*1000/25.4</f>
        <v>2.4881889763779532E-5</v>
      </c>
      <c r="G71" s="38">
        <f t="shared" si="1"/>
        <v>2.3200787401574808E-5</v>
      </c>
      <c r="H71" s="38">
        <f t="shared" si="1"/>
        <v>2.7637795275590553E-5</v>
      </c>
      <c r="J71" s="1"/>
      <c r="K71" s="3"/>
      <c r="L71" s="20"/>
      <c r="M71" s="1"/>
      <c r="N71" s="1"/>
      <c r="O71" s="1"/>
      <c r="P71" s="1"/>
      <c r="Q71" s="1"/>
      <c r="R71" s="1"/>
      <c r="S71" s="1"/>
      <c r="T71" s="1"/>
      <c r="U71" s="1"/>
      <c r="AD71" s="1"/>
    </row>
    <row r="72" spans="1:30" x14ac:dyDescent="0.2">
      <c r="A72" s="8">
        <v>1320</v>
      </c>
      <c r="B72" s="38">
        <v>6.1500000000000004E-7</v>
      </c>
      <c r="C72" s="38">
        <v>5.8380000000000003E-7</v>
      </c>
      <c r="D72" s="38">
        <v>7.1200000000000002E-7</v>
      </c>
      <c r="E72" s="3"/>
      <c r="F72" s="38">
        <f t="shared" si="1"/>
        <v>2.4212598425196855E-5</v>
      </c>
      <c r="G72" s="38">
        <f t="shared" si="1"/>
        <v>2.2984251968503939E-5</v>
      </c>
      <c r="H72" s="38">
        <f t="shared" si="1"/>
        <v>2.8031496062992129E-5</v>
      </c>
      <c r="J72" s="1"/>
      <c r="K72" s="1"/>
      <c r="L72" s="20"/>
      <c r="M72" s="1"/>
      <c r="N72" s="1"/>
      <c r="O72" s="1"/>
      <c r="P72" s="1"/>
      <c r="Q72" s="1"/>
      <c r="R72" s="1"/>
      <c r="S72" s="1"/>
      <c r="T72" s="1"/>
      <c r="U72" s="1"/>
      <c r="AD72" s="1"/>
    </row>
    <row r="73" spans="1:30" x14ac:dyDescent="0.2">
      <c r="A73" s="8">
        <v>1340</v>
      </c>
      <c r="B73" s="38">
        <v>5.99E-7</v>
      </c>
      <c r="C73" s="38">
        <v>5.7849999999999995E-7</v>
      </c>
      <c r="D73" s="38">
        <v>7.2399999999999997E-7</v>
      </c>
      <c r="E73" s="3"/>
      <c r="F73" s="38">
        <f t="shared" si="1"/>
        <v>2.3582677165354334E-5</v>
      </c>
      <c r="G73" s="38">
        <f t="shared" si="1"/>
        <v>2.2775590551181102E-5</v>
      </c>
      <c r="H73" s="38">
        <f t="shared" si="1"/>
        <v>2.8503937007874016E-5</v>
      </c>
      <c r="J73" s="1"/>
      <c r="K73" s="1"/>
      <c r="L73" s="20"/>
      <c r="M73" s="1"/>
      <c r="N73" s="1"/>
      <c r="O73" s="1"/>
      <c r="P73" s="1"/>
      <c r="Q73" s="1"/>
      <c r="R73" s="1"/>
      <c r="S73" s="1"/>
      <c r="T73" s="1"/>
      <c r="U73" s="1"/>
      <c r="AD73" s="1"/>
    </row>
    <row r="74" spans="1:30" x14ac:dyDescent="0.2">
      <c r="A74" s="8">
        <v>1360</v>
      </c>
      <c r="B74" s="38">
        <v>5.8400000000000004E-7</v>
      </c>
      <c r="C74" s="38">
        <v>5.7330000000000008E-7</v>
      </c>
      <c r="D74" s="38">
        <v>7.37E-7</v>
      </c>
      <c r="E74" s="3"/>
      <c r="F74" s="38">
        <f t="shared" si="1"/>
        <v>2.2992125984251971E-5</v>
      </c>
      <c r="G74" s="38">
        <f t="shared" si="1"/>
        <v>2.257086614173229E-5</v>
      </c>
      <c r="H74" s="38">
        <f t="shared" si="1"/>
        <v>2.9015748031496065E-5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D74" s="1"/>
    </row>
    <row r="75" spans="1:30" x14ac:dyDescent="0.2">
      <c r="A75" s="8">
        <v>1380</v>
      </c>
      <c r="B75" s="38">
        <v>5.7000000000000005E-7</v>
      </c>
      <c r="C75" s="38">
        <v>5.7010000000000006E-7</v>
      </c>
      <c r="D75" s="38">
        <v>7.5099999999999999E-7</v>
      </c>
      <c r="E75" s="3"/>
      <c r="F75" s="38">
        <f t="shared" si="1"/>
        <v>2.2440944881889767E-5</v>
      </c>
      <c r="G75" s="38">
        <f t="shared" si="1"/>
        <v>2.2444881889763781E-5</v>
      </c>
      <c r="H75" s="38">
        <f t="shared" si="1"/>
        <v>2.9566929133858273E-5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D75" s="1"/>
    </row>
    <row r="76" spans="1:30" x14ac:dyDescent="0.2">
      <c r="A76" s="8">
        <v>1400</v>
      </c>
      <c r="B76" s="38">
        <v>5.5799999999999999E-7</v>
      </c>
      <c r="C76" s="38">
        <v>5.6590000000000006E-7</v>
      </c>
      <c r="D76" s="38">
        <v>7.6299999999999994E-7</v>
      </c>
      <c r="E76" s="3"/>
      <c r="F76" s="38">
        <f t="shared" si="1"/>
        <v>2.1968503937007877E-5</v>
      </c>
      <c r="G76" s="38">
        <f t="shared" si="1"/>
        <v>2.2279527559055121E-5</v>
      </c>
      <c r="H76" s="38">
        <f t="shared" si="1"/>
        <v>3.0039370078740156E-5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D76" s="1"/>
    </row>
    <row r="77" spans="1:30" x14ac:dyDescent="0.2">
      <c r="A77" s="8">
        <v>1420</v>
      </c>
      <c r="B77" s="38">
        <v>5.4700000000000001E-7</v>
      </c>
      <c r="C77" s="38">
        <v>5.6280000000000004E-7</v>
      </c>
      <c r="D77" s="38">
        <v>7.7499999999999999E-7</v>
      </c>
      <c r="E77" s="3"/>
      <c r="F77" s="38">
        <f t="shared" si="1"/>
        <v>2.1535433070866142E-5</v>
      </c>
      <c r="G77" s="38">
        <f t="shared" si="1"/>
        <v>2.2157480314960631E-5</v>
      </c>
      <c r="H77" s="38">
        <f t="shared" si="1"/>
        <v>3.0511811023622046E-5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D77" s="1"/>
    </row>
    <row r="78" spans="1:30" x14ac:dyDescent="0.2">
      <c r="A78" s="8">
        <v>1440</v>
      </c>
      <c r="B78" s="38">
        <v>5.3600000000000004E-7</v>
      </c>
      <c r="C78" s="38">
        <v>5.6059999999999998E-7</v>
      </c>
      <c r="D78" s="38">
        <v>7.8700000000000005E-7</v>
      </c>
      <c r="E78" s="3"/>
      <c r="F78" s="38">
        <f t="shared" si="1"/>
        <v>2.110236220472441E-5</v>
      </c>
      <c r="G78" s="38">
        <f t="shared" si="1"/>
        <v>2.2070866141732284E-5</v>
      </c>
      <c r="H78" s="38">
        <f t="shared" si="1"/>
        <v>3.0984251968503943E-5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D78" s="1"/>
    </row>
    <row r="79" spans="1:30" x14ac:dyDescent="0.2">
      <c r="A79" s="8">
        <v>1460</v>
      </c>
      <c r="B79" s="38">
        <v>5.2600000000000002E-7</v>
      </c>
      <c r="C79" s="38">
        <v>5.5840000000000002E-7</v>
      </c>
      <c r="D79" s="38">
        <v>7.9899999999999999E-7</v>
      </c>
      <c r="E79" s="3"/>
      <c r="F79" s="38">
        <f t="shared" si="1"/>
        <v>2.0708661417322837E-5</v>
      </c>
      <c r="G79" s="38">
        <f t="shared" si="1"/>
        <v>2.1984251968503938E-5</v>
      </c>
      <c r="H79" s="38">
        <f t="shared" si="1"/>
        <v>3.1456692913385827E-5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D79" s="1"/>
    </row>
    <row r="80" spans="1:30" x14ac:dyDescent="0.2">
      <c r="A80" s="8">
        <v>1480</v>
      </c>
      <c r="B80" s="38">
        <v>5.1600000000000001E-7</v>
      </c>
      <c r="C80" s="38">
        <v>5.5719999999999993E-7</v>
      </c>
      <c r="D80" s="38">
        <v>8.1000000000000008E-7</v>
      </c>
      <c r="E80" s="3"/>
      <c r="F80" s="38">
        <f t="shared" si="1"/>
        <v>2.0314960629921261E-5</v>
      </c>
      <c r="G80" s="38">
        <f t="shared" si="1"/>
        <v>2.1937007874015744E-5</v>
      </c>
      <c r="H80" s="38">
        <f t="shared" si="1"/>
        <v>3.1889763779527565E-5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D80" s="1"/>
    </row>
    <row r="81" spans="1:30" x14ac:dyDescent="0.2">
      <c r="A81" s="8">
        <v>1500</v>
      </c>
      <c r="B81" s="38">
        <v>5.0699999999999997E-7</v>
      </c>
      <c r="C81" s="38">
        <v>5.5499999999999998E-7</v>
      </c>
      <c r="D81" s="38">
        <v>8.2200000000000003E-7</v>
      </c>
      <c r="E81" s="3"/>
      <c r="F81" s="38">
        <f t="shared" si="1"/>
        <v>1.9960629921259843E-5</v>
      </c>
      <c r="G81" s="38">
        <f t="shared" si="1"/>
        <v>2.1850393700787401E-5</v>
      </c>
      <c r="H81" s="38">
        <f t="shared" si="1"/>
        <v>3.2362204724409449E-5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</row>
    <row r="82" spans="1:30" x14ac:dyDescent="0.2">
      <c r="A82" s="8">
        <v>1520</v>
      </c>
      <c r="B82" s="38">
        <v>4.9699999999999996E-7</v>
      </c>
      <c r="C82" s="38">
        <v>5.5369999999999999E-7</v>
      </c>
      <c r="D82" s="38">
        <v>8.3300000000000001E-7</v>
      </c>
      <c r="E82" s="3"/>
      <c r="F82" s="38">
        <f t="shared" si="1"/>
        <v>1.9566929133858267E-5</v>
      </c>
      <c r="G82" s="38">
        <f t="shared" si="1"/>
        <v>2.1799212598425195E-5</v>
      </c>
      <c r="H82" s="38">
        <f t="shared" si="1"/>
        <v>3.279527559055118E-5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D82" s="1"/>
    </row>
    <row r="83" spans="1:30" x14ac:dyDescent="0.2">
      <c r="A83" s="8">
        <v>1540</v>
      </c>
      <c r="B83" s="38">
        <v>4.8800000000000003E-7</v>
      </c>
      <c r="C83" s="38">
        <v>5.525E-7</v>
      </c>
      <c r="D83" s="38">
        <v>8.4499999999999996E-7</v>
      </c>
      <c r="E83" s="3"/>
      <c r="F83" s="38">
        <f t="shared" si="1"/>
        <v>1.9212598425196852E-5</v>
      </c>
      <c r="G83" s="38">
        <f t="shared" si="1"/>
        <v>2.1751968503937011E-5</v>
      </c>
      <c r="H83" s="38">
        <f t="shared" si="1"/>
        <v>3.3267716535433071E-5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D83" s="1"/>
    </row>
    <row r="84" spans="1:30" x14ac:dyDescent="0.2">
      <c r="A84" s="8">
        <v>1560</v>
      </c>
      <c r="B84" s="38">
        <v>4.7800000000000002E-7</v>
      </c>
      <c r="C84" s="38">
        <v>5.5120000000000001E-7</v>
      </c>
      <c r="D84" s="38">
        <v>8.5700000000000001E-7</v>
      </c>
      <c r="E84" s="3"/>
      <c r="F84" s="38">
        <f t="shared" si="1"/>
        <v>1.8818897637795276E-5</v>
      </c>
      <c r="G84" s="38">
        <f t="shared" si="1"/>
        <v>2.1700787401574805E-5</v>
      </c>
      <c r="H84" s="38">
        <f t="shared" si="1"/>
        <v>3.3740157480314961E-5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D84" s="1"/>
    </row>
    <row r="85" spans="1:30" x14ac:dyDescent="0.2">
      <c r="A85" s="8">
        <v>1580</v>
      </c>
      <c r="B85" s="38">
        <v>4.6899999999999998E-7</v>
      </c>
      <c r="C85" s="38">
        <v>5.4990000000000002E-7</v>
      </c>
      <c r="D85" s="38">
        <v>8.71E-7</v>
      </c>
      <c r="E85" s="3"/>
      <c r="F85" s="38">
        <f t="shared" si="1"/>
        <v>1.8464566929133858E-5</v>
      </c>
      <c r="G85" s="38">
        <f t="shared" si="1"/>
        <v>2.16496062992126E-5</v>
      </c>
      <c r="H85" s="38">
        <f t="shared" si="1"/>
        <v>3.4291338582677168E-5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D85" s="1"/>
    </row>
    <row r="86" spans="1:30" x14ac:dyDescent="0.2">
      <c r="A86" s="8">
        <v>1600</v>
      </c>
      <c r="B86" s="38">
        <v>4.58E-7</v>
      </c>
      <c r="C86" s="38">
        <v>5.4859999999999992E-7</v>
      </c>
      <c r="D86" s="38">
        <v>8.85E-7</v>
      </c>
      <c r="E86" s="3"/>
      <c r="F86" s="38">
        <f t="shared" si="1"/>
        <v>1.8031496062992127E-5</v>
      </c>
      <c r="G86" s="38">
        <f t="shared" si="1"/>
        <v>2.1598425196850391E-5</v>
      </c>
      <c r="H86" s="38">
        <f t="shared" si="1"/>
        <v>3.4842519685039376E-5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D86" s="1"/>
    </row>
    <row r="87" spans="1:30" x14ac:dyDescent="0.2">
      <c r="A87" s="8">
        <v>1620</v>
      </c>
      <c r="B87" s="38">
        <v>4.4900000000000001E-7</v>
      </c>
      <c r="C87" s="38">
        <v>5.4630000000000007E-7</v>
      </c>
      <c r="D87" s="38">
        <v>9.0000000000000007E-7</v>
      </c>
      <c r="E87" s="3"/>
      <c r="F87" s="38">
        <f t="shared" si="1"/>
        <v>1.7677165354330709E-5</v>
      </c>
      <c r="G87" s="38">
        <f t="shared" si="1"/>
        <v>2.1507874015748037E-5</v>
      </c>
      <c r="H87" s="38">
        <f t="shared" si="1"/>
        <v>3.5433070866141735E-5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D87" s="1"/>
    </row>
    <row r="88" spans="1:30" x14ac:dyDescent="0.2">
      <c r="A88" s="8">
        <v>1640</v>
      </c>
      <c r="B88" s="38">
        <v>4.3799999999999998E-7</v>
      </c>
      <c r="C88" s="38">
        <v>5.44E-7</v>
      </c>
      <c r="D88" s="38">
        <v>9.1699999999999997E-7</v>
      </c>
      <c r="E88" s="3"/>
      <c r="F88" s="38">
        <f t="shared" si="1"/>
        <v>1.7244094488188977E-5</v>
      </c>
      <c r="G88" s="38">
        <f t="shared" si="1"/>
        <v>2.1417322834645669E-5</v>
      </c>
      <c r="H88" s="38">
        <f t="shared" si="1"/>
        <v>3.6102362204724412E-5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D88" s="1"/>
    </row>
    <row r="89" spans="1:30" x14ac:dyDescent="0.2">
      <c r="A89" s="8">
        <v>1660</v>
      </c>
      <c r="B89" s="38">
        <v>4.2799999999999997E-7</v>
      </c>
      <c r="C89" s="38">
        <v>5.4180000000000005E-7</v>
      </c>
      <c r="D89" s="38">
        <v>9.3600000000000002E-7</v>
      </c>
      <c r="E89" s="3"/>
      <c r="F89" s="38">
        <f t="shared" si="1"/>
        <v>1.6850393700787401E-5</v>
      </c>
      <c r="G89" s="38">
        <f t="shared" si="1"/>
        <v>2.1330708661417326E-5</v>
      </c>
      <c r="H89" s="38">
        <f t="shared" si="1"/>
        <v>3.6850393700787406E-5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D89" s="1"/>
    </row>
    <row r="90" spans="1:30" x14ac:dyDescent="0.2">
      <c r="A90" s="8">
        <v>1680</v>
      </c>
      <c r="B90" s="38">
        <v>4.1699999999999999E-7</v>
      </c>
      <c r="C90" s="38">
        <v>5.3850000000000001E-7</v>
      </c>
      <c r="D90" s="38">
        <v>9.569999999999999E-7</v>
      </c>
      <c r="E90" s="3"/>
      <c r="F90" s="38">
        <f t="shared" si="1"/>
        <v>1.6417322834645669E-5</v>
      </c>
      <c r="G90" s="38">
        <f t="shared" si="1"/>
        <v>2.1200787401574807E-5</v>
      </c>
      <c r="H90" s="38">
        <f t="shared" si="1"/>
        <v>3.7677165354330711E-5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D90" s="1"/>
    </row>
    <row r="91" spans="1:30" x14ac:dyDescent="0.2">
      <c r="A91" s="8">
        <v>1700</v>
      </c>
      <c r="B91" s="38">
        <v>4.0600000000000001E-7</v>
      </c>
      <c r="C91" s="38">
        <v>5.3529999999999998E-7</v>
      </c>
      <c r="D91" s="38">
        <v>9.7900000000000007E-7</v>
      </c>
      <c r="E91" s="3"/>
      <c r="F91" s="38">
        <f t="shared" si="1"/>
        <v>1.5984251968503938E-5</v>
      </c>
      <c r="G91" s="38">
        <f t="shared" si="1"/>
        <v>2.1074803149606298E-5</v>
      </c>
      <c r="H91" s="38">
        <f t="shared" si="1"/>
        <v>3.8543307086614181E-5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D91" s="1"/>
    </row>
    <row r="92" spans="1:30" x14ac:dyDescent="0.2">
      <c r="A92" s="8">
        <v>1720</v>
      </c>
      <c r="B92" s="38">
        <v>3.96E-7</v>
      </c>
      <c r="C92" s="38">
        <v>5.3100000000000008E-7</v>
      </c>
      <c r="D92" s="38">
        <v>1.0019999999999999E-6</v>
      </c>
      <c r="E92" s="3"/>
      <c r="F92" s="38">
        <f t="shared" si="1"/>
        <v>1.5590551181102362E-5</v>
      </c>
      <c r="G92" s="38">
        <f t="shared" si="1"/>
        <v>2.0905511811023627E-5</v>
      </c>
      <c r="H92" s="38">
        <f t="shared" si="1"/>
        <v>3.9448818897637789E-5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D92" s="1"/>
    </row>
    <row r="93" spans="1:30" x14ac:dyDescent="0.2">
      <c r="A93" s="8">
        <v>1740</v>
      </c>
      <c r="B93" s="38">
        <v>3.8500000000000002E-7</v>
      </c>
      <c r="C93" s="38">
        <v>5.2780000000000005E-7</v>
      </c>
      <c r="D93" s="38">
        <v>1.0270000000000001E-6</v>
      </c>
      <c r="E93" s="3"/>
      <c r="F93" s="38">
        <f t="shared" si="1"/>
        <v>1.5157480314960632E-5</v>
      </c>
      <c r="G93" s="38">
        <f t="shared" si="1"/>
        <v>2.0779527559055122E-5</v>
      </c>
      <c r="H93" s="38">
        <f t="shared" si="1"/>
        <v>4.0433070866141742E-5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D93" s="1"/>
    </row>
    <row r="94" spans="1:30" x14ac:dyDescent="0.2">
      <c r="A94" s="8">
        <v>1760</v>
      </c>
      <c r="B94" s="38">
        <v>3.7500000000000001E-7</v>
      </c>
      <c r="C94" s="38">
        <v>5.2360000000000006E-7</v>
      </c>
      <c r="D94" s="38">
        <v>1.0529999999999999E-6</v>
      </c>
      <c r="E94" s="3"/>
      <c r="F94" s="38">
        <f t="shared" si="1"/>
        <v>1.4763779527559057E-5</v>
      </c>
      <c r="G94" s="38">
        <f t="shared" si="1"/>
        <v>2.0614173228346458E-5</v>
      </c>
      <c r="H94" s="38">
        <f t="shared" si="1"/>
        <v>4.1456692913385826E-5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D94" s="1"/>
    </row>
    <row r="95" spans="1:30" x14ac:dyDescent="0.2">
      <c r="A95" s="8">
        <v>1780</v>
      </c>
      <c r="B95" s="38">
        <v>3.65E-7</v>
      </c>
      <c r="C95" s="38">
        <v>5.1939999999999995E-7</v>
      </c>
      <c r="D95" s="38">
        <v>1.082E-6</v>
      </c>
      <c r="E95" s="3"/>
      <c r="F95" s="38">
        <f t="shared" si="1"/>
        <v>1.4370078740157481E-5</v>
      </c>
      <c r="G95" s="38">
        <f t="shared" si="1"/>
        <v>2.0448818897637795E-5</v>
      </c>
      <c r="H95" s="38">
        <f t="shared" si="1"/>
        <v>4.25984251968504E-5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D95" s="1"/>
    </row>
    <row r="96" spans="1:30" x14ac:dyDescent="0.2">
      <c r="A96" s="8">
        <v>1800</v>
      </c>
      <c r="B96" s="38">
        <v>3.5600000000000001E-7</v>
      </c>
      <c r="C96" s="38">
        <v>5.1419999999999999E-7</v>
      </c>
      <c r="D96" s="38">
        <v>1.113E-6</v>
      </c>
      <c r="E96" s="3"/>
      <c r="F96" s="38">
        <f t="shared" si="1"/>
        <v>1.4015748031496065E-5</v>
      </c>
      <c r="G96" s="38">
        <f t="shared" si="1"/>
        <v>2.0244094488188979E-5</v>
      </c>
      <c r="H96" s="38">
        <f t="shared" si="1"/>
        <v>4.3818897637795277E-5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D96" s="1"/>
    </row>
    <row r="97" spans="1:30" x14ac:dyDescent="0.2">
      <c r="A97" s="8">
        <v>1820</v>
      </c>
      <c r="B97" s="38">
        <v>3.4700000000000002E-7</v>
      </c>
      <c r="C97" s="38">
        <v>5.0999999999999999E-7</v>
      </c>
      <c r="D97" s="38">
        <v>1.1489999999999999E-6</v>
      </c>
      <c r="E97" s="3"/>
      <c r="F97" s="38">
        <f t="shared" si="1"/>
        <v>1.3661417322834647E-5</v>
      </c>
      <c r="G97" s="38">
        <f t="shared" si="1"/>
        <v>2.0078740157480319E-5</v>
      </c>
      <c r="H97" s="38">
        <f t="shared" si="1"/>
        <v>4.5236220472440941E-5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D97" s="1"/>
    </row>
    <row r="98" spans="1:30" x14ac:dyDescent="0.2">
      <c r="A98" s="8">
        <v>1840</v>
      </c>
      <c r="B98" s="38">
        <v>3.39E-7</v>
      </c>
      <c r="C98" s="38">
        <v>5.0480000000000002E-7</v>
      </c>
      <c r="D98" s="38">
        <v>1.186E-6</v>
      </c>
      <c r="E98" s="3"/>
      <c r="F98" s="38">
        <f t="shared" si="1"/>
        <v>1.3346456692913386E-5</v>
      </c>
      <c r="G98" s="38">
        <f t="shared" si="1"/>
        <v>1.9874015748031497E-5</v>
      </c>
      <c r="H98" s="38">
        <f t="shared" si="1"/>
        <v>4.6692913385826771E-5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D98" s="1"/>
    </row>
    <row r="99" spans="1:30" x14ac:dyDescent="0.2">
      <c r="A99" s="8">
        <v>1860</v>
      </c>
      <c r="B99" s="38">
        <v>3.3099999999999999E-7</v>
      </c>
      <c r="C99" s="38">
        <v>4.9960000000000005E-7</v>
      </c>
      <c r="D99" s="38">
        <v>1.2240000000000001E-6</v>
      </c>
      <c r="E99" s="3"/>
      <c r="F99" s="38">
        <f t="shared" si="1"/>
        <v>1.3031496062992125E-5</v>
      </c>
      <c r="G99" s="38">
        <f t="shared" si="1"/>
        <v>1.9669291338582678E-5</v>
      </c>
      <c r="H99" s="38">
        <f t="shared" si="1"/>
        <v>4.8188976377952759E-5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D99" s="1"/>
    </row>
    <row r="100" spans="1:30" x14ac:dyDescent="0.2">
      <c r="A100" s="8">
        <v>1880</v>
      </c>
      <c r="B100" s="38">
        <v>3.2500000000000001E-7</v>
      </c>
      <c r="C100" s="38">
        <v>4.9439999999999998E-7</v>
      </c>
      <c r="D100" s="38">
        <v>1.2610000000000001E-6</v>
      </c>
      <c r="E100" s="3"/>
      <c r="F100" s="38">
        <f t="shared" si="1"/>
        <v>1.2795275590551182E-5</v>
      </c>
      <c r="G100" s="38">
        <f t="shared" si="1"/>
        <v>1.9464566929133859E-5</v>
      </c>
      <c r="H100" s="38">
        <f t="shared" si="1"/>
        <v>4.9645669291338595E-5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D100" s="1"/>
    </row>
    <row r="101" spans="1:30" x14ac:dyDescent="0.2">
      <c r="A101" s="8">
        <v>1900</v>
      </c>
      <c r="B101" s="38">
        <v>3.1799999999999996E-7</v>
      </c>
      <c r="C101" s="38">
        <v>4.8930000000000002E-7</v>
      </c>
      <c r="D101" s="38">
        <v>1.3090000000000001E-6</v>
      </c>
      <c r="E101" s="3"/>
      <c r="F101" s="38">
        <f t="shared" si="1"/>
        <v>1.2519685039370078E-5</v>
      </c>
      <c r="G101" s="38">
        <f t="shared" si="1"/>
        <v>1.9263779527559058E-5</v>
      </c>
      <c r="H101" s="38">
        <f t="shared" si="1"/>
        <v>5.1535433070866149E-5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D101" s="1"/>
    </row>
    <row r="102" spans="1:30" x14ac:dyDescent="0.2">
      <c r="A102" s="8">
        <v>1920</v>
      </c>
      <c r="B102" s="38">
        <v>3.1199999999999999E-7</v>
      </c>
      <c r="C102" s="38">
        <v>4.8409999999999995E-7</v>
      </c>
      <c r="D102" s="38">
        <v>1.347E-6</v>
      </c>
      <c r="E102" s="3"/>
      <c r="F102" s="38">
        <f t="shared" si="1"/>
        <v>1.2283464566929135E-5</v>
      </c>
      <c r="G102" s="38">
        <f t="shared" si="1"/>
        <v>1.9059055118110236E-5</v>
      </c>
      <c r="H102" s="38">
        <f t="shared" si="1"/>
        <v>5.3031496062992124E-5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D102" s="1"/>
    </row>
    <row r="103" spans="1:30" x14ac:dyDescent="0.2">
      <c r="A103" s="8">
        <v>1940</v>
      </c>
      <c r="B103" s="38">
        <v>3.0699999999999998E-7</v>
      </c>
      <c r="C103" s="38">
        <v>4.7990000000000006E-7</v>
      </c>
      <c r="D103" s="38">
        <v>1.3849999999999999E-6</v>
      </c>
      <c r="E103" s="3"/>
      <c r="F103" s="38">
        <f t="shared" si="1"/>
        <v>1.2086614173228347E-5</v>
      </c>
      <c r="G103" s="38">
        <f t="shared" si="1"/>
        <v>1.8893700787401579E-5</v>
      </c>
      <c r="H103" s="38">
        <f t="shared" si="1"/>
        <v>5.4527559055118112E-5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D103" s="1"/>
    </row>
    <row r="104" spans="1:30" x14ac:dyDescent="0.2">
      <c r="A104" s="8">
        <v>1960</v>
      </c>
      <c r="B104" s="38">
        <v>3.0099999999999996E-7</v>
      </c>
      <c r="C104" s="38">
        <v>4.7569999999999995E-7</v>
      </c>
      <c r="D104" s="38">
        <v>1.4330000000000001E-6</v>
      </c>
      <c r="E104" s="3"/>
      <c r="F104" s="38">
        <f t="shared" si="1"/>
        <v>1.18503937007874E-5</v>
      </c>
      <c r="G104" s="38">
        <f t="shared" si="1"/>
        <v>1.8728346456692912E-5</v>
      </c>
      <c r="H104" s="38">
        <f t="shared" si="1"/>
        <v>5.6417322834645673E-5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D104" s="1"/>
    </row>
    <row r="105" spans="1:30" x14ac:dyDescent="0.2">
      <c r="A105" s="8">
        <v>1980</v>
      </c>
      <c r="B105" s="38">
        <v>2.9699999999999997E-7</v>
      </c>
      <c r="C105" s="38">
        <v>4.7260000000000004E-7</v>
      </c>
      <c r="D105" s="38">
        <v>1.4810000000000001E-6</v>
      </c>
      <c r="E105" s="3"/>
      <c r="F105" s="38">
        <f t="shared" si="1"/>
        <v>1.169291338582677E-5</v>
      </c>
      <c r="G105" s="38">
        <f t="shared" si="1"/>
        <v>1.8606299212598428E-5</v>
      </c>
      <c r="H105" s="38">
        <f t="shared" si="1"/>
        <v>5.8307086614173234E-5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D105" s="1"/>
    </row>
    <row r="106" spans="1:30" x14ac:dyDescent="0.2">
      <c r="A106" s="8">
        <v>2000</v>
      </c>
      <c r="B106" s="38">
        <v>2.9399999999999996E-7</v>
      </c>
      <c r="C106" s="38">
        <v>4.6839999999999999E-7</v>
      </c>
      <c r="D106" s="38">
        <v>1.5400000000000001E-6</v>
      </c>
      <c r="E106" s="3"/>
      <c r="F106" s="38">
        <f t="shared" si="1"/>
        <v>1.1574803149606298E-5</v>
      </c>
      <c r="G106" s="38">
        <f t="shared" si="1"/>
        <v>1.8440944881889764E-5</v>
      </c>
      <c r="H106" s="38">
        <f t="shared" si="1"/>
        <v>6.0629921259842526E-5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D106" s="1"/>
    </row>
    <row r="107" spans="1:30" x14ac:dyDescent="0.2">
      <c r="A107" s="8">
        <v>2020</v>
      </c>
      <c r="B107" s="38">
        <v>2.91E-7</v>
      </c>
      <c r="C107" s="38">
        <v>4.6530000000000002E-7</v>
      </c>
      <c r="D107" s="38">
        <v>1.5880000000000001E-6</v>
      </c>
      <c r="E107" s="3"/>
      <c r="F107" s="38">
        <f t="shared" si="1"/>
        <v>1.1456692913385827E-5</v>
      </c>
      <c r="G107" s="38">
        <f t="shared" si="1"/>
        <v>1.8318897637795277E-5</v>
      </c>
      <c r="H107" s="38">
        <f t="shared" si="1"/>
        <v>6.2519685039370081E-5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D107" s="1"/>
    </row>
    <row r="108" spans="1:30" x14ac:dyDescent="0.2">
      <c r="A108" s="8">
        <v>2040</v>
      </c>
      <c r="B108" s="38">
        <v>2.8900000000000001E-7</v>
      </c>
      <c r="C108" s="38">
        <v>4.622E-7</v>
      </c>
      <c r="D108" s="38">
        <v>1.6470000000000001E-6</v>
      </c>
      <c r="E108" s="3"/>
      <c r="F108" s="38">
        <f t="shared" si="1"/>
        <v>1.1377952755905513E-5</v>
      </c>
      <c r="G108" s="38">
        <f t="shared" si="1"/>
        <v>1.819685039370079E-5</v>
      </c>
      <c r="H108" s="38">
        <f t="shared" si="1"/>
        <v>6.4842519685039373E-5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D108" s="1"/>
    </row>
    <row r="109" spans="1:30" x14ac:dyDescent="0.2">
      <c r="A109" s="8">
        <v>2060</v>
      </c>
      <c r="B109" s="38">
        <v>2.8699999999999996E-7</v>
      </c>
      <c r="C109" s="38">
        <v>4.5909999999999998E-7</v>
      </c>
      <c r="D109" s="38">
        <v>1.716E-6</v>
      </c>
      <c r="E109" s="3"/>
      <c r="F109" s="38">
        <f t="shared" si="1"/>
        <v>1.1299212598425197E-5</v>
      </c>
      <c r="G109" s="38">
        <f t="shared" si="1"/>
        <v>1.80748031496063E-5</v>
      </c>
      <c r="H109" s="38">
        <f t="shared" si="1"/>
        <v>6.7559055118110239E-5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D109" s="1"/>
    </row>
    <row r="110" spans="1:30" x14ac:dyDescent="0.2">
      <c r="A110" s="8">
        <v>2080</v>
      </c>
      <c r="B110" s="38">
        <v>2.8599999999999999E-7</v>
      </c>
      <c r="C110" s="38">
        <v>4.5599999999999995E-7</v>
      </c>
      <c r="D110" s="38">
        <v>1.7750000000000002E-6</v>
      </c>
      <c r="E110" s="3"/>
      <c r="F110" s="38">
        <f t="shared" si="1"/>
        <v>1.125984251968504E-5</v>
      </c>
      <c r="G110" s="38">
        <f t="shared" si="1"/>
        <v>1.7952755905511809E-5</v>
      </c>
      <c r="H110" s="38">
        <f t="shared" si="1"/>
        <v>6.9881889763779531E-5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D110" s="1"/>
    </row>
    <row r="111" spans="1:30" x14ac:dyDescent="0.2">
      <c r="A111" s="8">
        <v>2100</v>
      </c>
      <c r="B111" s="38">
        <v>2.8599999999999999E-7</v>
      </c>
      <c r="C111" s="38">
        <v>4.5390000000000001E-7</v>
      </c>
      <c r="D111" s="38">
        <v>1.844E-6</v>
      </c>
      <c r="E111" s="3"/>
      <c r="F111" s="38">
        <f t="shared" si="1"/>
        <v>1.125984251968504E-5</v>
      </c>
      <c r="G111" s="38">
        <f t="shared" si="1"/>
        <v>1.7870078740157481E-5</v>
      </c>
      <c r="H111" s="38">
        <f t="shared" si="1"/>
        <v>7.2598425196850397E-5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D111" s="1"/>
    </row>
    <row r="112" spans="1:30" x14ac:dyDescent="0.2">
      <c r="A112" s="8">
        <v>2120</v>
      </c>
      <c r="B112" s="38">
        <v>2.8599999999999999E-7</v>
      </c>
      <c r="C112" s="38">
        <v>4.5180000000000001E-7</v>
      </c>
      <c r="D112" s="38">
        <v>1.9230000000000001E-6</v>
      </c>
      <c r="E112" s="3"/>
      <c r="F112" s="38">
        <f t="shared" si="1"/>
        <v>1.125984251968504E-5</v>
      </c>
      <c r="G112" s="38">
        <f t="shared" si="1"/>
        <v>1.7787401574803153E-5</v>
      </c>
      <c r="H112" s="38">
        <f t="shared" si="1"/>
        <v>7.5708661417322836E-5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D112" s="1"/>
    </row>
    <row r="113" spans="1:30" x14ac:dyDescent="0.2">
      <c r="A113" s="8">
        <v>2140</v>
      </c>
      <c r="B113" s="38">
        <v>2.8699999999999996E-7</v>
      </c>
      <c r="C113" s="38">
        <v>4.4869999999999999E-7</v>
      </c>
      <c r="D113" s="38">
        <v>2.0020000000000001E-6</v>
      </c>
      <c r="E113" s="3"/>
      <c r="F113" s="38">
        <f t="shared" si="1"/>
        <v>1.1299212598425197E-5</v>
      </c>
      <c r="G113" s="38">
        <f t="shared" si="1"/>
        <v>1.7665354330708662E-5</v>
      </c>
      <c r="H113" s="38">
        <f t="shared" si="1"/>
        <v>7.8818897637795274E-5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D113" s="1"/>
    </row>
    <row r="114" spans="1:30" x14ac:dyDescent="0.2">
      <c r="A114" s="8">
        <v>2160</v>
      </c>
      <c r="B114" s="38">
        <v>2.8900000000000001E-7</v>
      </c>
      <c r="C114" s="38">
        <v>4.4659999999999999E-7</v>
      </c>
      <c r="D114" s="38">
        <v>2.0810000000000001E-6</v>
      </c>
      <c r="E114" s="3"/>
      <c r="F114" s="38">
        <f t="shared" si="1"/>
        <v>1.1377952755905513E-5</v>
      </c>
      <c r="G114" s="38">
        <f t="shared" si="1"/>
        <v>1.7582677165354334E-5</v>
      </c>
      <c r="H114" s="38">
        <f t="shared" si="1"/>
        <v>8.1929133858267713E-5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D114" s="1"/>
    </row>
    <row r="115" spans="1:30" x14ac:dyDescent="0.2">
      <c r="A115" s="8">
        <v>2180</v>
      </c>
      <c r="B115" s="38">
        <v>2.91E-7</v>
      </c>
      <c r="C115" s="38">
        <v>4.446E-7</v>
      </c>
      <c r="D115" s="38">
        <v>2.1710000000000001E-6</v>
      </c>
      <c r="E115" s="3"/>
      <c r="F115" s="38">
        <f t="shared" si="1"/>
        <v>1.1456692913385827E-5</v>
      </c>
      <c r="G115" s="38">
        <f t="shared" si="1"/>
        <v>1.7503937007874016E-5</v>
      </c>
      <c r="H115" s="38">
        <f t="shared" si="1"/>
        <v>8.5472440944881896E-5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D115" s="1"/>
    </row>
    <row r="116" spans="1:30" x14ac:dyDescent="0.2">
      <c r="A116" s="8">
        <v>2200</v>
      </c>
      <c r="B116" s="38">
        <v>2.9400000000000001E-7</v>
      </c>
      <c r="C116" s="38">
        <v>4.425E-7</v>
      </c>
      <c r="D116" s="38">
        <v>2.2699999999999999E-6</v>
      </c>
      <c r="E116" s="3"/>
      <c r="F116" s="38">
        <f t="shared" si="1"/>
        <v>1.1574803149606299E-5</v>
      </c>
      <c r="G116" s="38">
        <f t="shared" si="1"/>
        <v>1.7421259842519688E-5</v>
      </c>
      <c r="H116" s="38">
        <f t="shared" si="1"/>
        <v>8.9370078740157481E-5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D116" s="1"/>
    </row>
    <row r="117" spans="1:30" x14ac:dyDescent="0.2">
      <c r="A117" s="8">
        <v>2220</v>
      </c>
      <c r="B117" s="38">
        <v>2.96E-7</v>
      </c>
      <c r="C117" s="38">
        <v>4.404E-7</v>
      </c>
      <c r="D117" s="38">
        <v>2.3699999999999998E-6</v>
      </c>
      <c r="E117" s="3"/>
      <c r="F117" s="38">
        <f t="shared" si="1"/>
        <v>1.1653543307086615E-5</v>
      </c>
      <c r="G117" s="38">
        <f t="shared" si="1"/>
        <v>1.7338582677165356E-5</v>
      </c>
      <c r="H117" s="38">
        <f t="shared" si="1"/>
        <v>9.3307086614173224E-5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D117" s="1"/>
    </row>
    <row r="118" spans="1:30" x14ac:dyDescent="0.2">
      <c r="A118" s="8">
        <v>2240</v>
      </c>
      <c r="B118" s="38">
        <v>2.9999999999999999E-7</v>
      </c>
      <c r="C118" s="38">
        <v>4.3840000000000001E-7</v>
      </c>
      <c r="D118" s="38">
        <v>2.4897999999999999E-6</v>
      </c>
      <c r="E118" s="3"/>
      <c r="F118" s="38">
        <f t="shared" si="1"/>
        <v>1.1811023622047245E-5</v>
      </c>
      <c r="G118" s="38">
        <f t="shared" si="1"/>
        <v>1.7259842519685042E-5</v>
      </c>
      <c r="H118" s="38">
        <f t="shared" si="1"/>
        <v>9.8023622047244097E-5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D118" s="1"/>
    </row>
    <row r="119" spans="1:30" x14ac:dyDescent="0.2">
      <c r="A119" s="8">
        <v>2260</v>
      </c>
      <c r="B119" s="38">
        <v>3.0399999999999997E-7</v>
      </c>
      <c r="C119" s="38">
        <v>4.3629999999999996E-7</v>
      </c>
      <c r="D119" s="38">
        <v>2.6096E-6</v>
      </c>
      <c r="E119" s="3"/>
      <c r="F119" s="38">
        <f t="shared" si="1"/>
        <v>1.1968503937007872E-5</v>
      </c>
      <c r="G119" s="38">
        <f t="shared" si="1"/>
        <v>1.717716535433071E-5</v>
      </c>
      <c r="H119" s="38">
        <f t="shared" si="1"/>
        <v>1.0274015748031497E-4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D119" s="1"/>
    </row>
    <row r="120" spans="1:30" x14ac:dyDescent="0.2">
      <c r="A120" s="8">
        <v>2280</v>
      </c>
      <c r="B120" s="38">
        <v>3.0800000000000001E-7</v>
      </c>
      <c r="C120" s="38">
        <v>4.3429999999999996E-7</v>
      </c>
      <c r="D120" s="38">
        <v>2.7495000000000001E-6</v>
      </c>
      <c r="E120" s="3"/>
      <c r="F120" s="38">
        <f t="shared" si="1"/>
        <v>1.2125984251968505E-5</v>
      </c>
      <c r="G120" s="38">
        <f t="shared" si="1"/>
        <v>1.7098425196850393E-5</v>
      </c>
      <c r="H120" s="38">
        <f t="shared" si="1"/>
        <v>1.0824803149606301E-4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D120" s="1"/>
    </row>
    <row r="121" spans="1:30" x14ac:dyDescent="0.2">
      <c r="A121" s="8">
        <v>2300</v>
      </c>
      <c r="B121" s="38">
        <v>3.1200000000000004E-7</v>
      </c>
      <c r="C121" s="38">
        <v>4.3120000000000005E-7</v>
      </c>
      <c r="D121" s="38">
        <v>2.9094E-6</v>
      </c>
      <c r="E121" s="3"/>
      <c r="F121" s="38">
        <f t="shared" si="1"/>
        <v>1.2283464566929136E-5</v>
      </c>
      <c r="G121" s="38">
        <f t="shared" si="1"/>
        <v>1.6976377952755909E-5</v>
      </c>
      <c r="H121" s="38">
        <f t="shared" si="1"/>
        <v>1.1454330708661417E-4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D121" s="1"/>
    </row>
    <row r="122" spans="1:30" x14ac:dyDescent="0.2">
      <c r="A122" s="8">
        <v>2320</v>
      </c>
      <c r="B122" s="38">
        <v>3.1699999999999999E-7</v>
      </c>
      <c r="C122" s="38">
        <v>4.2920000000000001E-7</v>
      </c>
      <c r="D122" s="38">
        <v>3.0893000000000002E-6</v>
      </c>
      <c r="E122" s="3"/>
      <c r="F122" s="38">
        <f t="shared" si="1"/>
        <v>1.2480314960629923E-5</v>
      </c>
      <c r="G122" s="38">
        <f t="shared" si="1"/>
        <v>1.6897637795275592E-5</v>
      </c>
      <c r="H122" s="38">
        <f t="shared" si="1"/>
        <v>1.2162598425196852E-4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D122" s="1"/>
    </row>
    <row r="123" spans="1:30" x14ac:dyDescent="0.2">
      <c r="A123" s="8">
        <v>2340</v>
      </c>
      <c r="B123" s="38">
        <v>3.2099999999999998E-7</v>
      </c>
      <c r="C123" s="38">
        <v>4.2710000000000001E-7</v>
      </c>
      <c r="D123" s="38">
        <v>3.2992999999999999E-6</v>
      </c>
      <c r="E123" s="3"/>
      <c r="F123" s="38">
        <f t="shared" si="1"/>
        <v>1.2637795275590552E-5</v>
      </c>
      <c r="G123" s="38">
        <f t="shared" si="1"/>
        <v>1.681496062992126E-5</v>
      </c>
      <c r="H123" s="38">
        <f t="shared" si="1"/>
        <v>1.2989370078740156E-4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D123" s="1"/>
    </row>
    <row r="124" spans="1:30" x14ac:dyDescent="0.2">
      <c r="A124" s="8">
        <v>2360</v>
      </c>
      <c r="B124" s="38">
        <v>3.2500000000000001E-7</v>
      </c>
      <c r="C124" s="38">
        <v>4.2510000000000001E-7</v>
      </c>
      <c r="D124" s="38">
        <v>3.5393000000000001E-6</v>
      </c>
      <c r="E124" s="3"/>
      <c r="F124" s="38">
        <f t="shared" si="1"/>
        <v>1.2795275590551182E-5</v>
      </c>
      <c r="G124" s="38">
        <f t="shared" si="1"/>
        <v>1.6736220472440946E-5</v>
      </c>
      <c r="H124" s="38">
        <f t="shared" si="1"/>
        <v>1.3934251968503937E-4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D124" s="1"/>
    </row>
    <row r="125" spans="1:30" x14ac:dyDescent="0.2">
      <c r="A125" s="8">
        <v>2380</v>
      </c>
      <c r="B125" s="38">
        <v>3.2899999999999999E-7</v>
      </c>
      <c r="C125" s="38">
        <v>4.2399999999999999E-7</v>
      </c>
      <c r="D125" s="38">
        <v>3.8294000000000001E-6</v>
      </c>
      <c r="E125" s="3"/>
      <c r="F125" s="38">
        <f t="shared" si="1"/>
        <v>1.2952755905511812E-5</v>
      </c>
      <c r="G125" s="38">
        <f t="shared" si="1"/>
        <v>1.6692913385826773E-5</v>
      </c>
      <c r="H125" s="38">
        <f t="shared" si="1"/>
        <v>1.5076377952755906E-4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D125" s="1"/>
    </row>
    <row r="126" spans="1:30" x14ac:dyDescent="0.2">
      <c r="A126" s="8">
        <v>2400</v>
      </c>
      <c r="B126" s="38">
        <v>3.3200000000000001E-7</v>
      </c>
      <c r="C126" s="38">
        <v>4.2300000000000002E-7</v>
      </c>
      <c r="D126" s="38">
        <v>4.1794000000000002E-6</v>
      </c>
      <c r="E126" s="3"/>
      <c r="F126" s="38">
        <f t="shared" si="1"/>
        <v>1.3070866141732284E-5</v>
      </c>
      <c r="G126" s="38">
        <f t="shared" si="1"/>
        <v>1.6653543307086618E-5</v>
      </c>
      <c r="H126" s="38">
        <f t="shared" si="1"/>
        <v>1.6454330708661418E-4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D126" s="1"/>
    </row>
    <row r="127" spans="1:30" x14ac:dyDescent="0.2">
      <c r="A127" s="3"/>
      <c r="B127" s="3"/>
      <c r="C127" s="3"/>
      <c r="D127" s="3"/>
      <c r="E127" s="3"/>
      <c r="F127" s="3"/>
      <c r="G127" s="3"/>
      <c r="H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D127" s="1"/>
    </row>
    <row r="128" spans="1:30" x14ac:dyDescent="0.2">
      <c r="A128" s="8" t="s">
        <v>21</v>
      </c>
      <c r="B128" s="38">
        <f>MAX(B6:B126)</f>
        <v>1.686E-6</v>
      </c>
      <c r="C128" s="38">
        <f>MAX(C6:C126)</f>
        <v>6.8890000000000009E-7</v>
      </c>
      <c r="D128" s="38">
        <f>MAX(D6:D126)</f>
        <v>4.1794000000000002E-6</v>
      </c>
      <c r="E128" s="4"/>
      <c r="F128" s="38">
        <f>MAX(F20:F126)</f>
        <v>6.637795275590552E-5</v>
      </c>
      <c r="G128" s="38">
        <f>MAX(G20:G126)</f>
        <v>2.7122047244094493E-5</v>
      </c>
      <c r="H128" s="38">
        <f>MAX(H20:H126)</f>
        <v>1.6454330708661418E-4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D128" s="1"/>
    </row>
    <row r="129" spans="1:30" x14ac:dyDescent="0.2">
      <c r="A129" s="8" t="s">
        <v>22</v>
      </c>
      <c r="B129" s="38">
        <f>B128*limits!$E29</f>
        <v>3.1427236269450853E-4</v>
      </c>
      <c r="C129" s="38">
        <f>C128*limits!$E29</f>
        <v>1.2841176195744184E-4</v>
      </c>
      <c r="D129" s="38">
        <f>D128*limits!$E29</f>
        <v>7.7904502529384885E-4</v>
      </c>
      <c r="E129" s="4"/>
      <c r="F129" s="38">
        <f>F128*limits!$E29</f>
        <v>1.2372927665138133E-2</v>
      </c>
      <c r="G129" s="38">
        <f>G128*limits!$E29</f>
        <v>5.0555811794268449E-3</v>
      </c>
      <c r="H129" s="38">
        <f>H128*limits!$E29</f>
        <v>3.0671063987946803E-2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D129" s="1"/>
    </row>
    <row r="130" spans="1:30" x14ac:dyDescent="0.2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D130" s="1"/>
    </row>
    <row r="131" spans="1:30" x14ac:dyDescent="0.2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D131" s="1"/>
    </row>
    <row r="132" spans="1:30" x14ac:dyDescent="0.2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D132" s="1"/>
    </row>
    <row r="133" spans="1:30" x14ac:dyDescent="0.2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D133" s="1"/>
    </row>
    <row r="134" spans="1:30" x14ac:dyDescent="0.2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D134" s="1"/>
    </row>
    <row r="135" spans="1:30" x14ac:dyDescent="0.2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D135" s="1"/>
    </row>
    <row r="136" spans="1:30" x14ac:dyDescent="0.2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D136" s="1"/>
    </row>
    <row r="137" spans="1:30" x14ac:dyDescent="0.2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</row>
    <row r="138" spans="1:30" x14ac:dyDescent="0.2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1"/>
    </row>
    <row r="139" spans="1:30" x14ac:dyDescent="0.2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1"/>
    </row>
    <row r="140" spans="1:30" x14ac:dyDescent="0.2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1"/>
    </row>
  </sheetData>
  <mergeCells count="4">
    <mergeCell ref="F2:H2"/>
    <mergeCell ref="A4:A5"/>
    <mergeCell ref="B4:D4"/>
    <mergeCell ref="F4:H4"/>
  </mergeCells>
  <printOptions horizontalCentered="1"/>
  <pageMargins left="0.75" right="0.75" top="1.5" bottom="0.5" header="0.75" footer="0.75"/>
  <pageSetup orientation="portrait" r:id="rId1"/>
  <headerFooter alignWithMargins="0">
    <oddHeader>&amp;L&amp;8&amp;F&amp;R&amp;8&amp;D
By: SS
Chkd:___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26AA-E23B-4215-95C7-85CB57108586}">
  <dimension ref="A1:AD140"/>
  <sheetViews>
    <sheetView showGridLines="0" zoomScale="130" zoomScaleNormal="130" workbookViewId="0">
      <selection activeCell="I4" sqref="I4"/>
    </sheetView>
  </sheetViews>
  <sheetFormatPr defaultRowHeight="12.75" x14ac:dyDescent="0.2"/>
  <cols>
    <col min="1" max="1" width="12" customWidth="1"/>
    <col min="2" max="4" width="10.42578125" bestFit="1" customWidth="1"/>
    <col min="5" max="5" width="5.5703125" customWidth="1"/>
    <col min="19" max="19" width="9.28515625" bestFit="1" customWidth="1"/>
    <col min="20" max="21" width="9.28515625" customWidth="1"/>
    <col min="22" max="22" width="12.140625" style="36" customWidth="1"/>
    <col min="23" max="25" width="9.5703125" style="36" bestFit="1" customWidth="1"/>
    <col min="26" max="26" width="9.140625" style="36"/>
    <col min="27" max="27" width="10.85546875" style="36" bestFit="1" customWidth="1"/>
    <col min="28" max="28" width="9.28515625" style="36" customWidth="1"/>
    <col min="29" max="29" width="10.85546875" style="36" bestFit="1" customWidth="1"/>
    <col min="31" max="31" width="9.28515625" bestFit="1" customWidth="1"/>
    <col min="32" max="32" width="13" bestFit="1" customWidth="1"/>
    <col min="33" max="33" width="9.28515625" bestFit="1" customWidth="1"/>
    <col min="35" max="38" width="9.28515625" bestFit="1" customWidth="1"/>
    <col min="39" max="40" width="10.5703125" bestFit="1" customWidth="1"/>
    <col min="41" max="41" width="9.28515625" bestFit="1" customWidth="1"/>
    <col min="42" max="43" width="10.5703125" bestFit="1" customWidth="1"/>
    <col min="49" max="50" width="10.5703125" bestFit="1" customWidth="1"/>
    <col min="51" max="51" width="9.28515625" bestFit="1" customWidth="1"/>
    <col min="52" max="53" width="10.5703125" bestFit="1" customWidth="1"/>
  </cols>
  <sheetData>
    <row r="1" spans="1:30" x14ac:dyDescent="0.2">
      <c r="A1" s="37" t="s">
        <v>33</v>
      </c>
      <c r="B1" s="3"/>
      <c r="C1" s="3"/>
      <c r="D1" s="3"/>
      <c r="E1" s="3"/>
      <c r="F1" s="3"/>
      <c r="G1" s="3"/>
      <c r="H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</row>
    <row r="2" spans="1:30" x14ac:dyDescent="0.2">
      <c r="A2" s="22" t="s">
        <v>38</v>
      </c>
      <c r="B2" s="1"/>
      <c r="C2" s="1"/>
      <c r="D2" s="1"/>
      <c r="E2" s="3"/>
      <c r="F2" s="40"/>
      <c r="G2" s="40"/>
      <c r="H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1"/>
    </row>
    <row r="3" spans="1:30" x14ac:dyDescent="0.2">
      <c r="A3" s="22" t="s">
        <v>39</v>
      </c>
      <c r="B3" s="36"/>
      <c r="C3" s="36"/>
      <c r="D3" s="36"/>
      <c r="E3" s="36"/>
      <c r="F3" s="36"/>
      <c r="G3" s="36"/>
      <c r="H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1"/>
    </row>
    <row r="4" spans="1:30" x14ac:dyDescent="0.2">
      <c r="A4" s="41" t="s">
        <v>35</v>
      </c>
      <c r="B4" s="43" t="s">
        <v>36</v>
      </c>
      <c r="C4" s="43"/>
      <c r="D4" s="43"/>
      <c r="E4" s="3"/>
      <c r="F4" s="43" t="s">
        <v>37</v>
      </c>
      <c r="G4" s="43"/>
      <c r="H4" s="4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1"/>
    </row>
    <row r="5" spans="1:30" x14ac:dyDescent="0.2">
      <c r="A5" s="42"/>
      <c r="B5" s="8" t="s">
        <v>0</v>
      </c>
      <c r="C5" s="8" t="s">
        <v>1</v>
      </c>
      <c r="D5" s="8" t="s">
        <v>2</v>
      </c>
      <c r="E5" s="3"/>
      <c r="F5" s="8" t="s">
        <v>0</v>
      </c>
      <c r="G5" s="8" t="s">
        <v>1</v>
      </c>
      <c r="H5" s="8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1"/>
    </row>
    <row r="6" spans="1:30" x14ac:dyDescent="0.2">
      <c r="A6" s="35">
        <v>0</v>
      </c>
      <c r="B6" s="38">
        <v>2.9529999999999999E-16</v>
      </c>
      <c r="C6" s="38">
        <v>2.9339999999999999E-17</v>
      </c>
      <c r="D6" s="38">
        <v>7.1569999999999997E-17</v>
      </c>
      <c r="E6" s="3"/>
      <c r="F6" s="38">
        <f>B6*1000/25.4</f>
        <v>1.1625984251968503E-14</v>
      </c>
      <c r="G6" s="38">
        <f>C6*1000/25.4</f>
        <v>1.1551181102362205E-15</v>
      </c>
      <c r="H6" s="38">
        <f>D6*1000/25.4</f>
        <v>2.8177165354330706E-15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1"/>
    </row>
    <row r="7" spans="1:30" x14ac:dyDescent="0.2">
      <c r="A7" s="35">
        <v>20</v>
      </c>
      <c r="B7" s="38">
        <v>1.7510000000000001E-9</v>
      </c>
      <c r="C7" s="38">
        <v>2.513E-10</v>
      </c>
      <c r="D7" s="38">
        <v>4.2399999999999998E-10</v>
      </c>
      <c r="E7" s="3"/>
      <c r="F7" s="38">
        <f t="shared" ref="F7:H70" si="0">B7*1000/25.4</f>
        <v>6.8937007874015754E-8</v>
      </c>
      <c r="G7" s="38">
        <f t="shared" si="0"/>
        <v>9.8937007874015741E-9</v>
      </c>
      <c r="H7" s="38">
        <f t="shared" si="0"/>
        <v>1.6692913385826771E-8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3"/>
      <c r="AC7" s="3"/>
      <c r="AD7" s="1"/>
    </row>
    <row r="8" spans="1:30" x14ac:dyDescent="0.2">
      <c r="A8" s="35">
        <v>40</v>
      </c>
      <c r="B8" s="38">
        <v>6.82E-9</v>
      </c>
      <c r="C8" s="38">
        <v>9.7900000000000003E-10</v>
      </c>
      <c r="D8" s="38">
        <v>1.7400000000000002E-9</v>
      </c>
      <c r="E8" s="3"/>
      <c r="F8" s="38">
        <f t="shared" si="0"/>
        <v>2.6850393700787401E-7</v>
      </c>
      <c r="G8" s="38">
        <f t="shared" si="0"/>
        <v>3.854330708661418E-8</v>
      </c>
      <c r="H8" s="38">
        <f t="shared" si="0"/>
        <v>6.850393700787403E-8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1"/>
    </row>
    <row r="9" spans="1:30" x14ac:dyDescent="0.2">
      <c r="A9" s="35">
        <v>60</v>
      </c>
      <c r="B9" s="38">
        <v>1.5379999999999999E-8</v>
      </c>
      <c r="C9" s="38">
        <v>2.2200000000000002E-9</v>
      </c>
      <c r="D9" s="38">
        <v>3.9999999999999994E-9</v>
      </c>
      <c r="E9" s="3"/>
      <c r="F9" s="38">
        <f t="shared" si="0"/>
        <v>6.0551181102362198E-7</v>
      </c>
      <c r="G9" s="38">
        <f t="shared" si="0"/>
        <v>8.740157480314962E-8</v>
      </c>
      <c r="H9" s="38">
        <f t="shared" si="0"/>
        <v>1.5748031496062992E-7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D9" s="3"/>
    </row>
    <row r="10" spans="1:30" x14ac:dyDescent="0.2">
      <c r="A10" s="35">
        <v>80</v>
      </c>
      <c r="B10" s="38">
        <v>2.8220000000000001E-8</v>
      </c>
      <c r="C10" s="38">
        <v>4.1000000000000003E-9</v>
      </c>
      <c r="D10" s="38">
        <v>7.2799999999999997E-9</v>
      </c>
      <c r="E10" s="3"/>
      <c r="F10" s="38">
        <f t="shared" si="0"/>
        <v>1.1110236220472443E-6</v>
      </c>
      <c r="G10" s="38">
        <f t="shared" si="0"/>
        <v>1.614173228346457E-7</v>
      </c>
      <c r="H10" s="38">
        <f t="shared" si="0"/>
        <v>2.8661417322834647E-7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D10" s="3"/>
    </row>
    <row r="11" spans="1:30" x14ac:dyDescent="0.2">
      <c r="A11" s="35">
        <v>100</v>
      </c>
      <c r="B11" s="38">
        <v>4.4940000000000004E-8</v>
      </c>
      <c r="C11" s="38">
        <v>6.5700000000000003E-9</v>
      </c>
      <c r="D11" s="38">
        <v>1.173E-8</v>
      </c>
      <c r="E11" s="3"/>
      <c r="F11" s="38">
        <f t="shared" si="0"/>
        <v>1.7692913385826776E-6</v>
      </c>
      <c r="G11" s="38">
        <f t="shared" si="0"/>
        <v>2.5866141732283466E-7</v>
      </c>
      <c r="H11" s="38">
        <f t="shared" si="0"/>
        <v>4.6181102362204727E-7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AD11" s="3"/>
    </row>
    <row r="12" spans="1:30" x14ac:dyDescent="0.2">
      <c r="A12" s="35">
        <v>120</v>
      </c>
      <c r="B12" s="38">
        <v>6.7000000000000004E-8</v>
      </c>
      <c r="C12" s="38">
        <v>9.8600000000000003E-9</v>
      </c>
      <c r="D12" s="38">
        <v>1.7480000000000002E-8</v>
      </c>
      <c r="E12" s="3"/>
      <c r="F12" s="38">
        <f t="shared" si="0"/>
        <v>2.6377952755905512E-6</v>
      </c>
      <c r="G12" s="38">
        <f t="shared" si="0"/>
        <v>3.881889763779528E-7</v>
      </c>
      <c r="H12" s="38">
        <f t="shared" si="0"/>
        <v>6.8818897637795284E-7</v>
      </c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AD12" s="1"/>
    </row>
    <row r="13" spans="1:30" x14ac:dyDescent="0.2">
      <c r="A13" s="35">
        <v>140</v>
      </c>
      <c r="B13" s="38">
        <v>9.499999999999999E-8</v>
      </c>
      <c r="C13" s="38">
        <v>1.4020000000000001E-8</v>
      </c>
      <c r="D13" s="38">
        <v>2.4649999999999999E-8</v>
      </c>
      <c r="E13" s="3"/>
      <c r="F13" s="38">
        <f t="shared" si="0"/>
        <v>3.7401574803149604E-6</v>
      </c>
      <c r="G13" s="38">
        <f t="shared" si="0"/>
        <v>5.5196850393700792E-7</v>
      </c>
      <c r="H13" s="38">
        <f t="shared" si="0"/>
        <v>9.7047244094488203E-7</v>
      </c>
      <c r="J13" s="1"/>
      <c r="K13" s="1"/>
      <c r="L13" s="1"/>
      <c r="M13" s="1"/>
      <c r="N13" s="1"/>
      <c r="O13" s="1"/>
      <c r="P13" s="1"/>
      <c r="Q13" s="1"/>
      <c r="R13" s="17"/>
      <c r="S13" s="9"/>
      <c r="T13" s="9"/>
      <c r="U13" s="9"/>
      <c r="AD13" s="6"/>
    </row>
    <row r="14" spans="1:30" x14ac:dyDescent="0.2">
      <c r="A14" s="35">
        <v>160</v>
      </c>
      <c r="B14" s="38">
        <v>1.3080000000000001E-7</v>
      </c>
      <c r="C14" s="38">
        <v>1.9300000000000001E-8</v>
      </c>
      <c r="D14" s="38">
        <v>3.3500000000000002E-8</v>
      </c>
      <c r="E14" s="3"/>
      <c r="F14" s="38">
        <f t="shared" si="0"/>
        <v>5.1496062992125992E-6</v>
      </c>
      <c r="G14" s="38">
        <f t="shared" si="0"/>
        <v>7.5984251968503947E-7</v>
      </c>
      <c r="H14" s="38">
        <f t="shared" si="0"/>
        <v>1.3188976377952756E-6</v>
      </c>
      <c r="J14" s="1"/>
      <c r="K14" s="1"/>
      <c r="L14" s="1"/>
      <c r="M14" s="1"/>
      <c r="N14" s="1"/>
      <c r="O14" s="1"/>
      <c r="P14" s="1"/>
      <c r="Q14" s="1"/>
      <c r="R14" s="17"/>
      <c r="S14" s="9"/>
      <c r="T14" s="9"/>
      <c r="U14" s="9"/>
      <c r="AD14" s="6"/>
    </row>
    <row r="15" spans="1:30" x14ac:dyDescent="0.2">
      <c r="A15" s="35">
        <v>180</v>
      </c>
      <c r="B15" s="38">
        <v>1.762E-7</v>
      </c>
      <c r="C15" s="38">
        <v>2.5699999999999999E-8</v>
      </c>
      <c r="D15" s="38">
        <v>4.3799999999999995E-8</v>
      </c>
      <c r="E15" s="3"/>
      <c r="F15" s="38">
        <f t="shared" si="0"/>
        <v>6.9370078740157483E-6</v>
      </c>
      <c r="G15" s="38">
        <f t="shared" si="0"/>
        <v>1.0118110236220473E-6</v>
      </c>
      <c r="H15" s="38">
        <f t="shared" si="0"/>
        <v>1.7244094488188974E-6</v>
      </c>
      <c r="J15" s="1"/>
      <c r="K15" s="1"/>
      <c r="L15" s="1"/>
      <c r="M15" s="1"/>
      <c r="N15" s="1"/>
      <c r="O15" s="1"/>
      <c r="P15" s="1"/>
      <c r="Q15" s="1"/>
      <c r="R15" s="17"/>
      <c r="S15" s="1"/>
      <c r="T15" s="1"/>
      <c r="U15" s="1"/>
      <c r="AD15" s="6"/>
    </row>
    <row r="16" spans="1:30" x14ac:dyDescent="0.2">
      <c r="A16" s="35">
        <v>200</v>
      </c>
      <c r="B16" s="38">
        <v>2.3199999999999999E-7</v>
      </c>
      <c r="C16" s="38">
        <v>3.3400000000000001E-8</v>
      </c>
      <c r="D16" s="38">
        <v>5.4599999999999999E-8</v>
      </c>
      <c r="E16" s="3"/>
      <c r="F16" s="38">
        <f t="shared" si="0"/>
        <v>9.1338582677165342E-6</v>
      </c>
      <c r="G16" s="38">
        <f t="shared" si="0"/>
        <v>1.3149606299212598E-6</v>
      </c>
      <c r="H16" s="38">
        <f t="shared" si="0"/>
        <v>2.1496062992125987E-6</v>
      </c>
      <c r="J16" s="1"/>
      <c r="K16" s="1"/>
      <c r="L16" s="1"/>
      <c r="M16" s="1"/>
      <c r="N16" s="1"/>
      <c r="O16" s="1"/>
      <c r="P16" s="1"/>
      <c r="Q16" s="1"/>
      <c r="R16" s="17"/>
      <c r="S16" s="1"/>
      <c r="T16" s="1"/>
      <c r="U16" s="1"/>
      <c r="AD16" s="6"/>
    </row>
    <row r="17" spans="1:30" x14ac:dyDescent="0.2">
      <c r="A17" s="35">
        <v>220</v>
      </c>
      <c r="B17" s="38">
        <v>2.917E-7</v>
      </c>
      <c r="C17" s="38">
        <v>4.2200000000000001E-8</v>
      </c>
      <c r="D17" s="38">
        <v>6.3800000000000002E-8</v>
      </c>
      <c r="E17" s="3"/>
      <c r="F17" s="38">
        <f t="shared" si="0"/>
        <v>1.1484251968503937E-5</v>
      </c>
      <c r="G17" s="38">
        <f t="shared" si="0"/>
        <v>1.6614173228346458E-6</v>
      </c>
      <c r="H17" s="38">
        <f t="shared" si="0"/>
        <v>2.5118110236220475E-6</v>
      </c>
      <c r="J17" s="1"/>
      <c r="K17" s="1"/>
      <c r="L17" s="1"/>
      <c r="M17" s="1"/>
      <c r="N17" s="1"/>
      <c r="O17" s="1"/>
      <c r="P17" s="1"/>
      <c r="Q17" s="1"/>
      <c r="R17" s="17"/>
      <c r="S17" s="9"/>
      <c r="T17" s="9"/>
      <c r="U17" s="9"/>
      <c r="AD17" s="6"/>
    </row>
    <row r="18" spans="1:30" x14ac:dyDescent="0.2">
      <c r="A18" s="35">
        <v>240</v>
      </c>
      <c r="B18" s="38">
        <v>3.4999999999999998E-7</v>
      </c>
      <c r="C18" s="38">
        <v>5.17E-8</v>
      </c>
      <c r="D18" s="38">
        <v>7.1E-8</v>
      </c>
      <c r="E18" s="3"/>
      <c r="F18" s="38">
        <f t="shared" si="0"/>
        <v>1.3779527559055119E-5</v>
      </c>
      <c r="G18" s="38">
        <f t="shared" si="0"/>
        <v>2.0354330708661419E-6</v>
      </c>
      <c r="H18" s="38">
        <f t="shared" si="0"/>
        <v>2.7952755905511816E-6</v>
      </c>
      <c r="J18" s="1"/>
      <c r="K18" s="1"/>
      <c r="L18" s="1"/>
      <c r="M18" s="1"/>
      <c r="N18" s="1"/>
      <c r="O18" s="1"/>
      <c r="P18" s="1"/>
      <c r="Q18" s="1"/>
      <c r="R18" s="17"/>
      <c r="S18" s="1"/>
      <c r="T18" s="1"/>
      <c r="U18" s="1"/>
      <c r="AD18" s="6"/>
    </row>
    <row r="19" spans="1:30" x14ac:dyDescent="0.2">
      <c r="A19" s="35">
        <v>260</v>
      </c>
      <c r="B19" s="38">
        <v>4.08E-7</v>
      </c>
      <c r="C19" s="38">
        <v>6.2299999999999995E-8</v>
      </c>
      <c r="D19" s="38">
        <v>7.7799999999999995E-8</v>
      </c>
      <c r="E19" s="3"/>
      <c r="F19" s="38">
        <f t="shared" si="0"/>
        <v>1.6062992125984252E-5</v>
      </c>
      <c r="G19" s="38">
        <f t="shared" si="0"/>
        <v>2.4527559055118108E-6</v>
      </c>
      <c r="H19" s="38">
        <f t="shared" si="0"/>
        <v>3.0629921259842517E-6</v>
      </c>
      <c r="J19" s="1"/>
      <c r="K19" s="1"/>
      <c r="L19" s="1"/>
      <c r="M19" s="1"/>
      <c r="N19" s="1"/>
      <c r="O19" s="1"/>
      <c r="P19" s="1"/>
      <c r="Q19" s="1"/>
      <c r="R19" s="17"/>
      <c r="S19" s="1"/>
      <c r="T19" s="1"/>
      <c r="U19" s="1"/>
      <c r="AD19" s="6"/>
    </row>
    <row r="20" spans="1:30" x14ac:dyDescent="0.2">
      <c r="A20" s="35">
        <v>280</v>
      </c>
      <c r="B20" s="38">
        <v>4.6899999999999998E-7</v>
      </c>
      <c r="C20" s="38">
        <v>7.3599999999999997E-8</v>
      </c>
      <c r="D20" s="38">
        <v>8.5899999999999995E-8</v>
      </c>
      <c r="E20" s="3"/>
      <c r="F20" s="38">
        <f t="shared" si="0"/>
        <v>1.8464566929133858E-5</v>
      </c>
      <c r="G20" s="38">
        <f t="shared" si="0"/>
        <v>2.8976377952755906E-6</v>
      </c>
      <c r="H20" s="38">
        <f t="shared" si="0"/>
        <v>3.3818897637795278E-6</v>
      </c>
      <c r="J20" s="1"/>
      <c r="K20" s="1"/>
      <c r="L20" s="1"/>
      <c r="M20" s="1"/>
      <c r="N20" s="1"/>
      <c r="O20" s="1"/>
      <c r="P20" s="1"/>
      <c r="Q20" s="1"/>
      <c r="R20" s="17"/>
      <c r="S20" s="9"/>
      <c r="T20" s="9"/>
      <c r="U20" s="9"/>
      <c r="AD20" s="6"/>
    </row>
    <row r="21" spans="1:30" x14ac:dyDescent="0.2">
      <c r="A21" s="35">
        <v>300</v>
      </c>
      <c r="B21" s="38">
        <v>5.3500000000000007E-7</v>
      </c>
      <c r="C21" s="38">
        <v>8.5199999999999995E-8</v>
      </c>
      <c r="D21" s="38">
        <v>9.6470000000000003E-8</v>
      </c>
      <c r="E21" s="3"/>
      <c r="F21" s="38">
        <f t="shared" si="0"/>
        <v>2.1062992125984258E-5</v>
      </c>
      <c r="G21" s="38">
        <f t="shared" si="0"/>
        <v>3.3543307086614173E-6</v>
      </c>
      <c r="H21" s="38">
        <f t="shared" si="0"/>
        <v>3.7980314960629924E-6</v>
      </c>
      <c r="J21" s="1"/>
      <c r="K21" s="1"/>
      <c r="L21" s="1"/>
      <c r="M21" s="1"/>
      <c r="N21" s="1"/>
      <c r="O21" s="1"/>
      <c r="P21" s="1"/>
      <c r="Q21" s="1"/>
      <c r="R21" s="17"/>
      <c r="S21" s="1"/>
      <c r="T21" s="1"/>
      <c r="U21" s="1"/>
      <c r="AD21" s="6"/>
    </row>
    <row r="22" spans="1:30" x14ac:dyDescent="0.2">
      <c r="A22" s="35">
        <v>320</v>
      </c>
      <c r="B22" s="38">
        <v>6.0800000000000004E-7</v>
      </c>
      <c r="C22" s="38">
        <v>9.6799999999999993E-8</v>
      </c>
      <c r="D22" s="38">
        <v>1.1084999999999999E-7</v>
      </c>
      <c r="E22" s="3"/>
      <c r="F22" s="38">
        <f t="shared" si="0"/>
        <v>2.3937007874015752E-5</v>
      </c>
      <c r="G22" s="38">
        <f t="shared" si="0"/>
        <v>3.8110236220472441E-6</v>
      </c>
      <c r="H22" s="38">
        <f t="shared" si="0"/>
        <v>4.3641732283464563E-6</v>
      </c>
      <c r="J22" s="1"/>
      <c r="K22" s="1"/>
      <c r="L22" s="1"/>
      <c r="M22" s="1"/>
      <c r="N22" s="1"/>
      <c r="O22" s="1"/>
      <c r="P22" s="1"/>
      <c r="Q22" s="1"/>
      <c r="R22" s="17"/>
      <c r="S22" s="2"/>
      <c r="T22" s="2"/>
      <c r="U22" s="2"/>
      <c r="AD22" s="6"/>
    </row>
    <row r="23" spans="1:30" x14ac:dyDescent="0.2">
      <c r="A23" s="35">
        <v>340</v>
      </c>
      <c r="B23" s="38">
        <v>6.9019999999999997E-7</v>
      </c>
      <c r="C23" s="38">
        <v>1.085E-7</v>
      </c>
      <c r="D23" s="38">
        <v>1.3107E-7</v>
      </c>
      <c r="E23" s="3"/>
      <c r="F23" s="38">
        <f t="shared" si="0"/>
        <v>2.7173228346456692E-5</v>
      </c>
      <c r="G23" s="38">
        <f t="shared" si="0"/>
        <v>4.2716535433070865E-6</v>
      </c>
      <c r="H23" s="38">
        <f t="shared" si="0"/>
        <v>5.1602362204724418E-6</v>
      </c>
      <c r="J23" s="1"/>
      <c r="K23" s="1"/>
      <c r="L23" s="1"/>
      <c r="M23" s="1"/>
      <c r="N23" s="1"/>
      <c r="O23" s="1"/>
      <c r="P23" s="1"/>
      <c r="Q23" s="1"/>
      <c r="R23" s="17"/>
      <c r="S23" s="3"/>
      <c r="T23" s="3"/>
      <c r="U23" s="3"/>
      <c r="AD23" s="6"/>
    </row>
    <row r="24" spans="1:30" x14ac:dyDescent="0.2">
      <c r="A24" s="35">
        <v>360</v>
      </c>
      <c r="B24" s="38">
        <v>7.8319999999999997E-7</v>
      </c>
      <c r="C24" s="38">
        <v>1.2070000000000002E-7</v>
      </c>
      <c r="D24" s="38">
        <v>1.5612E-7</v>
      </c>
      <c r="E24" s="3"/>
      <c r="F24" s="38">
        <f t="shared" si="0"/>
        <v>3.0834645669291338E-5</v>
      </c>
      <c r="G24" s="38">
        <f t="shared" si="0"/>
        <v>4.7519685039370092E-6</v>
      </c>
      <c r="H24" s="38">
        <f t="shared" si="0"/>
        <v>6.1464566929133857E-6</v>
      </c>
      <c r="J24" s="1"/>
      <c r="K24" s="1"/>
      <c r="L24" s="1"/>
      <c r="M24" s="1"/>
      <c r="N24" s="1"/>
      <c r="O24" s="1"/>
      <c r="P24" s="1"/>
      <c r="Q24" s="1"/>
      <c r="R24" s="17"/>
      <c r="S24" s="9"/>
      <c r="T24" s="9"/>
      <c r="U24" s="9"/>
      <c r="AD24" s="6"/>
    </row>
    <row r="25" spans="1:30" x14ac:dyDescent="0.2">
      <c r="A25" s="35">
        <v>380</v>
      </c>
      <c r="B25" s="38">
        <v>8.8910000000000009E-7</v>
      </c>
      <c r="C25" s="38">
        <v>1.3379999999999999E-7</v>
      </c>
      <c r="D25" s="38">
        <v>1.8449999999999999E-7</v>
      </c>
      <c r="E25" s="3"/>
      <c r="F25" s="38">
        <f t="shared" si="0"/>
        <v>3.5003937007874018E-5</v>
      </c>
      <c r="G25" s="38">
        <f t="shared" si="0"/>
        <v>5.2677165354330709E-6</v>
      </c>
      <c r="H25" s="38">
        <f t="shared" si="0"/>
        <v>7.2637795275590551E-6</v>
      </c>
      <c r="J25" s="1"/>
      <c r="K25" s="1"/>
      <c r="L25" s="1"/>
      <c r="M25" s="1"/>
      <c r="N25" s="1"/>
      <c r="O25" s="1"/>
      <c r="P25" s="1"/>
      <c r="Q25" s="1"/>
      <c r="R25" s="17"/>
      <c r="S25" s="9"/>
      <c r="T25" s="9"/>
      <c r="U25" s="9"/>
      <c r="AD25" s="6"/>
    </row>
    <row r="26" spans="1:30" x14ac:dyDescent="0.2">
      <c r="A26" s="35">
        <v>400</v>
      </c>
      <c r="B26" s="38">
        <v>1.0061E-6</v>
      </c>
      <c r="C26" s="38">
        <v>1.4810000000000001E-7</v>
      </c>
      <c r="D26" s="38">
        <v>2.16E-7</v>
      </c>
      <c r="E26" s="3"/>
      <c r="F26" s="38">
        <f t="shared" si="0"/>
        <v>3.9610236220472445E-5</v>
      </c>
      <c r="G26" s="38">
        <f t="shared" si="0"/>
        <v>5.8307086614173237E-6</v>
      </c>
      <c r="H26" s="38">
        <f t="shared" si="0"/>
        <v>8.5039370078740161E-6</v>
      </c>
      <c r="J26" s="1"/>
      <c r="K26" s="1"/>
      <c r="L26" s="1"/>
      <c r="M26" s="1"/>
      <c r="N26" s="1"/>
      <c r="O26" s="1"/>
      <c r="P26" s="1"/>
      <c r="Q26" s="1"/>
      <c r="R26" s="17"/>
      <c r="S26" s="1"/>
      <c r="T26" s="1"/>
      <c r="U26" s="1"/>
      <c r="AD26" s="6"/>
    </row>
    <row r="27" spans="1:30" x14ac:dyDescent="0.2">
      <c r="A27" s="35">
        <v>420</v>
      </c>
      <c r="B27" s="38">
        <v>1.1332E-6</v>
      </c>
      <c r="C27" s="38">
        <v>1.6469999999999999E-7</v>
      </c>
      <c r="D27" s="38">
        <v>2.4929999999999999E-7</v>
      </c>
      <c r="E27" s="3"/>
      <c r="F27" s="38">
        <f t="shared" si="0"/>
        <v>4.4614173228346459E-5</v>
      </c>
      <c r="G27" s="38">
        <f t="shared" si="0"/>
        <v>6.4842519685039373E-6</v>
      </c>
      <c r="H27" s="38">
        <f t="shared" si="0"/>
        <v>9.8149606299212596E-6</v>
      </c>
      <c r="J27" s="1"/>
      <c r="K27" s="1"/>
      <c r="L27" s="1"/>
      <c r="M27" s="1"/>
      <c r="N27" s="1"/>
      <c r="O27" s="1"/>
      <c r="P27" s="1"/>
      <c r="Q27" s="1"/>
      <c r="R27" s="17"/>
      <c r="S27" s="1"/>
      <c r="T27" s="1"/>
      <c r="U27" s="1"/>
      <c r="AD27" s="6"/>
    </row>
    <row r="28" spans="1:30" x14ac:dyDescent="0.2">
      <c r="A28" s="35">
        <v>440</v>
      </c>
      <c r="B28" s="38">
        <v>1.2672999999999999E-6</v>
      </c>
      <c r="C28" s="38">
        <v>1.8299999999999998E-7</v>
      </c>
      <c r="D28" s="38">
        <v>2.8459999999999999E-7</v>
      </c>
      <c r="E28" s="3"/>
      <c r="F28" s="38">
        <f t="shared" si="0"/>
        <v>4.989370078740157E-5</v>
      </c>
      <c r="G28" s="38">
        <f t="shared" si="0"/>
        <v>7.2047244094488179E-6</v>
      </c>
      <c r="H28" s="38">
        <f t="shared" si="0"/>
        <v>1.1204724409448819E-5</v>
      </c>
      <c r="J28" s="1"/>
      <c r="K28" s="1"/>
      <c r="L28" s="1"/>
      <c r="M28" s="1"/>
      <c r="N28" s="1"/>
      <c r="O28" s="1"/>
      <c r="P28" s="1"/>
      <c r="Q28" s="1"/>
      <c r="R28" s="17"/>
      <c r="S28" s="9"/>
      <c r="T28" s="9"/>
      <c r="U28" s="9"/>
      <c r="AD28" s="6"/>
    </row>
    <row r="29" spans="1:30" x14ac:dyDescent="0.2">
      <c r="A29" s="35">
        <v>460</v>
      </c>
      <c r="B29" s="38">
        <v>1.4113999999999999E-6</v>
      </c>
      <c r="C29" s="38">
        <v>2.0390000000000002E-7</v>
      </c>
      <c r="D29" s="38">
        <v>3.2170000000000003E-7</v>
      </c>
      <c r="E29" s="3"/>
      <c r="F29" s="38">
        <f t="shared" si="0"/>
        <v>5.5566929133858268E-5</v>
      </c>
      <c r="G29" s="38">
        <f t="shared" si="0"/>
        <v>8.0275590551181114E-6</v>
      </c>
      <c r="H29" s="38">
        <f t="shared" si="0"/>
        <v>1.2665354330708663E-5</v>
      </c>
      <c r="J29" s="1"/>
      <c r="K29" s="1"/>
      <c r="L29" s="1"/>
      <c r="M29" s="1"/>
      <c r="N29" s="1"/>
      <c r="O29" s="1"/>
      <c r="P29" s="1"/>
      <c r="Q29" s="1"/>
      <c r="R29" s="17"/>
      <c r="S29" s="1"/>
      <c r="T29" s="1"/>
      <c r="U29" s="1"/>
      <c r="AD29" s="6"/>
    </row>
    <row r="30" spans="1:30" x14ac:dyDescent="0.2">
      <c r="A30" s="35">
        <v>480</v>
      </c>
      <c r="B30" s="38">
        <v>1.5257999999999999E-6</v>
      </c>
      <c r="C30" s="38">
        <v>2.2959999999999999E-7</v>
      </c>
      <c r="D30" s="38">
        <v>3.5359999999999999E-7</v>
      </c>
      <c r="E30" s="3"/>
      <c r="F30" s="38">
        <f t="shared" si="0"/>
        <v>6.0070866141732283E-5</v>
      </c>
      <c r="G30" s="38">
        <f t="shared" si="0"/>
        <v>9.0393700787401572E-6</v>
      </c>
      <c r="H30" s="38">
        <f t="shared" si="0"/>
        <v>1.3921259842519684E-5</v>
      </c>
      <c r="J30" s="1"/>
      <c r="K30" s="1"/>
      <c r="L30" s="1"/>
      <c r="M30" s="1"/>
      <c r="N30" s="1"/>
      <c r="O30" s="1"/>
      <c r="P30" s="1"/>
      <c r="Q30" s="1"/>
      <c r="R30" s="17"/>
      <c r="S30" s="1"/>
      <c r="T30" s="1"/>
      <c r="U30" s="1"/>
      <c r="AD30" s="6"/>
    </row>
    <row r="31" spans="1:30" x14ac:dyDescent="0.2">
      <c r="A31" s="35">
        <v>500</v>
      </c>
      <c r="B31" s="38">
        <v>1.6407E-6</v>
      </c>
      <c r="C31" s="38">
        <v>2.5730000000000001E-7</v>
      </c>
      <c r="D31" s="38">
        <v>3.833E-7</v>
      </c>
      <c r="E31" s="3"/>
      <c r="F31" s="38">
        <f t="shared" si="0"/>
        <v>6.4594488188976385E-5</v>
      </c>
      <c r="G31" s="38">
        <f t="shared" si="0"/>
        <v>1.012992125984252E-5</v>
      </c>
      <c r="H31" s="38">
        <f t="shared" si="0"/>
        <v>1.5090551181102363E-5</v>
      </c>
      <c r="J31" s="1"/>
      <c r="K31" s="1"/>
      <c r="L31" s="1"/>
      <c r="M31" s="1"/>
      <c r="N31" s="1"/>
      <c r="O31" s="1"/>
      <c r="P31" s="1"/>
      <c r="Q31" s="1"/>
      <c r="R31" s="17"/>
      <c r="S31" s="9"/>
      <c r="T31" s="9"/>
      <c r="U31" s="9"/>
      <c r="AD31" s="6"/>
    </row>
    <row r="32" spans="1:30" x14ac:dyDescent="0.2">
      <c r="A32" s="35">
        <v>520</v>
      </c>
      <c r="B32" s="38">
        <v>1.7261000000000001E-6</v>
      </c>
      <c r="C32" s="38">
        <v>2.8910000000000001E-7</v>
      </c>
      <c r="D32" s="38">
        <v>4.0779999999999999E-7</v>
      </c>
      <c r="E32" s="3"/>
      <c r="F32" s="38">
        <f t="shared" si="0"/>
        <v>6.7956692913385833E-5</v>
      </c>
      <c r="G32" s="38">
        <f t="shared" si="0"/>
        <v>1.1381889763779529E-5</v>
      </c>
      <c r="H32" s="38">
        <f t="shared" si="0"/>
        <v>1.6055118110236223E-5</v>
      </c>
      <c r="J32" s="1"/>
      <c r="K32" s="1"/>
      <c r="L32" s="1"/>
      <c r="M32" s="1"/>
      <c r="N32" s="1"/>
      <c r="O32" s="1"/>
      <c r="P32" s="1"/>
      <c r="Q32" s="1"/>
      <c r="R32" s="17"/>
      <c r="S32" s="1"/>
      <c r="T32" s="1"/>
      <c r="U32" s="1"/>
      <c r="AD32" s="6"/>
    </row>
    <row r="33" spans="1:30" x14ac:dyDescent="0.2">
      <c r="A33" s="35">
        <v>540</v>
      </c>
      <c r="B33" s="38">
        <v>1.7922E-6</v>
      </c>
      <c r="C33" s="38">
        <v>3.22E-7</v>
      </c>
      <c r="D33" s="38">
        <v>4.2409999999999999E-7</v>
      </c>
      <c r="E33" s="3"/>
      <c r="F33" s="38">
        <f t="shared" si="0"/>
        <v>7.055905511811023E-5</v>
      </c>
      <c r="G33" s="38">
        <f t="shared" si="0"/>
        <v>1.2677165354330709E-5</v>
      </c>
      <c r="H33" s="38">
        <f t="shared" si="0"/>
        <v>1.6696850393700788E-5</v>
      </c>
      <c r="J33" s="1"/>
      <c r="K33" s="1"/>
      <c r="L33" s="1"/>
      <c r="M33" s="1"/>
      <c r="N33" s="1"/>
      <c r="O33" s="1"/>
      <c r="P33" s="1"/>
      <c r="Q33" s="1"/>
      <c r="R33" s="17"/>
      <c r="S33" s="1"/>
      <c r="T33" s="1"/>
      <c r="U33" s="1"/>
      <c r="AD33" s="6"/>
    </row>
    <row r="34" spans="1:30" x14ac:dyDescent="0.2">
      <c r="A34" s="35">
        <v>560</v>
      </c>
      <c r="B34" s="38">
        <v>1.8288E-6</v>
      </c>
      <c r="C34" s="38">
        <v>3.58E-7</v>
      </c>
      <c r="D34" s="38">
        <v>4.3440000000000003E-7</v>
      </c>
      <c r="E34" s="3"/>
      <c r="F34" s="38">
        <f t="shared" si="0"/>
        <v>7.2000000000000002E-5</v>
      </c>
      <c r="G34" s="38">
        <f t="shared" si="0"/>
        <v>1.409448818897638E-5</v>
      </c>
      <c r="H34" s="38">
        <f t="shared" si="0"/>
        <v>1.7102362204724411E-5</v>
      </c>
      <c r="J34" s="1"/>
      <c r="K34" s="1"/>
      <c r="L34" s="1"/>
      <c r="M34" s="1"/>
      <c r="N34" s="1"/>
      <c r="O34" s="1"/>
      <c r="P34" s="1"/>
      <c r="Q34" s="1"/>
      <c r="R34" s="17"/>
      <c r="S34" s="1"/>
      <c r="T34" s="1"/>
      <c r="U34" s="1"/>
      <c r="AD34" s="6"/>
    </row>
    <row r="35" spans="1:30" x14ac:dyDescent="0.2">
      <c r="A35" s="35">
        <v>580</v>
      </c>
      <c r="B35" s="38">
        <v>1.8560999999999999E-6</v>
      </c>
      <c r="C35" s="38">
        <v>3.9309999999999999E-7</v>
      </c>
      <c r="D35" s="38">
        <v>4.3859999999999997E-7</v>
      </c>
      <c r="E35" s="3"/>
      <c r="F35" s="38">
        <f t="shared" si="0"/>
        <v>7.3074803149606295E-5</v>
      </c>
      <c r="G35" s="38">
        <f t="shared" si="0"/>
        <v>1.5476377952755907E-5</v>
      </c>
      <c r="H35" s="38">
        <f t="shared" si="0"/>
        <v>1.7267716535433071E-5</v>
      </c>
      <c r="J35" s="1"/>
      <c r="K35" s="1"/>
      <c r="L35" s="1"/>
      <c r="M35" s="1"/>
      <c r="N35" s="1"/>
      <c r="O35" s="1"/>
      <c r="P35" s="1"/>
      <c r="Q35" s="1"/>
      <c r="R35" s="17"/>
      <c r="S35" s="1"/>
      <c r="T35" s="1"/>
      <c r="U35" s="1"/>
      <c r="AD35" s="6"/>
    </row>
    <row r="36" spans="1:30" x14ac:dyDescent="0.2">
      <c r="A36" s="35">
        <v>600</v>
      </c>
      <c r="B36" s="38">
        <v>1.8838000000000001E-6</v>
      </c>
      <c r="C36" s="38">
        <v>4.2950000000000003E-7</v>
      </c>
      <c r="D36" s="38">
        <v>4.3869999999999998E-7</v>
      </c>
      <c r="E36" s="3"/>
      <c r="F36" s="38">
        <f t="shared" si="0"/>
        <v>7.4165354330708673E-5</v>
      </c>
      <c r="G36" s="38">
        <f t="shared" si="0"/>
        <v>1.6909448818897639E-5</v>
      </c>
      <c r="H36" s="38">
        <f t="shared" si="0"/>
        <v>1.7271653543307086E-5</v>
      </c>
      <c r="J36" s="1"/>
      <c r="K36" s="1"/>
      <c r="L36" s="1"/>
      <c r="M36" s="1"/>
      <c r="N36" s="1"/>
      <c r="O36" s="1"/>
      <c r="P36" s="1"/>
      <c r="Q36" s="1"/>
      <c r="R36" s="17"/>
      <c r="S36" s="1"/>
      <c r="T36" s="1"/>
      <c r="U36" s="1"/>
      <c r="AD36" s="6"/>
    </row>
    <row r="37" spans="1:30" x14ac:dyDescent="0.2">
      <c r="A37" s="35">
        <v>620</v>
      </c>
      <c r="B37" s="38">
        <v>1.9118000000000001E-6</v>
      </c>
      <c r="C37" s="38">
        <v>4.6499999999999999E-7</v>
      </c>
      <c r="D37" s="38">
        <v>4.3589999999999998E-7</v>
      </c>
      <c r="E37" s="3"/>
      <c r="F37" s="38">
        <f t="shared" si="0"/>
        <v>7.5267716535433075E-5</v>
      </c>
      <c r="G37" s="38">
        <f t="shared" si="0"/>
        <v>1.8307086614173227E-5</v>
      </c>
      <c r="H37" s="38">
        <f t="shared" si="0"/>
        <v>1.7161417322834646E-5</v>
      </c>
      <c r="J37" s="1"/>
      <c r="K37" s="1"/>
      <c r="L37" s="1"/>
      <c r="M37" s="1"/>
      <c r="N37" s="1"/>
      <c r="O37" s="1"/>
      <c r="P37" s="1"/>
      <c r="Q37" s="1"/>
      <c r="R37" s="17"/>
      <c r="S37" s="1"/>
      <c r="T37" s="1"/>
      <c r="U37" s="1"/>
      <c r="AD37" s="6"/>
    </row>
    <row r="38" spans="1:30" x14ac:dyDescent="0.2">
      <c r="A38" s="35">
        <v>640</v>
      </c>
      <c r="B38" s="38">
        <v>1.9400000000000001E-6</v>
      </c>
      <c r="C38" s="38">
        <v>4.9859999999999998E-7</v>
      </c>
      <c r="D38" s="38">
        <v>4.3210000000000001E-7</v>
      </c>
      <c r="E38" s="3"/>
      <c r="F38" s="38">
        <f t="shared" si="0"/>
        <v>7.6377952755905519E-5</v>
      </c>
      <c r="G38" s="38">
        <f t="shared" si="0"/>
        <v>1.9629921259842519E-5</v>
      </c>
      <c r="H38" s="38">
        <f t="shared" si="0"/>
        <v>1.7011811023622047E-5</v>
      </c>
      <c r="J38" s="1"/>
      <c r="K38" s="1"/>
      <c r="L38" s="1"/>
      <c r="M38" s="1"/>
      <c r="N38" s="1"/>
      <c r="O38" s="1"/>
      <c r="P38" s="1"/>
      <c r="Q38" s="1"/>
      <c r="R38" s="17"/>
      <c r="S38" s="1"/>
      <c r="T38" s="1"/>
      <c r="U38" s="1"/>
      <c r="AD38" s="6"/>
    </row>
    <row r="39" spans="1:30" x14ac:dyDescent="0.2">
      <c r="A39" s="35">
        <v>660</v>
      </c>
      <c r="B39" s="38">
        <v>1.9881000000000001E-6</v>
      </c>
      <c r="C39" s="38">
        <v>5.3019999999999992E-7</v>
      </c>
      <c r="D39" s="38">
        <v>4.2850000000000001E-7</v>
      </c>
      <c r="E39" s="3"/>
      <c r="F39" s="38">
        <f t="shared" si="0"/>
        <v>7.8271653543307088E-5</v>
      </c>
      <c r="G39" s="38">
        <f t="shared" si="0"/>
        <v>2.0874015748031494E-5</v>
      </c>
      <c r="H39" s="38">
        <f t="shared" si="0"/>
        <v>1.687007874015748E-5</v>
      </c>
      <c r="J39" s="1"/>
      <c r="K39" s="1"/>
      <c r="L39" s="1"/>
      <c r="M39" s="1"/>
      <c r="N39" s="1"/>
      <c r="O39" s="1"/>
      <c r="P39" s="1"/>
      <c r="Q39" s="1"/>
      <c r="R39" s="17"/>
      <c r="S39" s="1"/>
      <c r="T39" s="1"/>
      <c r="U39" s="1"/>
      <c r="AD39" s="6"/>
    </row>
    <row r="40" spans="1:30" x14ac:dyDescent="0.2">
      <c r="A40" s="35">
        <v>680</v>
      </c>
      <c r="B40" s="38">
        <v>2.0361999999999997E-6</v>
      </c>
      <c r="C40" s="38">
        <v>5.5980000000000002E-7</v>
      </c>
      <c r="D40" s="38">
        <v>4.2520000000000002E-7</v>
      </c>
      <c r="E40" s="3"/>
      <c r="F40" s="38">
        <f t="shared" si="0"/>
        <v>8.0165354330708657E-5</v>
      </c>
      <c r="G40" s="38">
        <f t="shared" si="0"/>
        <v>2.2039370078740161E-5</v>
      </c>
      <c r="H40" s="38">
        <f t="shared" si="0"/>
        <v>1.6740157480314964E-5</v>
      </c>
      <c r="J40" s="1"/>
      <c r="K40" s="1"/>
      <c r="L40" s="1"/>
      <c r="M40" s="1"/>
      <c r="N40" s="1"/>
      <c r="O40" s="1"/>
      <c r="P40" s="1"/>
      <c r="Q40" s="1"/>
      <c r="R40" s="17"/>
      <c r="S40" s="1"/>
      <c r="T40" s="1"/>
      <c r="U40" s="1"/>
      <c r="AD40" s="6"/>
    </row>
    <row r="41" spans="1:30" x14ac:dyDescent="0.2">
      <c r="A41" s="35">
        <v>700</v>
      </c>
      <c r="B41" s="38">
        <v>2.0941E-6</v>
      </c>
      <c r="C41" s="38">
        <v>5.8719999999999996E-7</v>
      </c>
      <c r="D41" s="38">
        <v>4.2330000000000004E-7</v>
      </c>
      <c r="E41" s="3"/>
      <c r="F41" s="38">
        <f t="shared" si="0"/>
        <v>8.2444881889763769E-5</v>
      </c>
      <c r="G41" s="38">
        <f t="shared" si="0"/>
        <v>2.3118110236220473E-5</v>
      </c>
      <c r="H41" s="38">
        <f t="shared" si="0"/>
        <v>1.6665354330708665E-5</v>
      </c>
      <c r="J41" s="1"/>
      <c r="K41" s="1"/>
      <c r="L41" s="1"/>
      <c r="M41" s="1"/>
      <c r="N41" s="1"/>
      <c r="O41" s="1"/>
      <c r="P41" s="1"/>
      <c r="Q41" s="1"/>
      <c r="R41" s="17"/>
      <c r="S41" s="1"/>
      <c r="T41" s="1"/>
      <c r="U41" s="1"/>
      <c r="AD41" s="6"/>
    </row>
    <row r="42" spans="1:30" x14ac:dyDescent="0.2">
      <c r="A42" s="35">
        <v>720</v>
      </c>
      <c r="B42" s="38">
        <v>2.1519000000000001E-6</v>
      </c>
      <c r="C42" s="38">
        <v>6.1040000000000001E-7</v>
      </c>
      <c r="D42" s="38">
        <v>4.2299999999999996E-7</v>
      </c>
      <c r="E42" s="3"/>
      <c r="F42" s="38">
        <f t="shared" si="0"/>
        <v>8.4720472440944888E-5</v>
      </c>
      <c r="G42" s="38">
        <f t="shared" si="0"/>
        <v>2.4031496062992127E-5</v>
      </c>
      <c r="H42" s="38">
        <f t="shared" si="0"/>
        <v>1.6653543307086615E-5</v>
      </c>
      <c r="J42" s="1"/>
      <c r="K42" s="1"/>
      <c r="L42" s="1"/>
      <c r="M42" s="1"/>
      <c r="N42" s="1"/>
      <c r="O42" s="1"/>
      <c r="P42" s="1"/>
      <c r="Q42" s="1"/>
      <c r="R42" s="17"/>
      <c r="S42" s="2"/>
      <c r="T42" s="2"/>
      <c r="U42" s="2"/>
      <c r="AD42" s="6"/>
    </row>
    <row r="43" spans="1:30" x14ac:dyDescent="0.2">
      <c r="A43" s="35">
        <v>740</v>
      </c>
      <c r="B43" s="38">
        <v>2.2098E-6</v>
      </c>
      <c r="C43" s="38">
        <v>6.2949999999999997E-7</v>
      </c>
      <c r="D43" s="38">
        <v>4.2390000000000003E-7</v>
      </c>
      <c r="E43" s="3"/>
      <c r="F43" s="38">
        <f t="shared" si="0"/>
        <v>8.7000000000000001E-5</v>
      </c>
      <c r="G43" s="38">
        <f t="shared" si="0"/>
        <v>2.4783464566929132E-5</v>
      </c>
      <c r="H43" s="38">
        <f t="shared" si="0"/>
        <v>1.6688976377952755E-5</v>
      </c>
      <c r="J43" s="1"/>
      <c r="K43" s="1"/>
      <c r="L43" s="1"/>
      <c r="M43" s="1"/>
      <c r="N43" s="1"/>
      <c r="O43" s="1"/>
      <c r="P43" s="1"/>
      <c r="Q43" s="1"/>
      <c r="R43" s="17"/>
      <c r="S43" s="3"/>
      <c r="T43" s="3"/>
      <c r="U43" s="3"/>
      <c r="AD43" s="6"/>
    </row>
    <row r="44" spans="1:30" x14ac:dyDescent="0.2">
      <c r="A44" s="35">
        <v>760</v>
      </c>
      <c r="B44" s="38">
        <v>2.2680000000000001E-6</v>
      </c>
      <c r="C44" s="38">
        <v>6.4649999999999997E-7</v>
      </c>
      <c r="D44" s="38">
        <v>4.2549999999999999E-7</v>
      </c>
      <c r="E44" s="3"/>
      <c r="F44" s="38">
        <f t="shared" si="0"/>
        <v>8.9291338582677177E-5</v>
      </c>
      <c r="G44" s="38">
        <f t="shared" si="0"/>
        <v>2.5452755905511809E-5</v>
      </c>
      <c r="H44" s="38">
        <f t="shared" si="0"/>
        <v>1.6751968503937008E-5</v>
      </c>
      <c r="J44" s="1"/>
      <c r="K44" s="1"/>
      <c r="L44" s="1"/>
      <c r="M44" s="1"/>
      <c r="N44" s="1"/>
      <c r="O44" s="1"/>
      <c r="P44" s="1"/>
      <c r="Q44" s="1"/>
      <c r="R44" s="17"/>
      <c r="S44" s="1"/>
      <c r="T44" s="1"/>
      <c r="U44" s="1"/>
      <c r="AD44" s="6"/>
    </row>
    <row r="45" spans="1:30" x14ac:dyDescent="0.2">
      <c r="A45" s="35">
        <v>780</v>
      </c>
      <c r="B45" s="38">
        <v>2.3166E-6</v>
      </c>
      <c r="C45" s="38">
        <v>6.5939999999999999E-7</v>
      </c>
      <c r="D45" s="38">
        <v>4.2890000000000004E-7</v>
      </c>
      <c r="E45" s="3"/>
      <c r="F45" s="38">
        <f t="shared" si="0"/>
        <v>9.1204724409448812E-5</v>
      </c>
      <c r="G45" s="38">
        <f t="shared" si="0"/>
        <v>2.5960629921259843E-5</v>
      </c>
      <c r="H45" s="38">
        <f t="shared" si="0"/>
        <v>1.6885826771653545E-5</v>
      </c>
      <c r="J45" s="1"/>
      <c r="K45" s="1"/>
      <c r="L45" s="1"/>
      <c r="M45" s="1"/>
      <c r="N45" s="1"/>
      <c r="O45" s="1"/>
      <c r="P45" s="1"/>
      <c r="Q45" s="1"/>
      <c r="R45" s="17"/>
      <c r="S45" s="1"/>
      <c r="T45" s="1"/>
      <c r="U45" s="1"/>
      <c r="AD45" s="6"/>
    </row>
    <row r="46" spans="1:30" x14ac:dyDescent="0.2">
      <c r="A46" s="35">
        <v>800</v>
      </c>
      <c r="B46" s="38">
        <v>2.3557000000000002E-6</v>
      </c>
      <c r="C46" s="38">
        <v>6.6920000000000009E-7</v>
      </c>
      <c r="D46" s="38">
        <v>4.3389999999999999E-7</v>
      </c>
      <c r="E46" s="3"/>
      <c r="F46" s="38">
        <f t="shared" si="0"/>
        <v>9.274409448818898E-5</v>
      </c>
      <c r="G46" s="38">
        <f t="shared" si="0"/>
        <v>2.634645669291339E-5</v>
      </c>
      <c r="H46" s="38">
        <f t="shared" si="0"/>
        <v>1.7082677165354332E-5</v>
      </c>
      <c r="J46" s="1"/>
      <c r="K46" s="1"/>
      <c r="L46" s="1"/>
      <c r="M46" s="1"/>
      <c r="N46" s="1"/>
      <c r="O46" s="1"/>
      <c r="P46" s="1"/>
      <c r="Q46" s="1"/>
      <c r="R46" s="17"/>
      <c r="S46" s="1"/>
      <c r="T46" s="1"/>
      <c r="U46" s="1"/>
      <c r="AD46" s="5"/>
    </row>
    <row r="47" spans="1:30" x14ac:dyDescent="0.2">
      <c r="A47" s="35">
        <v>820</v>
      </c>
      <c r="B47" s="38">
        <v>2.3954E-6</v>
      </c>
      <c r="C47" s="38">
        <v>6.7719999999999995E-7</v>
      </c>
      <c r="D47" s="38">
        <v>4.3990000000000001E-7</v>
      </c>
      <c r="E47" s="3"/>
      <c r="F47" s="38">
        <f t="shared" si="0"/>
        <v>9.4307086614173221E-5</v>
      </c>
      <c r="G47" s="38">
        <f t="shared" si="0"/>
        <v>2.6661417322834646E-5</v>
      </c>
      <c r="H47" s="38">
        <f t="shared" si="0"/>
        <v>1.7318897637795277E-5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D47" s="6"/>
    </row>
    <row r="48" spans="1:30" x14ac:dyDescent="0.2">
      <c r="A48" s="35">
        <v>840</v>
      </c>
      <c r="B48" s="38">
        <v>2.4357000000000002E-6</v>
      </c>
      <c r="C48" s="38">
        <v>6.8220000000000001E-7</v>
      </c>
      <c r="D48" s="38">
        <v>4.4659999999999999E-7</v>
      </c>
      <c r="E48" s="3"/>
      <c r="F48" s="38">
        <f t="shared" si="0"/>
        <v>9.589370078740159E-5</v>
      </c>
      <c r="G48" s="38">
        <f t="shared" si="0"/>
        <v>2.6858267716535436E-5</v>
      </c>
      <c r="H48" s="38">
        <f t="shared" si="0"/>
        <v>1.7582677165354334E-5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D48" s="3"/>
    </row>
    <row r="49" spans="1:30" x14ac:dyDescent="0.2">
      <c r="A49" s="35">
        <v>860</v>
      </c>
      <c r="B49" s="38">
        <v>2.4565999999999999E-6</v>
      </c>
      <c r="C49" s="38">
        <v>6.863E-7</v>
      </c>
      <c r="D49" s="38">
        <v>4.5490000000000003E-7</v>
      </c>
      <c r="E49" s="3"/>
      <c r="F49" s="38">
        <f t="shared" si="0"/>
        <v>9.671653543307086E-5</v>
      </c>
      <c r="G49" s="38">
        <f t="shared" si="0"/>
        <v>2.7019685039370082E-5</v>
      </c>
      <c r="H49" s="38">
        <f t="shared" si="0"/>
        <v>1.790944881889764E-5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D49" s="3"/>
    </row>
    <row r="50" spans="1:30" x14ac:dyDescent="0.2">
      <c r="A50" s="35">
        <v>880</v>
      </c>
      <c r="B50" s="38">
        <v>2.4880000000000001E-6</v>
      </c>
      <c r="C50" s="38">
        <v>6.8849999999999995E-7</v>
      </c>
      <c r="D50" s="38">
        <v>4.6499999999999999E-7</v>
      </c>
      <c r="E50" s="3"/>
      <c r="F50" s="38">
        <f t="shared" si="0"/>
        <v>9.7952755905511823E-5</v>
      </c>
      <c r="G50" s="38">
        <f t="shared" si="0"/>
        <v>2.7106299212598425E-5</v>
      </c>
      <c r="H50" s="38">
        <f t="shared" si="0"/>
        <v>1.8307086614173227E-5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D50" s="3"/>
    </row>
    <row r="51" spans="1:30" x14ac:dyDescent="0.2">
      <c r="A51" s="35">
        <v>900</v>
      </c>
      <c r="B51" s="38">
        <v>2.5098999999999999E-6</v>
      </c>
      <c r="C51" s="38">
        <v>6.8890000000000009E-7</v>
      </c>
      <c r="D51" s="38">
        <v>4.7600000000000003E-7</v>
      </c>
      <c r="E51" s="3"/>
      <c r="F51" s="38">
        <f t="shared" si="0"/>
        <v>9.8814960629921251E-5</v>
      </c>
      <c r="G51" s="38">
        <f t="shared" si="0"/>
        <v>2.7122047244094493E-5</v>
      </c>
      <c r="H51" s="38">
        <f t="shared" si="0"/>
        <v>1.8740157480314962E-5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D51" s="4"/>
    </row>
    <row r="52" spans="1:30" x14ac:dyDescent="0.2">
      <c r="A52" s="35">
        <v>920</v>
      </c>
      <c r="B52" s="38">
        <v>2.5222000000000002E-6</v>
      </c>
      <c r="C52" s="38">
        <v>6.8840000000000005E-7</v>
      </c>
      <c r="D52" s="38">
        <v>4.8800000000000003E-7</v>
      </c>
      <c r="E52" s="3"/>
      <c r="F52" s="38">
        <f t="shared" si="0"/>
        <v>9.9299212598425205E-5</v>
      </c>
      <c r="G52" s="38">
        <f t="shared" si="0"/>
        <v>2.7102362204724414E-5</v>
      </c>
      <c r="H52" s="38">
        <f t="shared" si="0"/>
        <v>1.9212598425196852E-5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D52" s="4"/>
    </row>
    <row r="53" spans="1:30" x14ac:dyDescent="0.2">
      <c r="A53" s="35">
        <v>940</v>
      </c>
      <c r="B53" s="38">
        <v>2.5348000000000003E-6</v>
      </c>
      <c r="C53" s="38">
        <v>6.8619999999999999E-7</v>
      </c>
      <c r="D53" s="38">
        <v>5.0100000000000005E-7</v>
      </c>
      <c r="E53" s="3"/>
      <c r="F53" s="38">
        <f t="shared" si="0"/>
        <v>9.9795275590551196E-5</v>
      </c>
      <c r="G53" s="38">
        <f t="shared" si="0"/>
        <v>2.7015748031496064E-5</v>
      </c>
      <c r="H53" s="38">
        <f t="shared" si="0"/>
        <v>1.9724409448818901E-5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  <c r="AD53" s="4"/>
    </row>
    <row r="54" spans="1:30" x14ac:dyDescent="0.2">
      <c r="A54" s="35">
        <v>960</v>
      </c>
      <c r="B54" s="38">
        <v>2.5476E-6</v>
      </c>
      <c r="C54" s="38">
        <v>6.8429999999999995E-7</v>
      </c>
      <c r="D54" s="38">
        <v>5.1400000000000008E-7</v>
      </c>
      <c r="E54" s="3"/>
      <c r="F54" s="38">
        <f t="shared" si="0"/>
        <v>1.002992125984252E-4</v>
      </c>
      <c r="G54" s="38">
        <f t="shared" si="0"/>
        <v>2.6940944881889764E-5</v>
      </c>
      <c r="H54" s="38">
        <f t="shared" si="0"/>
        <v>2.0236220472440947E-5</v>
      </c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AD54" s="4"/>
    </row>
    <row r="55" spans="1:30" x14ac:dyDescent="0.2">
      <c r="A55" s="8">
        <v>980</v>
      </c>
      <c r="B55" s="38">
        <v>2.5604999999999999E-6</v>
      </c>
      <c r="C55" s="38">
        <v>6.8170000000000008E-7</v>
      </c>
      <c r="D55" s="38">
        <v>5.2800000000000007E-7</v>
      </c>
      <c r="E55" s="3"/>
      <c r="F55" s="38">
        <f t="shared" si="0"/>
        <v>1.0080708661417323E-4</v>
      </c>
      <c r="G55" s="38">
        <f t="shared" si="0"/>
        <v>2.6838582677165357E-5</v>
      </c>
      <c r="H55" s="38">
        <f t="shared" si="0"/>
        <v>2.0787401574803151E-5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D55" s="4"/>
    </row>
    <row r="56" spans="1:30" x14ac:dyDescent="0.2">
      <c r="A56" s="8">
        <v>1000</v>
      </c>
      <c r="B56" s="38">
        <v>2.5733E-6</v>
      </c>
      <c r="C56" s="38">
        <v>6.7829999999999993E-7</v>
      </c>
      <c r="D56" s="38">
        <v>5.44E-7</v>
      </c>
      <c r="E56" s="3"/>
      <c r="F56" s="38">
        <f t="shared" si="0"/>
        <v>1.0131102362204725E-4</v>
      </c>
      <c r="G56" s="38">
        <f t="shared" si="0"/>
        <v>2.6704724409448819E-5</v>
      </c>
      <c r="H56" s="38">
        <f t="shared" si="0"/>
        <v>2.1417322834645669E-5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D56" s="4"/>
    </row>
    <row r="57" spans="1:30" x14ac:dyDescent="0.2">
      <c r="A57" s="8">
        <v>1020</v>
      </c>
      <c r="B57" s="38">
        <v>2.5758E-6</v>
      </c>
      <c r="C57" s="38">
        <v>6.75E-7</v>
      </c>
      <c r="D57" s="38">
        <v>5.68E-7</v>
      </c>
      <c r="E57" s="3"/>
      <c r="F57" s="38">
        <f t="shared" si="0"/>
        <v>1.0140944881889765E-4</v>
      </c>
      <c r="G57" s="38">
        <f t="shared" si="0"/>
        <v>2.6574803149606303E-5</v>
      </c>
      <c r="H57" s="38">
        <f t="shared" si="0"/>
        <v>2.2362204724409453E-5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D57" s="4"/>
    </row>
    <row r="58" spans="1:30" x14ac:dyDescent="0.2">
      <c r="A58" s="8">
        <v>1040</v>
      </c>
      <c r="B58" s="38">
        <v>2.5777999999999997E-6</v>
      </c>
      <c r="C58" s="38">
        <v>6.6959999999999991E-7</v>
      </c>
      <c r="D58" s="38">
        <v>6.06E-7</v>
      </c>
      <c r="E58" s="3"/>
      <c r="F58" s="38">
        <f t="shared" si="0"/>
        <v>1.0148818897637795E-4</v>
      </c>
      <c r="G58" s="38">
        <f t="shared" si="0"/>
        <v>2.6362204724409445E-5</v>
      </c>
      <c r="H58" s="38">
        <f t="shared" si="0"/>
        <v>2.3858267716535434E-5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D58" s="4"/>
    </row>
    <row r="59" spans="1:30" x14ac:dyDescent="0.2">
      <c r="A59" s="8">
        <v>1060</v>
      </c>
      <c r="B59" s="38">
        <v>2.5694999999999997E-6</v>
      </c>
      <c r="C59" s="39">
        <v>6.6410000000000002E-7</v>
      </c>
      <c r="D59" s="38">
        <v>6.6600000000000006E-7</v>
      </c>
      <c r="E59" s="3"/>
      <c r="F59" s="38">
        <f t="shared" si="0"/>
        <v>1.0116141732283464E-4</v>
      </c>
      <c r="G59" s="38">
        <f t="shared" si="0"/>
        <v>2.6145669291338586E-5</v>
      </c>
      <c r="H59" s="38">
        <f t="shared" si="0"/>
        <v>2.6220472440944885E-5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D59" s="4"/>
    </row>
    <row r="60" spans="1:30" x14ac:dyDescent="0.2">
      <c r="A60" s="8">
        <v>1080</v>
      </c>
      <c r="B60" s="38">
        <v>2.5706E-6</v>
      </c>
      <c r="C60" s="38">
        <v>6.582E-7</v>
      </c>
      <c r="D60" s="38">
        <v>7.5700000000000002E-7</v>
      </c>
      <c r="E60" s="3"/>
      <c r="F60" s="38">
        <f t="shared" si="0"/>
        <v>1.0120472440944882E-4</v>
      </c>
      <c r="G60" s="38">
        <f t="shared" si="0"/>
        <v>2.5913385826771652E-5</v>
      </c>
      <c r="H60" s="38">
        <f t="shared" si="0"/>
        <v>2.9803149606299214E-5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D60" s="3"/>
    </row>
    <row r="61" spans="1:30" x14ac:dyDescent="0.2">
      <c r="A61" s="8">
        <v>1100</v>
      </c>
      <c r="B61" s="38">
        <v>2.5617E-6</v>
      </c>
      <c r="C61" s="38">
        <v>6.5440000000000004E-7</v>
      </c>
      <c r="D61" s="38">
        <v>8.71E-7</v>
      </c>
      <c r="E61" s="3"/>
      <c r="F61" s="38">
        <f t="shared" si="0"/>
        <v>1.0085433070866143E-4</v>
      </c>
      <c r="G61" s="38">
        <f t="shared" si="0"/>
        <v>2.576377952755906E-5</v>
      </c>
      <c r="H61" s="38">
        <f t="shared" si="0"/>
        <v>3.4291338582677168E-5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D61" s="3"/>
    </row>
    <row r="62" spans="1:30" x14ac:dyDescent="0.2">
      <c r="A62" s="8">
        <v>1120</v>
      </c>
      <c r="B62" s="38">
        <v>2.5527000000000001E-6</v>
      </c>
      <c r="C62" s="38">
        <v>6.5139999999999992E-7</v>
      </c>
      <c r="D62" s="38">
        <v>9.9199999999999999E-7</v>
      </c>
      <c r="E62" s="3"/>
      <c r="F62" s="38">
        <f t="shared" si="0"/>
        <v>1.0050000000000002E-4</v>
      </c>
      <c r="G62" s="38">
        <f t="shared" si="0"/>
        <v>2.5645669291338581E-5</v>
      </c>
      <c r="H62" s="38">
        <f t="shared" si="0"/>
        <v>3.9055118110236223E-5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D62" s="3"/>
    </row>
    <row r="63" spans="1:30" x14ac:dyDescent="0.2">
      <c r="A63" s="8">
        <v>1140</v>
      </c>
      <c r="B63" s="38">
        <v>2.5435000000000003E-6</v>
      </c>
      <c r="C63" s="38">
        <v>6.4809999999999999E-7</v>
      </c>
      <c r="D63" s="38">
        <v>1.0979999999999999E-6</v>
      </c>
      <c r="E63" s="3"/>
      <c r="F63" s="38">
        <f t="shared" si="0"/>
        <v>1.0013779527559056E-4</v>
      </c>
      <c r="G63" s="38">
        <f t="shared" si="0"/>
        <v>2.5515748031496065E-5</v>
      </c>
      <c r="H63" s="38">
        <f t="shared" si="0"/>
        <v>4.3228346456692911E-5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D63" s="3"/>
    </row>
    <row r="64" spans="1:30" x14ac:dyDescent="0.2">
      <c r="A64" s="8">
        <v>1160</v>
      </c>
      <c r="B64" s="38">
        <v>2.5337999999999998E-6</v>
      </c>
      <c r="C64" s="38">
        <v>6.4369999999999997E-7</v>
      </c>
      <c r="D64" s="38">
        <v>1.155E-6</v>
      </c>
      <c r="E64" s="3"/>
      <c r="F64" s="38">
        <f t="shared" si="0"/>
        <v>9.975590551181101E-5</v>
      </c>
      <c r="G64" s="38">
        <f t="shared" si="0"/>
        <v>2.5342519685039372E-5</v>
      </c>
      <c r="H64" s="38">
        <f t="shared" si="0"/>
        <v>4.5472440944881893E-5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D64" s="3"/>
    </row>
    <row r="65" spans="1:30" x14ac:dyDescent="0.2">
      <c r="A65" s="8">
        <v>1180</v>
      </c>
      <c r="B65" s="38">
        <v>2.5235999999999999E-6</v>
      </c>
      <c r="C65" s="38">
        <v>6.3590000000000002E-7</v>
      </c>
      <c r="D65" s="38">
        <v>1.1510000000000001E-6</v>
      </c>
      <c r="E65" s="3"/>
      <c r="F65" s="38">
        <f t="shared" si="0"/>
        <v>9.9354330708661422E-5</v>
      </c>
      <c r="G65" s="38">
        <f t="shared" si="0"/>
        <v>2.5035433070866142E-5</v>
      </c>
      <c r="H65" s="38">
        <f t="shared" si="0"/>
        <v>4.5314960629921265E-5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D65" s="3"/>
    </row>
    <row r="66" spans="1:30" x14ac:dyDescent="0.2">
      <c r="A66" s="8">
        <v>1200</v>
      </c>
      <c r="B66" s="38">
        <v>2.5131000000000001E-6</v>
      </c>
      <c r="C66" s="38">
        <v>6.2770000000000004E-7</v>
      </c>
      <c r="D66" s="38">
        <v>1.111E-6</v>
      </c>
      <c r="E66" s="3"/>
      <c r="F66" s="38">
        <f t="shared" si="0"/>
        <v>9.8940944881889783E-5</v>
      </c>
      <c r="G66" s="38">
        <f t="shared" si="0"/>
        <v>2.4712598425196854E-5</v>
      </c>
      <c r="H66" s="38">
        <f t="shared" si="0"/>
        <v>4.3740157480314967E-5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D66" s="3"/>
    </row>
    <row r="67" spans="1:30" x14ac:dyDescent="0.2">
      <c r="A67" s="8">
        <v>1220</v>
      </c>
      <c r="B67" s="38">
        <v>2.5026E-6</v>
      </c>
      <c r="C67" s="38">
        <v>6.1920000000000004E-7</v>
      </c>
      <c r="D67" s="38">
        <v>1.062E-6</v>
      </c>
      <c r="E67" s="3"/>
      <c r="F67" s="38">
        <f t="shared" si="0"/>
        <v>9.8527559055118104E-5</v>
      </c>
      <c r="G67" s="38">
        <f t="shared" si="0"/>
        <v>2.4377952755905516E-5</v>
      </c>
      <c r="H67" s="38">
        <f t="shared" si="0"/>
        <v>4.1811023622047247E-5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D67" s="1"/>
    </row>
    <row r="68" spans="1:30" x14ac:dyDescent="0.2">
      <c r="A68" s="8">
        <v>1240</v>
      </c>
      <c r="B68" s="38">
        <v>2.4822999999999999E-6</v>
      </c>
      <c r="C68" s="38">
        <v>6.1080000000000004E-7</v>
      </c>
      <c r="D68" s="38">
        <v>1.015E-6</v>
      </c>
      <c r="E68" s="3"/>
      <c r="F68" s="38">
        <f t="shared" si="0"/>
        <v>9.7728346456692908E-5</v>
      </c>
      <c r="G68" s="38">
        <f t="shared" si="0"/>
        <v>2.4047244094488192E-5</v>
      </c>
      <c r="H68" s="38">
        <f t="shared" si="0"/>
        <v>3.9960629921259845E-5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D68" s="1"/>
    </row>
    <row r="69" spans="1:30" x14ac:dyDescent="0.2">
      <c r="A69" s="8">
        <v>1260</v>
      </c>
      <c r="B69" s="38">
        <v>2.4721E-6</v>
      </c>
      <c r="C69" s="38">
        <v>6.0270000000000007E-7</v>
      </c>
      <c r="D69" s="38">
        <v>9.7399999999999991E-7</v>
      </c>
      <c r="E69" s="3"/>
      <c r="F69" s="38">
        <f t="shared" si="0"/>
        <v>9.7326771653543319E-5</v>
      </c>
      <c r="G69" s="38">
        <f t="shared" si="0"/>
        <v>2.3728346456692918E-5</v>
      </c>
      <c r="H69" s="38">
        <f t="shared" si="0"/>
        <v>3.8346456692913387E-5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D69" s="1"/>
    </row>
    <row r="70" spans="1:30" x14ac:dyDescent="0.2">
      <c r="A70" s="8">
        <v>1280</v>
      </c>
      <c r="B70" s="38">
        <v>2.4620000000000003E-6</v>
      </c>
      <c r="C70" s="38">
        <v>5.9589999999999998E-7</v>
      </c>
      <c r="D70" s="38">
        <v>9.4099999999999997E-7</v>
      </c>
      <c r="E70" s="3"/>
      <c r="F70" s="38">
        <f t="shared" si="0"/>
        <v>9.6929133858267725E-5</v>
      </c>
      <c r="G70" s="38">
        <f t="shared" si="0"/>
        <v>2.3460629921259843E-5</v>
      </c>
      <c r="H70" s="38">
        <f t="shared" si="0"/>
        <v>3.7047244094488193E-5</v>
      </c>
      <c r="J70" s="1"/>
      <c r="K70" s="1"/>
      <c r="L70" s="5"/>
      <c r="M70" s="1"/>
      <c r="N70" s="1"/>
      <c r="O70" s="1"/>
      <c r="P70" s="1"/>
      <c r="Q70" s="1"/>
      <c r="R70" s="17"/>
      <c r="S70" s="1"/>
      <c r="T70" s="1"/>
      <c r="U70" s="1"/>
      <c r="AD70" s="1"/>
    </row>
    <row r="71" spans="1:30" x14ac:dyDescent="0.2">
      <c r="A71" s="8">
        <v>1300</v>
      </c>
      <c r="B71" s="38">
        <v>2.452E-6</v>
      </c>
      <c r="C71" s="38">
        <v>5.8930000000000002E-7</v>
      </c>
      <c r="D71" s="38">
        <v>9.1199999999999991E-7</v>
      </c>
      <c r="E71" s="3"/>
      <c r="F71" s="38">
        <f t="shared" ref="F71:H126" si="1">B71*1000/25.4</f>
        <v>9.6535433070866152E-5</v>
      </c>
      <c r="G71" s="38">
        <f t="shared" si="1"/>
        <v>2.3200787401574808E-5</v>
      </c>
      <c r="H71" s="38">
        <f t="shared" si="1"/>
        <v>3.5905511811023619E-5</v>
      </c>
      <c r="J71" s="1"/>
      <c r="K71" s="3"/>
      <c r="L71" s="20"/>
      <c r="M71" s="1"/>
      <c r="N71" s="1"/>
      <c r="O71" s="1"/>
      <c r="P71" s="1"/>
      <c r="Q71" s="1"/>
      <c r="R71" s="1"/>
      <c r="S71" s="1"/>
      <c r="T71" s="1"/>
      <c r="U71" s="1"/>
      <c r="AD71" s="1"/>
    </row>
    <row r="72" spans="1:30" x14ac:dyDescent="0.2">
      <c r="A72" s="8">
        <v>1320</v>
      </c>
      <c r="B72" s="38">
        <v>2.4420999999999999E-6</v>
      </c>
      <c r="C72" s="38">
        <v>5.8380000000000003E-7</v>
      </c>
      <c r="D72" s="38">
        <v>8.8800000000000001E-7</v>
      </c>
      <c r="E72" s="3"/>
      <c r="F72" s="38">
        <f t="shared" si="1"/>
        <v>9.6145669291338587E-5</v>
      </c>
      <c r="G72" s="38">
        <f t="shared" si="1"/>
        <v>2.2984251968503939E-5</v>
      </c>
      <c r="H72" s="38">
        <f t="shared" si="1"/>
        <v>3.4960629921259845E-5</v>
      </c>
      <c r="J72" s="1"/>
      <c r="K72" s="1"/>
      <c r="L72" s="20"/>
      <c r="M72" s="1"/>
      <c r="N72" s="1"/>
      <c r="O72" s="1"/>
      <c r="P72" s="1"/>
      <c r="Q72" s="1"/>
      <c r="R72" s="1"/>
      <c r="S72" s="1"/>
      <c r="T72" s="1"/>
      <c r="U72" s="1"/>
      <c r="AD72" s="1"/>
    </row>
    <row r="73" spans="1:30" x14ac:dyDescent="0.2">
      <c r="A73" s="8">
        <v>1340</v>
      </c>
      <c r="B73" s="38">
        <v>2.4321E-6</v>
      </c>
      <c r="C73" s="38">
        <v>5.7849999999999995E-7</v>
      </c>
      <c r="D73" s="38">
        <v>8.6600000000000005E-7</v>
      </c>
      <c r="E73" s="3"/>
      <c r="F73" s="38">
        <f t="shared" si="1"/>
        <v>9.5751968503937014E-5</v>
      </c>
      <c r="G73" s="38">
        <f t="shared" si="1"/>
        <v>2.2775590551181102E-5</v>
      </c>
      <c r="H73" s="38">
        <f t="shared" si="1"/>
        <v>3.4094488188976382E-5</v>
      </c>
      <c r="J73" s="1"/>
      <c r="K73" s="1"/>
      <c r="L73" s="20"/>
      <c r="M73" s="1"/>
      <c r="N73" s="1"/>
      <c r="O73" s="1"/>
      <c r="P73" s="1"/>
      <c r="Q73" s="1"/>
      <c r="R73" s="1"/>
      <c r="S73" s="1"/>
      <c r="T73" s="1"/>
      <c r="U73" s="1"/>
      <c r="AD73" s="1"/>
    </row>
    <row r="74" spans="1:30" x14ac:dyDescent="0.2">
      <c r="A74" s="8">
        <v>1360</v>
      </c>
      <c r="B74" s="38">
        <v>2.4221000000000001E-6</v>
      </c>
      <c r="C74" s="38">
        <v>5.7330000000000008E-7</v>
      </c>
      <c r="D74" s="38">
        <v>8.4499999999999996E-7</v>
      </c>
      <c r="E74" s="3"/>
      <c r="F74" s="38">
        <f t="shared" si="1"/>
        <v>9.5358267716535441E-5</v>
      </c>
      <c r="G74" s="38">
        <f t="shared" si="1"/>
        <v>2.257086614173229E-5</v>
      </c>
      <c r="H74" s="38">
        <f t="shared" si="1"/>
        <v>3.3267716535433071E-5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D74" s="1"/>
    </row>
    <row r="75" spans="1:30" x14ac:dyDescent="0.2">
      <c r="A75" s="8">
        <v>1380</v>
      </c>
      <c r="B75" s="38">
        <v>2.4119000000000002E-6</v>
      </c>
      <c r="C75" s="38">
        <v>5.7010000000000006E-7</v>
      </c>
      <c r="D75" s="38">
        <v>8.2699999999999998E-7</v>
      </c>
      <c r="E75" s="3"/>
      <c r="F75" s="38">
        <f t="shared" si="1"/>
        <v>9.4956692913385839E-5</v>
      </c>
      <c r="G75" s="38">
        <f t="shared" si="1"/>
        <v>2.2444881889763781E-5</v>
      </c>
      <c r="H75" s="38">
        <f t="shared" si="1"/>
        <v>3.2559055118110235E-5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D75" s="1"/>
    </row>
    <row r="76" spans="1:30" x14ac:dyDescent="0.2">
      <c r="A76" s="8">
        <v>1400</v>
      </c>
      <c r="B76" s="38">
        <v>2.4016999999999998E-6</v>
      </c>
      <c r="C76" s="38">
        <v>5.6590000000000006E-7</v>
      </c>
      <c r="D76" s="38">
        <v>8.0999999999999997E-7</v>
      </c>
      <c r="E76" s="3"/>
      <c r="F76" s="38">
        <f t="shared" si="1"/>
        <v>9.455511811023621E-5</v>
      </c>
      <c r="G76" s="38">
        <f t="shared" si="1"/>
        <v>2.2279527559055121E-5</v>
      </c>
      <c r="H76" s="38">
        <f t="shared" si="1"/>
        <v>3.1889763779527558E-5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D76" s="1"/>
    </row>
    <row r="77" spans="1:30" x14ac:dyDescent="0.2">
      <c r="A77" s="8">
        <v>1420</v>
      </c>
      <c r="B77" s="38">
        <v>2.3914000000000001E-6</v>
      </c>
      <c r="C77" s="38">
        <v>5.6280000000000004E-7</v>
      </c>
      <c r="D77" s="38">
        <v>7.9400000000000004E-7</v>
      </c>
      <c r="E77" s="3"/>
      <c r="F77" s="38">
        <f t="shared" si="1"/>
        <v>9.4149606299212614E-5</v>
      </c>
      <c r="G77" s="38">
        <f t="shared" si="1"/>
        <v>2.2157480314960631E-5</v>
      </c>
      <c r="H77" s="38">
        <f t="shared" si="1"/>
        <v>3.125984251968504E-5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D77" s="1"/>
    </row>
    <row r="78" spans="1:30" x14ac:dyDescent="0.2">
      <c r="A78" s="8">
        <v>1440</v>
      </c>
      <c r="B78" s="38">
        <v>2.3910000000000001E-6</v>
      </c>
      <c r="C78" s="38">
        <v>5.6059999999999998E-7</v>
      </c>
      <c r="D78" s="38">
        <v>7.7900000000000008E-7</v>
      </c>
      <c r="E78" s="3"/>
      <c r="F78" s="38">
        <f t="shared" si="1"/>
        <v>9.4133858267716542E-5</v>
      </c>
      <c r="G78" s="38">
        <f t="shared" si="1"/>
        <v>2.2070866141732284E-5</v>
      </c>
      <c r="H78" s="38">
        <f t="shared" si="1"/>
        <v>3.0669291338582681E-5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D78" s="1"/>
    </row>
    <row r="79" spans="1:30" x14ac:dyDescent="0.2">
      <c r="A79" s="8">
        <v>1460</v>
      </c>
      <c r="B79" s="38">
        <v>2.3804999999999999E-6</v>
      </c>
      <c r="C79" s="38">
        <v>5.5840000000000002E-7</v>
      </c>
      <c r="D79" s="38">
        <v>7.6299999999999994E-7</v>
      </c>
      <c r="E79" s="3"/>
      <c r="F79" s="38">
        <f t="shared" si="1"/>
        <v>9.3720472440944876E-5</v>
      </c>
      <c r="G79" s="38">
        <f t="shared" si="1"/>
        <v>2.1984251968503938E-5</v>
      </c>
      <c r="H79" s="38">
        <f t="shared" si="1"/>
        <v>3.0039370078740156E-5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D79" s="1"/>
    </row>
    <row r="80" spans="1:30" x14ac:dyDescent="0.2">
      <c r="A80" s="8">
        <v>1480</v>
      </c>
      <c r="B80" s="38">
        <v>2.3700000000000002E-6</v>
      </c>
      <c r="C80" s="38">
        <v>5.5719999999999993E-7</v>
      </c>
      <c r="D80" s="38">
        <v>7.4899999999999994E-7</v>
      </c>
      <c r="E80" s="3"/>
      <c r="F80" s="38">
        <f t="shared" si="1"/>
        <v>9.3307086614173237E-5</v>
      </c>
      <c r="G80" s="38">
        <f t="shared" si="1"/>
        <v>2.1937007874015744E-5</v>
      </c>
      <c r="H80" s="38">
        <f t="shared" si="1"/>
        <v>2.9488188976377955E-5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D80" s="1"/>
    </row>
    <row r="81" spans="1:30" x14ac:dyDescent="0.2">
      <c r="A81" s="8">
        <v>1500</v>
      </c>
      <c r="B81" s="38">
        <v>2.3694000000000001E-6</v>
      </c>
      <c r="C81" s="38">
        <v>5.5499999999999998E-7</v>
      </c>
      <c r="D81" s="38">
        <v>7.3600000000000003E-7</v>
      </c>
      <c r="E81" s="3"/>
      <c r="F81" s="38">
        <f t="shared" si="1"/>
        <v>9.328346456692915E-5</v>
      </c>
      <c r="G81" s="38">
        <f t="shared" si="1"/>
        <v>2.1850393700787401E-5</v>
      </c>
      <c r="H81" s="38">
        <f t="shared" si="1"/>
        <v>2.8976377952755906E-5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</row>
    <row r="82" spans="1:30" x14ac:dyDescent="0.2">
      <c r="A82" s="8">
        <v>1520</v>
      </c>
      <c r="B82" s="38">
        <v>2.3587999999999998E-6</v>
      </c>
      <c r="C82" s="38">
        <v>5.5369999999999999E-7</v>
      </c>
      <c r="D82" s="38">
        <v>7.2200000000000003E-7</v>
      </c>
      <c r="E82" s="3"/>
      <c r="F82" s="38">
        <f t="shared" si="1"/>
        <v>9.2866141732283463E-5</v>
      </c>
      <c r="G82" s="38">
        <f t="shared" si="1"/>
        <v>2.1799212598425195E-5</v>
      </c>
      <c r="H82" s="38">
        <f t="shared" si="1"/>
        <v>2.8425196850393702E-5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D82" s="1"/>
    </row>
    <row r="83" spans="1:30" x14ac:dyDescent="0.2">
      <c r="A83" s="8">
        <v>1540</v>
      </c>
      <c r="B83" s="38">
        <v>2.3581999999999997E-6</v>
      </c>
      <c r="C83" s="38">
        <v>5.525E-7</v>
      </c>
      <c r="D83" s="38">
        <v>7.0999999999999998E-7</v>
      </c>
      <c r="E83" s="3"/>
      <c r="F83" s="38">
        <f t="shared" si="1"/>
        <v>9.2842519685039363E-5</v>
      </c>
      <c r="G83" s="38">
        <f t="shared" si="1"/>
        <v>2.1751968503937011E-5</v>
      </c>
      <c r="H83" s="38">
        <f t="shared" si="1"/>
        <v>2.7952755905511812E-5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D83" s="1"/>
    </row>
    <row r="84" spans="1:30" x14ac:dyDescent="0.2">
      <c r="A84" s="8">
        <v>1560</v>
      </c>
      <c r="B84" s="38">
        <v>2.3475E-6</v>
      </c>
      <c r="C84" s="38">
        <v>5.5120000000000001E-7</v>
      </c>
      <c r="D84" s="38">
        <v>6.9700000000000006E-7</v>
      </c>
      <c r="E84" s="3"/>
      <c r="F84" s="38">
        <f t="shared" si="1"/>
        <v>9.2421259842519681E-5</v>
      </c>
      <c r="G84" s="38">
        <f t="shared" si="1"/>
        <v>2.1700787401574805E-5</v>
      </c>
      <c r="H84" s="38">
        <f t="shared" si="1"/>
        <v>2.7440944881889766E-5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D84" s="1"/>
    </row>
    <row r="85" spans="1:30" x14ac:dyDescent="0.2">
      <c r="A85" s="8">
        <v>1580</v>
      </c>
      <c r="B85" s="38">
        <v>2.3369E-6</v>
      </c>
      <c r="C85" s="38">
        <v>5.4990000000000002E-7</v>
      </c>
      <c r="D85" s="38">
        <v>6.8699999999999994E-7</v>
      </c>
      <c r="E85" s="3"/>
      <c r="F85" s="38">
        <f t="shared" si="1"/>
        <v>9.2003937007874008E-5</v>
      </c>
      <c r="G85" s="38">
        <f t="shared" si="1"/>
        <v>2.16496062992126E-5</v>
      </c>
      <c r="H85" s="38">
        <f t="shared" si="1"/>
        <v>2.7047244094488187E-5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D85" s="1"/>
    </row>
    <row r="86" spans="1:30" x14ac:dyDescent="0.2">
      <c r="A86" s="8">
        <v>1600</v>
      </c>
      <c r="B86" s="38">
        <v>2.3262000000000003E-6</v>
      </c>
      <c r="C86" s="38">
        <v>5.4859999999999992E-7</v>
      </c>
      <c r="D86" s="38">
        <v>6.7599999999999997E-7</v>
      </c>
      <c r="E86" s="3"/>
      <c r="F86" s="38">
        <f t="shared" si="1"/>
        <v>9.1582677165354354E-5</v>
      </c>
      <c r="G86" s="38">
        <f t="shared" si="1"/>
        <v>2.1598425196850391E-5</v>
      </c>
      <c r="H86" s="38">
        <f t="shared" si="1"/>
        <v>2.6614173228346455E-5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D86" s="1"/>
    </row>
    <row r="87" spans="1:30" x14ac:dyDescent="0.2">
      <c r="A87" s="8">
        <v>1620</v>
      </c>
      <c r="B87" s="38">
        <v>2.3256000000000002E-6</v>
      </c>
      <c r="C87" s="38">
        <v>5.4630000000000007E-7</v>
      </c>
      <c r="D87" s="38">
        <v>6.6699999999999992E-7</v>
      </c>
      <c r="E87" s="3"/>
      <c r="F87" s="38">
        <f t="shared" si="1"/>
        <v>9.1559055118110253E-5</v>
      </c>
      <c r="G87" s="38">
        <f t="shared" si="1"/>
        <v>2.1507874015748037E-5</v>
      </c>
      <c r="H87" s="38">
        <f t="shared" si="1"/>
        <v>2.6259842519685037E-5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D87" s="1"/>
    </row>
    <row r="88" spans="1:30" x14ac:dyDescent="0.2">
      <c r="A88" s="8">
        <v>1640</v>
      </c>
      <c r="B88" s="38">
        <v>2.3149000000000001E-6</v>
      </c>
      <c r="C88" s="38">
        <v>5.44E-7</v>
      </c>
      <c r="D88" s="38">
        <v>6.6000000000000003E-7</v>
      </c>
      <c r="E88" s="3"/>
      <c r="F88" s="38">
        <f t="shared" si="1"/>
        <v>9.1137795275590558E-5</v>
      </c>
      <c r="G88" s="38">
        <f t="shared" si="1"/>
        <v>2.1417322834645669E-5</v>
      </c>
      <c r="H88" s="38">
        <f t="shared" si="1"/>
        <v>2.5984251968503937E-5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D88" s="1"/>
    </row>
    <row r="89" spans="1:30" x14ac:dyDescent="0.2">
      <c r="A89" s="8">
        <v>1660</v>
      </c>
      <c r="B89" s="38">
        <v>2.3042999999999997E-6</v>
      </c>
      <c r="C89" s="38">
        <v>5.4180000000000005E-7</v>
      </c>
      <c r="D89" s="38">
        <v>6.5400000000000001E-7</v>
      </c>
      <c r="E89" s="3"/>
      <c r="F89" s="38">
        <f t="shared" si="1"/>
        <v>9.0720472440944871E-5</v>
      </c>
      <c r="G89" s="38">
        <f t="shared" si="1"/>
        <v>2.1330708661417326E-5</v>
      </c>
      <c r="H89" s="38">
        <f t="shared" si="1"/>
        <v>2.5748031496062992E-5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D89" s="1"/>
    </row>
    <row r="90" spans="1:30" x14ac:dyDescent="0.2">
      <c r="A90" s="8">
        <v>1680</v>
      </c>
      <c r="B90" s="38">
        <v>2.2937000000000002E-6</v>
      </c>
      <c r="C90" s="38">
        <v>5.3850000000000001E-7</v>
      </c>
      <c r="D90" s="38">
        <v>6.5000000000000002E-7</v>
      </c>
      <c r="E90" s="3"/>
      <c r="F90" s="38">
        <f t="shared" si="1"/>
        <v>9.0303149606299225E-5</v>
      </c>
      <c r="G90" s="38">
        <f t="shared" si="1"/>
        <v>2.1200787401574807E-5</v>
      </c>
      <c r="H90" s="38">
        <f t="shared" si="1"/>
        <v>2.5590551181102364E-5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D90" s="1"/>
    </row>
    <row r="91" spans="1:30" x14ac:dyDescent="0.2">
      <c r="A91" s="8">
        <v>1700</v>
      </c>
      <c r="B91" s="38">
        <v>2.2832E-6</v>
      </c>
      <c r="C91" s="38">
        <v>5.3529999999999998E-7</v>
      </c>
      <c r="D91" s="38">
        <v>6.4900000000000005E-7</v>
      </c>
      <c r="E91" s="3"/>
      <c r="F91" s="38">
        <f t="shared" si="1"/>
        <v>8.9889763779527559E-5</v>
      </c>
      <c r="G91" s="38">
        <f t="shared" si="1"/>
        <v>2.1074803149606298E-5</v>
      </c>
      <c r="H91" s="38">
        <f t="shared" si="1"/>
        <v>2.5551181102362209E-5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D91" s="1"/>
    </row>
    <row r="92" spans="1:30" x14ac:dyDescent="0.2">
      <c r="A92" s="8">
        <v>1720</v>
      </c>
      <c r="B92" s="38">
        <v>2.2726000000000001E-6</v>
      </c>
      <c r="C92" s="38">
        <v>5.3100000000000008E-7</v>
      </c>
      <c r="D92" s="38">
        <v>6.4799999999999998E-7</v>
      </c>
      <c r="E92" s="3"/>
      <c r="F92" s="38">
        <f t="shared" si="1"/>
        <v>8.9472440944881899E-5</v>
      </c>
      <c r="G92" s="38">
        <f t="shared" si="1"/>
        <v>2.0905511811023627E-5</v>
      </c>
      <c r="H92" s="38">
        <f t="shared" si="1"/>
        <v>2.551181102362205E-5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D92" s="1"/>
    </row>
    <row r="93" spans="1:30" x14ac:dyDescent="0.2">
      <c r="A93" s="8">
        <v>1740</v>
      </c>
      <c r="B93" s="38">
        <v>2.2521E-6</v>
      </c>
      <c r="C93" s="38">
        <v>5.2780000000000005E-7</v>
      </c>
      <c r="D93" s="38">
        <v>6.5099999999999999E-7</v>
      </c>
      <c r="E93" s="3"/>
      <c r="F93" s="38">
        <f t="shared" si="1"/>
        <v>8.866535433070866E-5</v>
      </c>
      <c r="G93" s="38">
        <f t="shared" si="1"/>
        <v>2.0779527559055122E-5</v>
      </c>
      <c r="H93" s="38">
        <f t="shared" si="1"/>
        <v>2.5629921259842519E-5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D93" s="1"/>
    </row>
    <row r="94" spans="1:30" x14ac:dyDescent="0.2">
      <c r="A94" s="8">
        <v>1760</v>
      </c>
      <c r="B94" s="38">
        <v>2.2417000000000001E-6</v>
      </c>
      <c r="C94" s="38">
        <v>5.2360000000000006E-7</v>
      </c>
      <c r="D94" s="38">
        <v>6.5600000000000005E-7</v>
      </c>
      <c r="E94" s="3"/>
      <c r="F94" s="38">
        <f t="shared" si="1"/>
        <v>8.8255905511811029E-5</v>
      </c>
      <c r="G94" s="38">
        <f t="shared" si="1"/>
        <v>2.0614173228346458E-5</v>
      </c>
      <c r="H94" s="38">
        <f t="shared" si="1"/>
        <v>2.5826771653543309E-5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D94" s="1"/>
    </row>
    <row r="95" spans="1:30" x14ac:dyDescent="0.2">
      <c r="A95" s="8">
        <v>1780</v>
      </c>
      <c r="B95" s="38">
        <v>2.2311999999999999E-6</v>
      </c>
      <c r="C95" s="38">
        <v>5.1939999999999995E-7</v>
      </c>
      <c r="D95" s="38">
        <v>6.6400000000000002E-7</v>
      </c>
      <c r="E95" s="3"/>
      <c r="F95" s="38">
        <f t="shared" si="1"/>
        <v>8.7842519685039377E-5</v>
      </c>
      <c r="G95" s="38">
        <f t="shared" si="1"/>
        <v>2.0448818897637795E-5</v>
      </c>
      <c r="H95" s="38">
        <f t="shared" si="1"/>
        <v>2.6141732283464568E-5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D95" s="1"/>
    </row>
    <row r="96" spans="1:30" x14ac:dyDescent="0.2">
      <c r="A96" s="8">
        <v>1800</v>
      </c>
      <c r="B96" s="38">
        <v>2.2208000000000004E-6</v>
      </c>
      <c r="C96" s="38">
        <v>5.1419999999999999E-7</v>
      </c>
      <c r="D96" s="38">
        <v>6.75E-7</v>
      </c>
      <c r="E96" s="3"/>
      <c r="F96" s="38">
        <f t="shared" si="1"/>
        <v>8.7433070866141746E-5</v>
      </c>
      <c r="G96" s="38">
        <f t="shared" si="1"/>
        <v>2.0244094488188979E-5</v>
      </c>
      <c r="H96" s="38">
        <f t="shared" si="1"/>
        <v>2.6574803149606303E-5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D96" s="1"/>
    </row>
    <row r="97" spans="1:30" x14ac:dyDescent="0.2">
      <c r="A97" s="8">
        <v>1820</v>
      </c>
      <c r="B97" s="38">
        <v>2.2104E-6</v>
      </c>
      <c r="C97" s="38">
        <v>5.0999999999999999E-7</v>
      </c>
      <c r="D97" s="38">
        <v>6.8799999999999991E-7</v>
      </c>
      <c r="E97" s="3"/>
      <c r="F97" s="38">
        <f t="shared" si="1"/>
        <v>8.7023622047244101E-5</v>
      </c>
      <c r="G97" s="38">
        <f t="shared" si="1"/>
        <v>2.0078740157480319E-5</v>
      </c>
      <c r="H97" s="38">
        <f t="shared" si="1"/>
        <v>2.7086614173228345E-5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D97" s="1"/>
    </row>
    <row r="98" spans="1:30" x14ac:dyDescent="0.2">
      <c r="A98" s="8">
        <v>1840</v>
      </c>
      <c r="B98" s="38">
        <v>2.2000000000000001E-6</v>
      </c>
      <c r="C98" s="38">
        <v>5.0480000000000002E-7</v>
      </c>
      <c r="D98" s="38">
        <v>7.0399999999999995E-7</v>
      </c>
      <c r="E98" s="3"/>
      <c r="F98" s="38">
        <f t="shared" si="1"/>
        <v>8.661417322834647E-5</v>
      </c>
      <c r="G98" s="38">
        <f t="shared" si="1"/>
        <v>1.9874015748031497E-5</v>
      </c>
      <c r="H98" s="38">
        <f t="shared" si="1"/>
        <v>2.7716535433070867E-5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D98" s="1"/>
    </row>
    <row r="99" spans="1:30" x14ac:dyDescent="0.2">
      <c r="A99" s="8">
        <v>1860</v>
      </c>
      <c r="B99" s="38">
        <v>2.1896000000000002E-6</v>
      </c>
      <c r="C99" s="38">
        <v>4.9960000000000005E-7</v>
      </c>
      <c r="D99" s="38">
        <v>7.2399999999999997E-7</v>
      </c>
      <c r="E99" s="3"/>
      <c r="F99" s="38">
        <f t="shared" si="1"/>
        <v>8.6204724409448839E-5</v>
      </c>
      <c r="G99" s="38">
        <f t="shared" si="1"/>
        <v>1.9669291338582678E-5</v>
      </c>
      <c r="H99" s="38">
        <f t="shared" si="1"/>
        <v>2.8503937007874016E-5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D99" s="1"/>
    </row>
    <row r="100" spans="1:30" x14ac:dyDescent="0.2">
      <c r="A100" s="8">
        <v>1880</v>
      </c>
      <c r="B100" s="38">
        <v>2.1792000000000002E-6</v>
      </c>
      <c r="C100" s="38">
        <v>4.9439999999999998E-7</v>
      </c>
      <c r="D100" s="38">
        <v>7.4799999999999997E-7</v>
      </c>
      <c r="E100" s="3"/>
      <c r="F100" s="38">
        <f t="shared" si="1"/>
        <v>8.5795275590551195E-5</v>
      </c>
      <c r="G100" s="38">
        <f t="shared" si="1"/>
        <v>1.9464566929133859E-5</v>
      </c>
      <c r="H100" s="38">
        <f t="shared" si="1"/>
        <v>2.9448818897637797E-5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D100" s="1"/>
    </row>
    <row r="101" spans="1:30" x14ac:dyDescent="0.2">
      <c r="A101" s="8">
        <v>1900</v>
      </c>
      <c r="B101" s="38">
        <v>2.1687999999999999E-6</v>
      </c>
      <c r="C101" s="38">
        <v>4.8930000000000002E-7</v>
      </c>
      <c r="D101" s="38">
        <v>7.7399999999999992E-7</v>
      </c>
      <c r="E101" s="3"/>
      <c r="F101" s="38">
        <f t="shared" si="1"/>
        <v>8.5385826771653536E-5</v>
      </c>
      <c r="G101" s="38">
        <f t="shared" si="1"/>
        <v>1.9263779527559058E-5</v>
      </c>
      <c r="H101" s="38">
        <f t="shared" si="1"/>
        <v>3.0472440944881891E-5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D101" s="1"/>
    </row>
    <row r="102" spans="1:30" x14ac:dyDescent="0.2">
      <c r="A102" s="8">
        <v>1920</v>
      </c>
      <c r="B102" s="38">
        <v>2.1584E-6</v>
      </c>
      <c r="C102" s="38">
        <v>4.8409999999999995E-7</v>
      </c>
      <c r="D102" s="38">
        <v>7.9599999999999998E-7</v>
      </c>
      <c r="E102" s="3"/>
      <c r="F102" s="38">
        <f t="shared" si="1"/>
        <v>8.4976377952755905E-5</v>
      </c>
      <c r="G102" s="38">
        <f t="shared" si="1"/>
        <v>1.9059055118110236E-5</v>
      </c>
      <c r="H102" s="38">
        <f t="shared" si="1"/>
        <v>3.1338582677165351E-5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D102" s="1"/>
    </row>
    <row r="103" spans="1:30" x14ac:dyDescent="0.2">
      <c r="A103" s="8">
        <v>1940</v>
      </c>
      <c r="B103" s="38">
        <v>2.148E-6</v>
      </c>
      <c r="C103" s="38">
        <v>4.7990000000000006E-7</v>
      </c>
      <c r="D103" s="38">
        <v>8.2199999999999992E-7</v>
      </c>
      <c r="E103" s="3"/>
      <c r="F103" s="38">
        <f t="shared" si="1"/>
        <v>8.4566929133858275E-5</v>
      </c>
      <c r="G103" s="38">
        <f t="shared" si="1"/>
        <v>1.8893700787401579E-5</v>
      </c>
      <c r="H103" s="38">
        <f t="shared" si="1"/>
        <v>3.2362204724409449E-5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D103" s="1"/>
    </row>
    <row r="104" spans="1:30" x14ac:dyDescent="0.2">
      <c r="A104" s="8">
        <v>1960</v>
      </c>
      <c r="B104" s="38">
        <v>2.1376000000000001E-6</v>
      </c>
      <c r="C104" s="38">
        <v>4.7569999999999995E-7</v>
      </c>
      <c r="D104" s="38">
        <v>8.5000000000000001E-7</v>
      </c>
      <c r="E104" s="3"/>
      <c r="F104" s="38">
        <f t="shared" si="1"/>
        <v>8.415748031496063E-5</v>
      </c>
      <c r="G104" s="38">
        <f t="shared" si="1"/>
        <v>1.8728346456692912E-5</v>
      </c>
      <c r="H104" s="38">
        <f t="shared" si="1"/>
        <v>3.3464566929133864E-5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D104" s="1"/>
    </row>
    <row r="105" spans="1:30" x14ac:dyDescent="0.2">
      <c r="A105" s="8">
        <v>1980</v>
      </c>
      <c r="B105" s="38">
        <v>2.1271999999999997E-6</v>
      </c>
      <c r="C105" s="38">
        <v>4.7260000000000004E-7</v>
      </c>
      <c r="D105" s="38">
        <v>8.8199999999999998E-7</v>
      </c>
      <c r="E105" s="3"/>
      <c r="F105" s="38">
        <f t="shared" si="1"/>
        <v>8.3748031496062985E-5</v>
      </c>
      <c r="G105" s="38">
        <f t="shared" si="1"/>
        <v>1.8606299212598428E-5</v>
      </c>
      <c r="H105" s="38">
        <f t="shared" si="1"/>
        <v>3.47244094488189E-5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D105" s="1"/>
    </row>
    <row r="106" spans="1:30" x14ac:dyDescent="0.2">
      <c r="A106" s="8">
        <v>2000</v>
      </c>
      <c r="B106" s="38">
        <v>2.1268999999999999E-6</v>
      </c>
      <c r="C106" s="38">
        <v>4.6839999999999999E-7</v>
      </c>
      <c r="D106" s="38">
        <v>9.1900000000000001E-7</v>
      </c>
      <c r="E106" s="3"/>
      <c r="F106" s="38">
        <f t="shared" si="1"/>
        <v>8.3736220472440935E-5</v>
      </c>
      <c r="G106" s="38">
        <f t="shared" si="1"/>
        <v>1.8440944881889764E-5</v>
      </c>
      <c r="H106" s="38">
        <f t="shared" si="1"/>
        <v>3.6181102362204729E-5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D106" s="1"/>
    </row>
    <row r="107" spans="1:30" x14ac:dyDescent="0.2">
      <c r="A107" s="8">
        <v>2020</v>
      </c>
      <c r="B107" s="38">
        <v>2.1165999999999998E-6</v>
      </c>
      <c r="C107" s="38">
        <v>4.6530000000000002E-7</v>
      </c>
      <c r="D107" s="38">
        <v>9.5799999999999998E-7</v>
      </c>
      <c r="E107" s="3"/>
      <c r="F107" s="38">
        <f t="shared" si="1"/>
        <v>8.3330708661417312E-5</v>
      </c>
      <c r="G107" s="38">
        <f t="shared" si="1"/>
        <v>1.8318897637795277E-5</v>
      </c>
      <c r="H107" s="38">
        <f t="shared" si="1"/>
        <v>3.7716535433070869E-5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D107" s="1"/>
    </row>
    <row r="108" spans="1:30" x14ac:dyDescent="0.2">
      <c r="A108" s="8">
        <v>2040</v>
      </c>
      <c r="B108" s="38">
        <v>2.1163E-6</v>
      </c>
      <c r="C108" s="38">
        <v>4.622E-7</v>
      </c>
      <c r="D108" s="38">
        <v>1.001E-6</v>
      </c>
      <c r="E108" s="3"/>
      <c r="F108" s="38">
        <f t="shared" si="1"/>
        <v>8.3318897637795275E-5</v>
      </c>
      <c r="G108" s="38">
        <f t="shared" si="1"/>
        <v>1.819685039370079E-5</v>
      </c>
      <c r="H108" s="38">
        <f t="shared" si="1"/>
        <v>3.9409448818897637E-5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D108" s="1"/>
    </row>
    <row r="109" spans="1:30" x14ac:dyDescent="0.2">
      <c r="A109" s="8">
        <v>2060</v>
      </c>
      <c r="B109" s="38">
        <v>2.1059999999999998E-6</v>
      </c>
      <c r="C109" s="38">
        <v>4.5909999999999998E-7</v>
      </c>
      <c r="D109" s="38">
        <v>1.0500000000000001E-6</v>
      </c>
      <c r="E109" s="3"/>
      <c r="F109" s="38">
        <f t="shared" si="1"/>
        <v>8.2913385826771652E-5</v>
      </c>
      <c r="G109" s="38">
        <f t="shared" si="1"/>
        <v>1.80748031496063E-5</v>
      </c>
      <c r="H109" s="38">
        <f t="shared" si="1"/>
        <v>4.1338582677165364E-5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D109" s="1"/>
    </row>
    <row r="110" spans="1:30" x14ac:dyDescent="0.2">
      <c r="A110" s="8">
        <v>2080</v>
      </c>
      <c r="B110" s="38">
        <v>2.1057E-6</v>
      </c>
      <c r="C110" s="38">
        <v>4.5599999999999995E-7</v>
      </c>
      <c r="D110" s="38">
        <v>1.1029999999999999E-6</v>
      </c>
      <c r="E110" s="3"/>
      <c r="F110" s="38">
        <f t="shared" si="1"/>
        <v>8.2901574803149602E-5</v>
      </c>
      <c r="G110" s="38">
        <f t="shared" si="1"/>
        <v>1.7952755905511809E-5</v>
      </c>
      <c r="H110" s="38">
        <f t="shared" si="1"/>
        <v>4.3425196850393697E-5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D110" s="1"/>
    </row>
    <row r="111" spans="1:30" x14ac:dyDescent="0.2">
      <c r="A111" s="8">
        <v>2100</v>
      </c>
      <c r="B111" s="38">
        <v>2.0953999999999999E-6</v>
      </c>
      <c r="C111" s="38">
        <v>4.5390000000000001E-7</v>
      </c>
      <c r="D111" s="38">
        <v>1.1599999999999999E-6</v>
      </c>
      <c r="E111" s="3"/>
      <c r="F111" s="38">
        <f t="shared" si="1"/>
        <v>8.2496062992125978E-5</v>
      </c>
      <c r="G111" s="38">
        <f t="shared" si="1"/>
        <v>1.7870078740157481E-5</v>
      </c>
      <c r="H111" s="38">
        <f t="shared" si="1"/>
        <v>4.566929133858268E-5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D111" s="1"/>
    </row>
    <row r="112" spans="1:30" x14ac:dyDescent="0.2">
      <c r="A112" s="8">
        <v>2120</v>
      </c>
      <c r="B112" s="38">
        <v>2.0952000000000003E-6</v>
      </c>
      <c r="C112" s="38">
        <v>4.5180000000000001E-7</v>
      </c>
      <c r="D112" s="38">
        <v>1.217E-6</v>
      </c>
      <c r="E112" s="3"/>
      <c r="F112" s="38">
        <f t="shared" si="1"/>
        <v>8.2488188976377963E-5</v>
      </c>
      <c r="G112" s="38">
        <f t="shared" si="1"/>
        <v>1.7787401574803153E-5</v>
      </c>
      <c r="H112" s="38">
        <f t="shared" si="1"/>
        <v>4.7913385826771655E-5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D112" s="1"/>
    </row>
    <row r="113" spans="1:30" x14ac:dyDescent="0.2">
      <c r="A113" s="8">
        <v>2140</v>
      </c>
      <c r="B113" s="38">
        <v>2.0850000000000004E-6</v>
      </c>
      <c r="C113" s="38">
        <v>4.4869999999999999E-7</v>
      </c>
      <c r="D113" s="38">
        <v>1.2860000000000001E-6</v>
      </c>
      <c r="E113" s="3"/>
      <c r="F113" s="38">
        <f t="shared" si="1"/>
        <v>8.2086614173228374E-5</v>
      </c>
      <c r="G113" s="38">
        <f t="shared" si="1"/>
        <v>1.7665354330708662E-5</v>
      </c>
      <c r="H113" s="38">
        <f t="shared" si="1"/>
        <v>5.062992125984252E-5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D113" s="1"/>
    </row>
    <row r="114" spans="1:30" x14ac:dyDescent="0.2">
      <c r="A114" s="8">
        <v>2160</v>
      </c>
      <c r="B114" s="38">
        <v>2.0848000000000004E-6</v>
      </c>
      <c r="C114" s="38">
        <v>4.4659999999999999E-7</v>
      </c>
      <c r="D114" s="38">
        <v>1.3550000000000002E-6</v>
      </c>
      <c r="E114" s="3"/>
      <c r="F114" s="38">
        <f t="shared" si="1"/>
        <v>8.2078740157480332E-5</v>
      </c>
      <c r="G114" s="38">
        <f t="shared" si="1"/>
        <v>1.7582677165354334E-5</v>
      </c>
      <c r="H114" s="38">
        <f t="shared" si="1"/>
        <v>5.3346456692913393E-5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D114" s="1"/>
    </row>
    <row r="115" spans="1:30" x14ac:dyDescent="0.2">
      <c r="A115" s="8">
        <v>2180</v>
      </c>
      <c r="B115" s="38">
        <v>2.0846000000000003E-6</v>
      </c>
      <c r="C115" s="38">
        <v>4.446E-7</v>
      </c>
      <c r="D115" s="38">
        <v>1.4349999999999998E-6</v>
      </c>
      <c r="E115" s="3"/>
      <c r="F115" s="38">
        <f t="shared" si="1"/>
        <v>8.2070866141732303E-5</v>
      </c>
      <c r="G115" s="38">
        <f t="shared" si="1"/>
        <v>1.7503937007874016E-5</v>
      </c>
      <c r="H115" s="38">
        <f t="shared" si="1"/>
        <v>5.6496062992125983E-5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D115" s="1"/>
    </row>
    <row r="116" spans="1:30" x14ac:dyDescent="0.2">
      <c r="A116" s="8">
        <v>2200</v>
      </c>
      <c r="B116" s="38">
        <v>2.0744E-6</v>
      </c>
      <c r="C116" s="38">
        <v>4.425E-7</v>
      </c>
      <c r="D116" s="38">
        <v>1.514E-6</v>
      </c>
      <c r="E116" s="3"/>
      <c r="F116" s="38">
        <f t="shared" si="1"/>
        <v>8.1669291338582687E-5</v>
      </c>
      <c r="G116" s="38">
        <f t="shared" si="1"/>
        <v>1.7421259842519688E-5</v>
      </c>
      <c r="H116" s="38">
        <f t="shared" si="1"/>
        <v>5.9606299212598429E-5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D116" s="1"/>
    </row>
    <row r="117" spans="1:30" x14ac:dyDescent="0.2">
      <c r="A117" s="8">
        <v>2220</v>
      </c>
      <c r="B117" s="38">
        <v>2.0742E-6</v>
      </c>
      <c r="C117" s="38">
        <v>4.404E-7</v>
      </c>
      <c r="D117" s="38">
        <v>1.5940000000000001E-6</v>
      </c>
      <c r="E117" s="3"/>
      <c r="F117" s="38">
        <f t="shared" si="1"/>
        <v>8.1661417322834645E-5</v>
      </c>
      <c r="G117" s="38">
        <f t="shared" si="1"/>
        <v>1.7338582677165356E-5</v>
      </c>
      <c r="H117" s="38">
        <f t="shared" si="1"/>
        <v>6.2755905511811033E-5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D117" s="1"/>
    </row>
    <row r="118" spans="1:30" x14ac:dyDescent="0.2">
      <c r="A118" s="8">
        <v>2240</v>
      </c>
      <c r="B118" s="38">
        <v>2.0640000000000001E-6</v>
      </c>
      <c r="C118" s="38">
        <v>4.3840000000000001E-7</v>
      </c>
      <c r="D118" s="38">
        <v>1.683E-6</v>
      </c>
      <c r="E118" s="3"/>
      <c r="F118" s="38">
        <f t="shared" si="1"/>
        <v>8.1259842519685043E-5</v>
      </c>
      <c r="G118" s="38">
        <f t="shared" si="1"/>
        <v>1.7259842519685042E-5</v>
      </c>
      <c r="H118" s="38">
        <f t="shared" si="1"/>
        <v>6.6259842519685044E-5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D118" s="1"/>
    </row>
    <row r="119" spans="1:30" x14ac:dyDescent="0.2">
      <c r="A119" s="8">
        <v>2260</v>
      </c>
      <c r="B119" s="38">
        <v>2.0538999999999999E-6</v>
      </c>
      <c r="C119" s="38">
        <v>4.3629999999999996E-7</v>
      </c>
      <c r="D119" s="38">
        <v>1.7629999999999999E-6</v>
      </c>
      <c r="E119" s="3"/>
      <c r="F119" s="38">
        <f t="shared" si="1"/>
        <v>8.0862204724409448E-5</v>
      </c>
      <c r="G119" s="38">
        <f t="shared" si="1"/>
        <v>1.717716535433071E-5</v>
      </c>
      <c r="H119" s="38">
        <f t="shared" si="1"/>
        <v>6.9409448818897628E-5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D119" s="1"/>
    </row>
    <row r="120" spans="1:30" x14ac:dyDescent="0.2">
      <c r="A120" s="8">
        <v>2280</v>
      </c>
      <c r="B120" s="38">
        <v>2.0536999999999999E-6</v>
      </c>
      <c r="C120" s="38">
        <v>4.3429999999999996E-7</v>
      </c>
      <c r="D120" s="38">
        <v>1.8519999999999998E-6</v>
      </c>
      <c r="E120" s="3"/>
      <c r="F120" s="38">
        <f t="shared" si="1"/>
        <v>8.0854330708661419E-5</v>
      </c>
      <c r="G120" s="38">
        <f t="shared" si="1"/>
        <v>1.7098425196850393E-5</v>
      </c>
      <c r="H120" s="38">
        <f t="shared" si="1"/>
        <v>7.2913385826771639E-5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D120" s="1"/>
    </row>
    <row r="121" spans="1:30" x14ac:dyDescent="0.2">
      <c r="A121" s="8">
        <v>2300</v>
      </c>
      <c r="B121" s="38">
        <v>2.0435E-6</v>
      </c>
      <c r="C121" s="38">
        <v>4.3120000000000005E-7</v>
      </c>
      <c r="D121" s="38">
        <v>1.9419999999999998E-6</v>
      </c>
      <c r="E121" s="3"/>
      <c r="F121" s="38">
        <f t="shared" si="1"/>
        <v>8.0452755905511817E-5</v>
      </c>
      <c r="G121" s="38">
        <f t="shared" si="1"/>
        <v>1.6976377952755909E-5</v>
      </c>
      <c r="H121" s="38">
        <f t="shared" si="1"/>
        <v>7.6456692913385823E-5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D121" s="1"/>
    </row>
    <row r="122" spans="1:30" x14ac:dyDescent="0.2">
      <c r="A122" s="8">
        <v>2320</v>
      </c>
      <c r="B122" s="38">
        <v>2.0333999999999999E-6</v>
      </c>
      <c r="C122" s="38">
        <v>4.2920000000000001E-7</v>
      </c>
      <c r="D122" s="38">
        <v>2.0219999999999999E-6</v>
      </c>
      <c r="E122" s="3"/>
      <c r="F122" s="38">
        <f t="shared" si="1"/>
        <v>8.0055118110236223E-5</v>
      </c>
      <c r="G122" s="38">
        <f t="shared" si="1"/>
        <v>1.6897637795275592E-5</v>
      </c>
      <c r="H122" s="38">
        <f t="shared" si="1"/>
        <v>7.960629921259842E-5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D122" s="1"/>
    </row>
    <row r="123" spans="1:30" x14ac:dyDescent="0.2">
      <c r="A123" s="8">
        <v>2340</v>
      </c>
      <c r="B123" s="38">
        <v>2.0232E-6</v>
      </c>
      <c r="C123" s="38">
        <v>4.2710000000000001E-7</v>
      </c>
      <c r="D123" s="38">
        <v>2.1009999999999999E-6</v>
      </c>
      <c r="E123" s="3"/>
      <c r="F123" s="38">
        <f t="shared" si="1"/>
        <v>7.9653543307086621E-5</v>
      </c>
      <c r="G123" s="38">
        <f t="shared" si="1"/>
        <v>1.681496062992126E-5</v>
      </c>
      <c r="H123" s="38">
        <f t="shared" si="1"/>
        <v>8.2716535433070872E-5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D123" s="1"/>
    </row>
    <row r="124" spans="1:30" x14ac:dyDescent="0.2">
      <c r="A124" s="8">
        <v>2360</v>
      </c>
      <c r="B124" s="38">
        <v>2.0130999999999998E-6</v>
      </c>
      <c r="C124" s="38">
        <v>4.2510000000000001E-7</v>
      </c>
      <c r="D124" s="38">
        <v>2.1709999999999996E-6</v>
      </c>
      <c r="E124" s="3"/>
      <c r="F124" s="38">
        <f t="shared" si="1"/>
        <v>7.9255905511811027E-5</v>
      </c>
      <c r="G124" s="38">
        <f t="shared" si="1"/>
        <v>1.6736220472440946E-5</v>
      </c>
      <c r="H124" s="38">
        <f t="shared" si="1"/>
        <v>8.5472440944881883E-5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D124" s="1"/>
    </row>
    <row r="125" spans="1:30" x14ac:dyDescent="0.2">
      <c r="A125" s="8">
        <v>2380</v>
      </c>
      <c r="B125" s="38">
        <v>2.0028999999999999E-6</v>
      </c>
      <c r="C125" s="38">
        <v>4.2399999999999999E-7</v>
      </c>
      <c r="D125" s="38">
        <v>2.2409999999999998E-6</v>
      </c>
      <c r="E125" s="3"/>
      <c r="F125" s="38">
        <f t="shared" si="1"/>
        <v>7.8854330708661411E-5</v>
      </c>
      <c r="G125" s="38">
        <f t="shared" si="1"/>
        <v>1.6692913385826773E-5</v>
      </c>
      <c r="H125" s="38">
        <f t="shared" si="1"/>
        <v>8.8228346456692921E-5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D125" s="1"/>
    </row>
    <row r="126" spans="1:30" x14ac:dyDescent="0.2">
      <c r="A126" s="8">
        <v>2400</v>
      </c>
      <c r="B126" s="38">
        <v>1.9827999999999999E-6</v>
      </c>
      <c r="C126" s="38">
        <v>4.2300000000000002E-7</v>
      </c>
      <c r="D126" s="38">
        <v>2.2909999999999997E-6</v>
      </c>
      <c r="E126" s="3"/>
      <c r="F126" s="38">
        <f t="shared" si="1"/>
        <v>7.8062992125984244E-5</v>
      </c>
      <c r="G126" s="38">
        <f t="shared" si="1"/>
        <v>1.6653543307086618E-5</v>
      </c>
      <c r="H126" s="38">
        <f t="shared" si="1"/>
        <v>9.0196850393700772E-5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D126" s="1"/>
    </row>
    <row r="127" spans="1:30" x14ac:dyDescent="0.2">
      <c r="A127" s="3"/>
      <c r="B127" s="3"/>
      <c r="C127" s="3"/>
      <c r="D127" s="3"/>
      <c r="E127" s="3"/>
      <c r="F127" s="3"/>
      <c r="G127" s="3"/>
      <c r="H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D127" s="1"/>
    </row>
    <row r="128" spans="1:30" x14ac:dyDescent="0.2">
      <c r="A128" s="8" t="s">
        <v>21</v>
      </c>
      <c r="B128" s="38">
        <f>MAX(B6:B126)</f>
        <v>2.5777999999999997E-6</v>
      </c>
      <c r="C128" s="38">
        <f>MAX(C6:C126)</f>
        <v>6.8890000000000009E-7</v>
      </c>
      <c r="D128" s="38">
        <f>MAX(D6:D126)</f>
        <v>2.2909999999999997E-6</v>
      </c>
      <c r="E128" s="4"/>
      <c r="F128" s="38">
        <f>MAX(F20:F126)</f>
        <v>1.0148818897637795E-4</v>
      </c>
      <c r="G128" s="38">
        <f>MAX(G20:G126)</f>
        <v>2.7122047244094493E-5</v>
      </c>
      <c r="H128" s="38">
        <f>MAX(H20:H126)</f>
        <v>9.0196850393700772E-5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D128" s="1"/>
    </row>
    <row r="129" spans="1:30" x14ac:dyDescent="0.2">
      <c r="A129" s="8" t="s">
        <v>22</v>
      </c>
      <c r="B129" s="38">
        <f>B128*limits!$E29</f>
        <v>4.805049208504769E-4</v>
      </c>
      <c r="C129" s="38">
        <f>C128*limits!$E29</f>
        <v>1.2841176195744184E-4</v>
      </c>
      <c r="D129" s="38">
        <f>D128*limits!$E29</f>
        <v>4.2704506698287013E-4</v>
      </c>
      <c r="E129" s="4"/>
      <c r="F129" s="38">
        <f>F128*limits!$E29</f>
        <v>1.8917516568916416E-2</v>
      </c>
      <c r="G129" s="38">
        <f>G128*limits!$E29</f>
        <v>5.0555811794268449E-3</v>
      </c>
      <c r="H129" s="38">
        <f>H128*limits!$E29</f>
        <v>1.6812797912711421E-2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D129" s="1"/>
    </row>
    <row r="130" spans="1:30" x14ac:dyDescent="0.2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D130" s="1"/>
    </row>
    <row r="131" spans="1:30" x14ac:dyDescent="0.2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D131" s="1"/>
    </row>
    <row r="132" spans="1:30" x14ac:dyDescent="0.2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D132" s="1"/>
    </row>
    <row r="133" spans="1:30" x14ac:dyDescent="0.2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D133" s="1"/>
    </row>
    <row r="134" spans="1:30" x14ac:dyDescent="0.2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D134" s="1"/>
    </row>
    <row r="135" spans="1:30" x14ac:dyDescent="0.2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D135" s="1"/>
    </row>
    <row r="136" spans="1:30" x14ac:dyDescent="0.2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D136" s="1"/>
    </row>
    <row r="137" spans="1:30" x14ac:dyDescent="0.2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</row>
    <row r="138" spans="1:30" x14ac:dyDescent="0.2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1"/>
    </row>
    <row r="139" spans="1:30" x14ac:dyDescent="0.2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1"/>
    </row>
    <row r="140" spans="1:30" x14ac:dyDescent="0.2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1"/>
    </row>
  </sheetData>
  <mergeCells count="4">
    <mergeCell ref="F2:H2"/>
    <mergeCell ref="A4:A5"/>
    <mergeCell ref="B4:D4"/>
    <mergeCell ref="F4:H4"/>
  </mergeCells>
  <printOptions horizontalCentered="1"/>
  <pageMargins left="0.75" right="0.75" top="1.5" bottom="0.5" header="0.75" footer="0.75"/>
  <pageSetup orientation="portrait" r:id="rId1"/>
  <headerFooter alignWithMargins="0">
    <oddHeader>&amp;L&amp;8&amp;F&amp;R&amp;8&amp;D
By: SS
Chkd:___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61394-7115-41EE-ADDE-F8647DB4D8F8}">
  <dimension ref="A1:AD140"/>
  <sheetViews>
    <sheetView showGridLines="0" topLeftCell="A3" zoomScale="130" zoomScaleNormal="130" workbookViewId="0">
      <selection activeCell="B6" sqref="B6:D126"/>
    </sheetView>
  </sheetViews>
  <sheetFormatPr defaultRowHeight="12.75" x14ac:dyDescent="0.2"/>
  <cols>
    <col min="1" max="1" width="12" customWidth="1"/>
    <col min="2" max="4" width="10.42578125" bestFit="1" customWidth="1"/>
    <col min="5" max="5" width="5.5703125" customWidth="1"/>
    <col min="19" max="19" width="9.28515625" bestFit="1" customWidth="1"/>
    <col min="20" max="21" width="9.28515625" customWidth="1"/>
    <col min="22" max="22" width="12.140625" style="36" customWidth="1"/>
    <col min="23" max="25" width="9.5703125" style="36" bestFit="1" customWidth="1"/>
    <col min="26" max="26" width="9.140625" style="36"/>
    <col min="27" max="27" width="10.85546875" style="36" bestFit="1" customWidth="1"/>
    <col min="28" max="28" width="9.28515625" style="36" customWidth="1"/>
    <col min="29" max="29" width="10.85546875" style="36" bestFit="1" customWidth="1"/>
    <col min="31" max="31" width="9.28515625" bestFit="1" customWidth="1"/>
    <col min="32" max="32" width="13" bestFit="1" customWidth="1"/>
    <col min="33" max="33" width="9.28515625" bestFit="1" customWidth="1"/>
    <col min="35" max="38" width="9.28515625" bestFit="1" customWidth="1"/>
    <col min="39" max="40" width="10.5703125" bestFit="1" customWidth="1"/>
    <col min="41" max="41" width="9.28515625" bestFit="1" customWidth="1"/>
    <col min="42" max="43" width="10.5703125" bestFit="1" customWidth="1"/>
    <col min="49" max="50" width="10.5703125" bestFit="1" customWidth="1"/>
    <col min="51" max="51" width="9.28515625" bestFit="1" customWidth="1"/>
    <col min="52" max="53" width="10.5703125" bestFit="1" customWidth="1"/>
  </cols>
  <sheetData>
    <row r="1" spans="1:30" x14ac:dyDescent="0.2">
      <c r="A1" s="37" t="s">
        <v>31</v>
      </c>
      <c r="B1" s="3"/>
      <c r="C1" s="3"/>
      <c r="D1" s="3"/>
      <c r="E1" s="3"/>
      <c r="F1" s="3"/>
      <c r="G1" s="3"/>
      <c r="H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</row>
    <row r="2" spans="1:30" x14ac:dyDescent="0.2">
      <c r="A2" s="22" t="s">
        <v>40</v>
      </c>
      <c r="B2" s="1"/>
      <c r="C2" s="1"/>
      <c r="D2" s="1"/>
      <c r="E2" s="3"/>
      <c r="F2" s="40"/>
      <c r="G2" s="40"/>
      <c r="H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1"/>
    </row>
    <row r="3" spans="1:30" x14ac:dyDescent="0.2">
      <c r="A3" s="22" t="s">
        <v>39</v>
      </c>
      <c r="B3" s="36"/>
      <c r="C3" s="36"/>
      <c r="D3" s="36"/>
      <c r="E3" s="36"/>
      <c r="F3" s="36"/>
      <c r="G3" s="36"/>
      <c r="H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1"/>
    </row>
    <row r="4" spans="1:30" x14ac:dyDescent="0.2">
      <c r="A4" s="41" t="s">
        <v>35</v>
      </c>
      <c r="B4" s="43" t="s">
        <v>36</v>
      </c>
      <c r="C4" s="43"/>
      <c r="D4" s="43"/>
      <c r="E4" s="3"/>
      <c r="F4" s="43" t="s">
        <v>37</v>
      </c>
      <c r="G4" s="43"/>
      <c r="H4" s="4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1"/>
    </row>
    <row r="5" spans="1:30" x14ac:dyDescent="0.2">
      <c r="A5" s="42"/>
      <c r="B5" s="8" t="s">
        <v>0</v>
      </c>
      <c r="C5" s="8" t="s">
        <v>1</v>
      </c>
      <c r="D5" s="8" t="s">
        <v>2</v>
      </c>
      <c r="E5" s="3"/>
      <c r="F5" s="8" t="s">
        <v>0</v>
      </c>
      <c r="G5" s="8" t="s">
        <v>1</v>
      </c>
      <c r="H5" s="8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1"/>
    </row>
    <row r="6" spans="1:30" x14ac:dyDescent="0.2">
      <c r="A6" s="35">
        <v>0</v>
      </c>
      <c r="B6" s="38">
        <v>1.6946E-16</v>
      </c>
      <c r="C6" s="38">
        <v>1.6070000000000002E-17</v>
      </c>
      <c r="D6" s="38">
        <v>5.1119999999999999E-17</v>
      </c>
      <c r="E6" s="3"/>
      <c r="F6" s="38">
        <f>B6*1000/25.4</f>
        <v>6.6716535433070868E-15</v>
      </c>
      <c r="G6" s="38">
        <f>C6*1000/25.4</f>
        <v>6.3267716535433076E-16</v>
      </c>
      <c r="H6" s="38">
        <f>D6*1000/25.4</f>
        <v>2.0125984251968507E-15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1"/>
    </row>
    <row r="7" spans="1:30" x14ac:dyDescent="0.2">
      <c r="A7" s="35">
        <v>20</v>
      </c>
      <c r="B7" s="38">
        <v>1.0399999999999999E-9</v>
      </c>
      <c r="C7" s="38">
        <v>1.3649999999999999E-10</v>
      </c>
      <c r="D7" s="38">
        <v>2.99E-10</v>
      </c>
      <c r="E7" s="3"/>
      <c r="F7" s="38">
        <f t="shared" ref="F7:H70" si="0">B7*1000/25.4</f>
        <v>4.094488188976378E-8</v>
      </c>
      <c r="G7" s="38">
        <f t="shared" si="0"/>
        <v>5.3740157480314962E-9</v>
      </c>
      <c r="H7" s="38">
        <f t="shared" si="0"/>
        <v>1.1771653543307087E-8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3"/>
      <c r="AC7" s="3"/>
      <c r="AD7" s="1"/>
    </row>
    <row r="8" spans="1:30" x14ac:dyDescent="0.2">
      <c r="A8" s="35">
        <v>40</v>
      </c>
      <c r="B8" s="38">
        <v>4.037E-9</v>
      </c>
      <c r="C8" s="38">
        <v>5.2900000000000003E-10</v>
      </c>
      <c r="D8" s="38">
        <v>1.2030000000000001E-9</v>
      </c>
      <c r="E8" s="3"/>
      <c r="F8" s="38">
        <f t="shared" si="0"/>
        <v>1.5893700787401575E-7</v>
      </c>
      <c r="G8" s="38">
        <f t="shared" si="0"/>
        <v>2.082677165354331E-8</v>
      </c>
      <c r="H8" s="38">
        <f t="shared" si="0"/>
        <v>4.736220472440946E-8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1"/>
    </row>
    <row r="9" spans="1:30" x14ac:dyDescent="0.2">
      <c r="A9" s="35">
        <v>60</v>
      </c>
      <c r="B9" s="38">
        <v>9.0700000000000011E-9</v>
      </c>
      <c r="C9" s="38">
        <v>1.188E-9</v>
      </c>
      <c r="D9" s="38">
        <v>2.7190000000000002E-9</v>
      </c>
      <c r="E9" s="3"/>
      <c r="F9" s="38">
        <f t="shared" si="0"/>
        <v>3.5708661417322843E-7</v>
      </c>
      <c r="G9" s="38">
        <f t="shared" si="0"/>
        <v>4.6771653543307091E-8</v>
      </c>
      <c r="H9" s="38">
        <f t="shared" si="0"/>
        <v>1.070472440944882E-7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D9" s="3"/>
    </row>
    <row r="10" spans="1:30" x14ac:dyDescent="0.2">
      <c r="A10" s="35">
        <v>80</v>
      </c>
      <c r="B10" s="38">
        <v>1.653E-8</v>
      </c>
      <c r="C10" s="38">
        <v>2.1729999999999998E-9</v>
      </c>
      <c r="D10" s="38">
        <v>4.8399999999999998E-9</v>
      </c>
      <c r="E10" s="3"/>
      <c r="F10" s="38">
        <f t="shared" si="0"/>
        <v>6.5078740157480314E-7</v>
      </c>
      <c r="G10" s="38">
        <f t="shared" si="0"/>
        <v>8.5551181102362202E-8</v>
      </c>
      <c r="H10" s="38">
        <f t="shared" si="0"/>
        <v>1.9055118110236223E-7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D10" s="3"/>
    </row>
    <row r="11" spans="1:30" x14ac:dyDescent="0.2">
      <c r="A11" s="35">
        <v>100</v>
      </c>
      <c r="B11" s="38">
        <v>2.6049999999999998E-8</v>
      </c>
      <c r="C11" s="38">
        <v>3.4400000000000001E-9</v>
      </c>
      <c r="D11" s="38">
        <v>7.6400000000000009E-9</v>
      </c>
      <c r="E11" s="3"/>
      <c r="F11" s="38">
        <f t="shared" si="0"/>
        <v>1.0255905511811023E-6</v>
      </c>
      <c r="G11" s="38">
        <f t="shared" si="0"/>
        <v>1.3543307086614175E-7</v>
      </c>
      <c r="H11" s="38">
        <f t="shared" si="0"/>
        <v>3.0078740157480321E-7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AD11" s="3"/>
    </row>
    <row r="12" spans="1:30" x14ac:dyDescent="0.2">
      <c r="A12" s="35">
        <v>120</v>
      </c>
      <c r="B12" s="38">
        <v>3.826E-8</v>
      </c>
      <c r="C12" s="38">
        <v>5.0700000000000001E-9</v>
      </c>
      <c r="D12" s="38">
        <v>1.1159999999999999E-8</v>
      </c>
      <c r="E12" s="3"/>
      <c r="F12" s="38">
        <f t="shared" si="0"/>
        <v>1.5062992125984254E-6</v>
      </c>
      <c r="G12" s="38">
        <f t="shared" si="0"/>
        <v>1.9960629921259843E-7</v>
      </c>
      <c r="H12" s="38">
        <f t="shared" si="0"/>
        <v>4.3937007874015741E-7</v>
      </c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AD12" s="1"/>
    </row>
    <row r="13" spans="1:30" x14ac:dyDescent="0.2">
      <c r="A13" s="35">
        <v>140</v>
      </c>
      <c r="B13" s="38">
        <v>5.3300000000000001E-8</v>
      </c>
      <c r="C13" s="38">
        <v>7.0400000000000005E-9</v>
      </c>
      <c r="D13" s="38">
        <v>1.55E-8</v>
      </c>
      <c r="E13" s="3"/>
      <c r="F13" s="38">
        <f t="shared" si="0"/>
        <v>2.098425196850394E-6</v>
      </c>
      <c r="G13" s="38">
        <f t="shared" si="0"/>
        <v>2.7716535433070868E-7</v>
      </c>
      <c r="H13" s="38">
        <f t="shared" si="0"/>
        <v>6.1023622047244098E-7</v>
      </c>
      <c r="J13" s="1"/>
      <c r="K13" s="1"/>
      <c r="L13" s="1"/>
      <c r="M13" s="1"/>
      <c r="N13" s="1"/>
      <c r="O13" s="1"/>
      <c r="P13" s="1"/>
      <c r="Q13" s="1"/>
      <c r="R13" s="17"/>
      <c r="S13" s="9"/>
      <c r="T13" s="9"/>
      <c r="U13" s="9"/>
      <c r="AD13" s="6"/>
    </row>
    <row r="14" spans="1:30" x14ac:dyDescent="0.2">
      <c r="A14" s="35">
        <v>160</v>
      </c>
      <c r="B14" s="38">
        <v>7.17E-8</v>
      </c>
      <c r="C14" s="38">
        <v>9.4199999999999993E-9</v>
      </c>
      <c r="D14" s="38">
        <v>2.0750000000000001E-8</v>
      </c>
      <c r="E14" s="3"/>
      <c r="F14" s="38">
        <f t="shared" si="0"/>
        <v>2.8228346456692912E-6</v>
      </c>
      <c r="G14" s="38">
        <f t="shared" si="0"/>
        <v>3.7086614173228345E-7</v>
      </c>
      <c r="H14" s="38">
        <f t="shared" si="0"/>
        <v>8.1692913385826776E-7</v>
      </c>
      <c r="J14" s="1"/>
      <c r="K14" s="1"/>
      <c r="L14" s="1"/>
      <c r="M14" s="1"/>
      <c r="N14" s="1"/>
      <c r="O14" s="1"/>
      <c r="P14" s="1"/>
      <c r="Q14" s="1"/>
      <c r="R14" s="17"/>
      <c r="S14" s="9"/>
      <c r="T14" s="9"/>
      <c r="U14" s="9"/>
      <c r="AD14" s="6"/>
    </row>
    <row r="15" spans="1:30" x14ac:dyDescent="0.2">
      <c r="A15" s="35">
        <v>180</v>
      </c>
      <c r="B15" s="38">
        <v>9.3999999999999995E-8</v>
      </c>
      <c r="C15" s="38">
        <v>1.2250000000000001E-8</v>
      </c>
      <c r="D15" s="38">
        <v>2.7199999999999999E-8</v>
      </c>
      <c r="E15" s="3"/>
      <c r="F15" s="38">
        <f t="shared" si="0"/>
        <v>3.7007874015748031E-6</v>
      </c>
      <c r="G15" s="38">
        <f t="shared" si="0"/>
        <v>4.8228346456692918E-7</v>
      </c>
      <c r="H15" s="38">
        <f t="shared" si="0"/>
        <v>1.0708661417322834E-6</v>
      </c>
      <c r="J15" s="1"/>
      <c r="K15" s="1"/>
      <c r="L15" s="1"/>
      <c r="M15" s="1"/>
      <c r="N15" s="1"/>
      <c r="O15" s="1"/>
      <c r="P15" s="1"/>
      <c r="Q15" s="1"/>
      <c r="R15" s="17"/>
      <c r="S15" s="1"/>
      <c r="T15" s="1"/>
      <c r="U15" s="1"/>
      <c r="AD15" s="6"/>
    </row>
    <row r="16" spans="1:30" x14ac:dyDescent="0.2">
      <c r="A16" s="35">
        <v>200</v>
      </c>
      <c r="B16" s="38">
        <v>1.2130000000000001E-7</v>
      </c>
      <c r="C16" s="38">
        <v>1.557E-8</v>
      </c>
      <c r="D16" s="38">
        <v>3.5199999999999998E-8</v>
      </c>
      <c r="E16" s="3"/>
      <c r="F16" s="38">
        <f t="shared" si="0"/>
        <v>4.775590551181103E-6</v>
      </c>
      <c r="G16" s="38">
        <f t="shared" si="0"/>
        <v>6.1299212598425198E-7</v>
      </c>
      <c r="H16" s="38">
        <f t="shared" si="0"/>
        <v>1.3858267716535433E-6</v>
      </c>
      <c r="J16" s="1"/>
      <c r="K16" s="1"/>
      <c r="L16" s="1"/>
      <c r="M16" s="1"/>
      <c r="N16" s="1"/>
      <c r="O16" s="1"/>
      <c r="P16" s="1"/>
      <c r="Q16" s="1"/>
      <c r="R16" s="17"/>
      <c r="S16" s="1"/>
      <c r="T16" s="1"/>
      <c r="U16" s="1"/>
      <c r="AD16" s="6"/>
    </row>
    <row r="17" spans="1:30" x14ac:dyDescent="0.2">
      <c r="A17" s="35">
        <v>220</v>
      </c>
      <c r="B17" s="38">
        <v>1.5419999999999999E-7</v>
      </c>
      <c r="C17" s="38">
        <v>1.934E-8</v>
      </c>
      <c r="D17" s="38">
        <v>4.51E-8</v>
      </c>
      <c r="E17" s="3"/>
      <c r="F17" s="38">
        <f t="shared" si="0"/>
        <v>6.0708661417322834E-6</v>
      </c>
      <c r="G17" s="38">
        <f t="shared" si="0"/>
        <v>7.614173228346458E-7</v>
      </c>
      <c r="H17" s="38">
        <f t="shared" si="0"/>
        <v>1.7755905511811023E-6</v>
      </c>
      <c r="J17" s="1"/>
      <c r="K17" s="1"/>
      <c r="L17" s="1"/>
      <c r="M17" s="1"/>
      <c r="N17" s="1"/>
      <c r="O17" s="1"/>
      <c r="P17" s="1"/>
      <c r="Q17" s="1"/>
      <c r="R17" s="17"/>
      <c r="S17" s="9"/>
      <c r="T17" s="9"/>
      <c r="U17" s="9"/>
      <c r="AD17" s="6"/>
    </row>
    <row r="18" spans="1:30" x14ac:dyDescent="0.2">
      <c r="A18" s="35">
        <v>240</v>
      </c>
      <c r="B18" s="38">
        <v>1.9470000000000002E-7</v>
      </c>
      <c r="C18" s="38">
        <v>2.353E-8</v>
      </c>
      <c r="D18" s="38">
        <v>5.6999999999999994E-8</v>
      </c>
      <c r="E18" s="3"/>
      <c r="F18" s="38">
        <f t="shared" si="0"/>
        <v>7.665354330708663E-6</v>
      </c>
      <c r="G18" s="38">
        <f t="shared" si="0"/>
        <v>9.2637795275590554E-7</v>
      </c>
      <c r="H18" s="38">
        <f t="shared" si="0"/>
        <v>2.2440944881889762E-6</v>
      </c>
      <c r="J18" s="1"/>
      <c r="K18" s="1"/>
      <c r="L18" s="1"/>
      <c r="M18" s="1"/>
      <c r="N18" s="1"/>
      <c r="O18" s="1"/>
      <c r="P18" s="1"/>
      <c r="Q18" s="1"/>
      <c r="R18" s="17"/>
      <c r="S18" s="1"/>
      <c r="T18" s="1"/>
      <c r="U18" s="1"/>
      <c r="AD18" s="6"/>
    </row>
    <row r="19" spans="1:30" x14ac:dyDescent="0.2">
      <c r="A19" s="35">
        <v>260</v>
      </c>
      <c r="B19" s="38">
        <v>2.4050000000000002E-7</v>
      </c>
      <c r="C19" s="38">
        <v>2.81E-8</v>
      </c>
      <c r="D19" s="38">
        <v>7.1099999999999995E-8</v>
      </c>
      <c r="E19" s="3"/>
      <c r="F19" s="38">
        <f t="shared" si="0"/>
        <v>9.468503937007876E-6</v>
      </c>
      <c r="G19" s="38">
        <f t="shared" si="0"/>
        <v>1.1062992125984252E-6</v>
      </c>
      <c r="H19" s="38">
        <f t="shared" si="0"/>
        <v>2.7992125984251965E-6</v>
      </c>
      <c r="J19" s="1"/>
      <c r="K19" s="1"/>
      <c r="L19" s="1"/>
      <c r="M19" s="1"/>
      <c r="N19" s="1"/>
      <c r="O19" s="1"/>
      <c r="P19" s="1"/>
      <c r="Q19" s="1"/>
      <c r="R19" s="17"/>
      <c r="S19" s="1"/>
      <c r="T19" s="1"/>
      <c r="U19" s="1"/>
      <c r="AD19" s="6"/>
    </row>
    <row r="20" spans="1:30" x14ac:dyDescent="0.2">
      <c r="A20" s="35">
        <v>280</v>
      </c>
      <c r="B20" s="38">
        <v>2.8940000000000004E-7</v>
      </c>
      <c r="C20" s="38">
        <v>3.2600000000000001E-8</v>
      </c>
      <c r="D20" s="38">
        <v>8.5300000000000003E-8</v>
      </c>
      <c r="E20" s="3"/>
      <c r="F20" s="38">
        <f t="shared" si="0"/>
        <v>1.1393700787401578E-5</v>
      </c>
      <c r="G20" s="38">
        <f t="shared" si="0"/>
        <v>1.2834645669291338E-6</v>
      </c>
      <c r="H20" s="38">
        <f t="shared" si="0"/>
        <v>3.3582677165354331E-6</v>
      </c>
      <c r="J20" s="1"/>
      <c r="K20" s="1"/>
      <c r="L20" s="1"/>
      <c r="M20" s="1"/>
      <c r="N20" s="1"/>
      <c r="O20" s="1"/>
      <c r="P20" s="1"/>
      <c r="Q20" s="1"/>
      <c r="R20" s="17"/>
      <c r="S20" s="9"/>
      <c r="T20" s="9"/>
      <c r="U20" s="9"/>
      <c r="AD20" s="6"/>
    </row>
    <row r="21" spans="1:30" x14ac:dyDescent="0.2">
      <c r="A21" s="35">
        <v>300</v>
      </c>
      <c r="B21" s="38">
        <v>3.3700000000000001E-7</v>
      </c>
      <c r="C21" s="38">
        <v>3.7200000000000002E-8</v>
      </c>
      <c r="D21" s="38">
        <v>9.76E-8</v>
      </c>
      <c r="E21" s="3"/>
      <c r="F21" s="38">
        <f t="shared" si="0"/>
        <v>1.3267716535433072E-5</v>
      </c>
      <c r="G21" s="38">
        <f t="shared" si="0"/>
        <v>1.4645669291338584E-6</v>
      </c>
      <c r="H21" s="38">
        <f t="shared" si="0"/>
        <v>3.8425196850393703E-6</v>
      </c>
      <c r="J21" s="1"/>
      <c r="K21" s="1"/>
      <c r="L21" s="1"/>
      <c r="M21" s="1"/>
      <c r="N21" s="1"/>
      <c r="O21" s="1"/>
      <c r="P21" s="1"/>
      <c r="Q21" s="1"/>
      <c r="R21" s="17"/>
      <c r="S21" s="1"/>
      <c r="T21" s="1"/>
      <c r="U21" s="1"/>
      <c r="AD21" s="6"/>
    </row>
    <row r="22" spans="1:30" x14ac:dyDescent="0.2">
      <c r="A22" s="35">
        <v>320</v>
      </c>
      <c r="B22" s="38">
        <v>3.7999999999999996E-7</v>
      </c>
      <c r="C22" s="38">
        <v>4.2500000000000003E-8</v>
      </c>
      <c r="D22" s="38">
        <v>1.085E-7</v>
      </c>
      <c r="E22" s="3"/>
      <c r="F22" s="38">
        <f t="shared" si="0"/>
        <v>1.4960629921259842E-5</v>
      </c>
      <c r="G22" s="38">
        <f t="shared" si="0"/>
        <v>1.6732283464566931E-6</v>
      </c>
      <c r="H22" s="38">
        <f t="shared" si="0"/>
        <v>4.2716535433070865E-6</v>
      </c>
      <c r="J22" s="1"/>
      <c r="K22" s="1"/>
      <c r="L22" s="1"/>
      <c r="M22" s="1"/>
      <c r="N22" s="1"/>
      <c r="O22" s="1"/>
      <c r="P22" s="1"/>
      <c r="Q22" s="1"/>
      <c r="R22" s="17"/>
      <c r="S22" s="2"/>
      <c r="T22" s="2"/>
      <c r="U22" s="2"/>
      <c r="AD22" s="6"/>
    </row>
    <row r="23" spans="1:30" x14ac:dyDescent="0.2">
      <c r="A23" s="35">
        <v>340</v>
      </c>
      <c r="B23" s="38">
        <v>4.2599999999999998E-7</v>
      </c>
      <c r="C23" s="38">
        <v>4.88E-8</v>
      </c>
      <c r="D23" s="38">
        <v>1.1859999999999999E-7</v>
      </c>
      <c r="E23" s="3"/>
      <c r="F23" s="38">
        <f t="shared" si="0"/>
        <v>1.6771653543307087E-5</v>
      </c>
      <c r="G23" s="38">
        <f t="shared" si="0"/>
        <v>1.9212598425196851E-6</v>
      </c>
      <c r="H23" s="38">
        <f t="shared" si="0"/>
        <v>4.6692913385826774E-6</v>
      </c>
      <c r="J23" s="1"/>
      <c r="K23" s="1"/>
      <c r="L23" s="1"/>
      <c r="M23" s="1"/>
      <c r="N23" s="1"/>
      <c r="O23" s="1"/>
      <c r="P23" s="1"/>
      <c r="Q23" s="1"/>
      <c r="R23" s="17"/>
      <c r="S23" s="3"/>
      <c r="T23" s="3"/>
      <c r="U23" s="3"/>
      <c r="AD23" s="6"/>
    </row>
    <row r="24" spans="1:30" x14ac:dyDescent="0.2">
      <c r="A24" s="35">
        <v>360</v>
      </c>
      <c r="B24" s="38">
        <v>4.7199999999999999E-7</v>
      </c>
      <c r="C24" s="38">
        <v>5.6299999999999995E-8</v>
      </c>
      <c r="D24" s="38">
        <v>1.29E-7</v>
      </c>
      <c r="E24" s="3"/>
      <c r="F24" s="38">
        <f t="shared" si="0"/>
        <v>1.8582677165354331E-5</v>
      </c>
      <c r="G24" s="38">
        <f t="shared" si="0"/>
        <v>2.2165354330708661E-6</v>
      </c>
      <c r="H24" s="38">
        <f t="shared" si="0"/>
        <v>5.0787401574803152E-6</v>
      </c>
      <c r="J24" s="1"/>
      <c r="K24" s="1"/>
      <c r="L24" s="1"/>
      <c r="M24" s="1"/>
      <c r="N24" s="1"/>
      <c r="O24" s="1"/>
      <c r="P24" s="1"/>
      <c r="Q24" s="1"/>
      <c r="R24" s="17"/>
      <c r="S24" s="9"/>
      <c r="T24" s="9"/>
      <c r="U24" s="9"/>
      <c r="AD24" s="6"/>
    </row>
    <row r="25" spans="1:30" x14ac:dyDescent="0.2">
      <c r="A25" s="35">
        <v>380</v>
      </c>
      <c r="B25" s="38">
        <v>5.2200000000000004E-7</v>
      </c>
      <c r="C25" s="38">
        <v>6.4799999999999998E-8</v>
      </c>
      <c r="D25" s="38">
        <v>1.4040000000000001E-7</v>
      </c>
      <c r="E25" s="3"/>
      <c r="F25" s="38">
        <f t="shared" si="0"/>
        <v>2.0551181102362206E-5</v>
      </c>
      <c r="G25" s="38">
        <f t="shared" si="0"/>
        <v>2.5511811023622049E-6</v>
      </c>
      <c r="H25" s="38">
        <f t="shared" si="0"/>
        <v>5.5275590551181116E-6</v>
      </c>
      <c r="J25" s="1"/>
      <c r="K25" s="1"/>
      <c r="L25" s="1"/>
      <c r="M25" s="1"/>
      <c r="N25" s="1"/>
      <c r="O25" s="1"/>
      <c r="P25" s="1"/>
      <c r="Q25" s="1"/>
      <c r="R25" s="17"/>
      <c r="S25" s="9"/>
      <c r="T25" s="9"/>
      <c r="U25" s="9"/>
      <c r="AD25" s="6"/>
    </row>
    <row r="26" spans="1:30" x14ac:dyDescent="0.2">
      <c r="A26" s="35">
        <v>400</v>
      </c>
      <c r="B26" s="38">
        <v>5.7699999999999994E-7</v>
      </c>
      <c r="C26" s="38">
        <v>7.3599999999999997E-8</v>
      </c>
      <c r="D26" s="38">
        <v>1.532E-7</v>
      </c>
      <c r="E26" s="3"/>
      <c r="F26" s="38">
        <f t="shared" si="0"/>
        <v>2.2716535433070864E-5</v>
      </c>
      <c r="G26" s="38">
        <f t="shared" si="0"/>
        <v>2.8976377952755906E-6</v>
      </c>
      <c r="H26" s="38">
        <f t="shared" si="0"/>
        <v>6.0314960629921255E-6</v>
      </c>
      <c r="J26" s="1"/>
      <c r="K26" s="1"/>
      <c r="L26" s="1"/>
      <c r="M26" s="1"/>
      <c r="N26" s="1"/>
      <c r="O26" s="1"/>
      <c r="P26" s="1"/>
      <c r="Q26" s="1"/>
      <c r="R26" s="17"/>
      <c r="S26" s="1"/>
      <c r="T26" s="1"/>
      <c r="U26" s="1"/>
      <c r="AD26" s="6"/>
    </row>
    <row r="27" spans="1:30" x14ac:dyDescent="0.2">
      <c r="A27" s="35">
        <v>420</v>
      </c>
      <c r="B27" s="38">
        <v>6.3499999999999996E-7</v>
      </c>
      <c r="C27" s="38">
        <v>8.2200000000000008E-8</v>
      </c>
      <c r="D27" s="38">
        <v>1.673E-7</v>
      </c>
      <c r="E27" s="3"/>
      <c r="F27" s="38">
        <f t="shared" si="0"/>
        <v>2.4999999999999998E-5</v>
      </c>
      <c r="G27" s="38">
        <f t="shared" si="0"/>
        <v>3.2362204724409452E-6</v>
      </c>
      <c r="H27" s="38">
        <f t="shared" si="0"/>
        <v>6.5866141732283468E-6</v>
      </c>
      <c r="J27" s="1"/>
      <c r="K27" s="1"/>
      <c r="L27" s="1"/>
      <c r="M27" s="1"/>
      <c r="N27" s="1"/>
      <c r="O27" s="1"/>
      <c r="P27" s="1"/>
      <c r="Q27" s="1"/>
      <c r="R27" s="17"/>
      <c r="S27" s="1"/>
      <c r="T27" s="1"/>
      <c r="U27" s="1"/>
      <c r="AD27" s="6"/>
    </row>
    <row r="28" spans="1:30" x14ac:dyDescent="0.2">
      <c r="A28" s="35">
        <v>440</v>
      </c>
      <c r="B28" s="38">
        <v>6.9800000000000003E-7</v>
      </c>
      <c r="C28" s="38">
        <v>9.0099999999999993E-8</v>
      </c>
      <c r="D28" s="38">
        <v>1.8420000000000002E-7</v>
      </c>
      <c r="E28" s="3"/>
      <c r="F28" s="38">
        <f t="shared" si="0"/>
        <v>2.7480314960629925E-5</v>
      </c>
      <c r="G28" s="38">
        <f t="shared" si="0"/>
        <v>3.5472440944881889E-6</v>
      </c>
      <c r="H28" s="38">
        <f t="shared" si="0"/>
        <v>7.2519685039370098E-6</v>
      </c>
      <c r="J28" s="1"/>
      <c r="K28" s="1"/>
      <c r="L28" s="1"/>
      <c r="M28" s="1"/>
      <c r="N28" s="1"/>
      <c r="O28" s="1"/>
      <c r="P28" s="1"/>
      <c r="Q28" s="1"/>
      <c r="R28" s="17"/>
      <c r="S28" s="9"/>
      <c r="T28" s="9"/>
      <c r="U28" s="9"/>
      <c r="AD28" s="6"/>
    </row>
    <row r="29" spans="1:30" x14ac:dyDescent="0.2">
      <c r="A29" s="35">
        <v>460</v>
      </c>
      <c r="B29" s="38">
        <v>7.6700000000000003E-7</v>
      </c>
      <c r="C29" s="38">
        <v>9.7000000000000008E-8</v>
      </c>
      <c r="D29" s="38">
        <v>2.0249999999999999E-7</v>
      </c>
      <c r="E29" s="3"/>
      <c r="F29" s="38">
        <f t="shared" si="0"/>
        <v>3.0196850393700787E-5</v>
      </c>
      <c r="G29" s="38">
        <f t="shared" si="0"/>
        <v>3.8188976377952765E-6</v>
      </c>
      <c r="H29" s="38">
        <f t="shared" si="0"/>
        <v>7.9724409448818896E-6</v>
      </c>
      <c r="J29" s="1"/>
      <c r="K29" s="1"/>
      <c r="L29" s="1"/>
      <c r="M29" s="1"/>
      <c r="N29" s="1"/>
      <c r="O29" s="1"/>
      <c r="P29" s="1"/>
      <c r="Q29" s="1"/>
      <c r="R29" s="17"/>
      <c r="S29" s="1"/>
      <c r="T29" s="1"/>
      <c r="U29" s="1"/>
      <c r="AD29" s="6"/>
    </row>
    <row r="30" spans="1:30" x14ac:dyDescent="0.2">
      <c r="A30" s="35">
        <v>480</v>
      </c>
      <c r="B30" s="38">
        <v>8.4370000000000007E-7</v>
      </c>
      <c r="C30" s="38">
        <v>1.031E-7</v>
      </c>
      <c r="D30" s="38">
        <v>2.241E-7</v>
      </c>
      <c r="E30" s="3"/>
      <c r="F30" s="38">
        <f t="shared" si="0"/>
        <v>3.3216535433070868E-5</v>
      </c>
      <c r="G30" s="38">
        <f t="shared" si="0"/>
        <v>4.0590551181102361E-6</v>
      </c>
      <c r="H30" s="38">
        <f t="shared" si="0"/>
        <v>8.8228346456692914E-6</v>
      </c>
      <c r="J30" s="1"/>
      <c r="K30" s="1"/>
      <c r="L30" s="1"/>
      <c r="M30" s="1"/>
      <c r="N30" s="1"/>
      <c r="O30" s="1"/>
      <c r="P30" s="1"/>
      <c r="Q30" s="1"/>
      <c r="R30" s="17"/>
      <c r="S30" s="1"/>
      <c r="T30" s="1"/>
      <c r="U30" s="1"/>
      <c r="AD30" s="6"/>
    </row>
    <row r="31" spans="1:30" x14ac:dyDescent="0.2">
      <c r="A31" s="35">
        <v>500</v>
      </c>
      <c r="B31" s="38">
        <v>9.2890000000000001E-7</v>
      </c>
      <c r="C31" s="38">
        <v>1.087E-7</v>
      </c>
      <c r="D31" s="38">
        <v>2.4700000000000003E-7</v>
      </c>
      <c r="E31" s="3"/>
      <c r="F31" s="38">
        <f t="shared" si="0"/>
        <v>3.6570866141732288E-5</v>
      </c>
      <c r="G31" s="38">
        <f t="shared" si="0"/>
        <v>4.2795275590551181E-6</v>
      </c>
      <c r="H31" s="38">
        <f t="shared" si="0"/>
        <v>9.7244094488189004E-6</v>
      </c>
      <c r="J31" s="1"/>
      <c r="K31" s="1"/>
      <c r="L31" s="1"/>
      <c r="M31" s="1"/>
      <c r="N31" s="1"/>
      <c r="O31" s="1"/>
      <c r="P31" s="1"/>
      <c r="Q31" s="1"/>
      <c r="R31" s="17"/>
      <c r="S31" s="9"/>
      <c r="T31" s="9"/>
      <c r="U31" s="9"/>
      <c r="AD31" s="6"/>
    </row>
    <row r="32" spans="1:30" x14ac:dyDescent="0.2">
      <c r="A32" s="35">
        <v>520</v>
      </c>
      <c r="B32" s="38">
        <v>1.0228E-6</v>
      </c>
      <c r="C32" s="38">
        <v>1.1369999999999999E-7</v>
      </c>
      <c r="D32" s="38">
        <v>2.7319999999999998E-7</v>
      </c>
      <c r="E32" s="3"/>
      <c r="F32" s="38">
        <f t="shared" si="0"/>
        <v>4.0267716535433071E-5</v>
      </c>
      <c r="G32" s="38">
        <f t="shared" si="0"/>
        <v>4.4763779527559054E-6</v>
      </c>
      <c r="H32" s="38">
        <f t="shared" si="0"/>
        <v>1.0755905511811024E-5</v>
      </c>
      <c r="J32" s="1"/>
      <c r="K32" s="1"/>
      <c r="L32" s="1"/>
      <c r="M32" s="1"/>
      <c r="N32" s="1"/>
      <c r="O32" s="1"/>
      <c r="P32" s="1"/>
      <c r="Q32" s="1"/>
      <c r="R32" s="17"/>
      <c r="S32" s="1"/>
      <c r="T32" s="1"/>
      <c r="U32" s="1"/>
      <c r="AD32" s="6"/>
    </row>
    <row r="33" spans="1:30" x14ac:dyDescent="0.2">
      <c r="A33" s="35">
        <v>540</v>
      </c>
      <c r="B33" s="38">
        <v>1.1225999999999998E-6</v>
      </c>
      <c r="C33" s="38">
        <v>1.1829999999999999E-7</v>
      </c>
      <c r="D33" s="38">
        <v>3.0259999999999997E-7</v>
      </c>
      <c r="E33" s="3"/>
      <c r="F33" s="38">
        <f t="shared" si="0"/>
        <v>4.4196850393700785E-5</v>
      </c>
      <c r="G33" s="38">
        <f t="shared" si="0"/>
        <v>4.6574803149606296E-6</v>
      </c>
      <c r="H33" s="38">
        <f t="shared" si="0"/>
        <v>1.1913385826771654E-5</v>
      </c>
      <c r="J33" s="1"/>
      <c r="K33" s="1"/>
      <c r="L33" s="1"/>
      <c r="M33" s="1"/>
      <c r="N33" s="1"/>
      <c r="O33" s="1"/>
      <c r="P33" s="1"/>
      <c r="Q33" s="1"/>
      <c r="R33" s="17"/>
      <c r="S33" s="1"/>
      <c r="T33" s="1"/>
      <c r="U33" s="1"/>
      <c r="AD33" s="6"/>
    </row>
    <row r="34" spans="1:30" x14ac:dyDescent="0.2">
      <c r="A34" s="35">
        <v>560</v>
      </c>
      <c r="B34" s="38">
        <v>1.2372E-6</v>
      </c>
      <c r="C34" s="38">
        <v>1.2240000000000001E-7</v>
      </c>
      <c r="D34" s="38">
        <v>3.3319999999999999E-7</v>
      </c>
      <c r="E34" s="3"/>
      <c r="F34" s="38">
        <f t="shared" si="0"/>
        <v>4.8708661417322837E-5</v>
      </c>
      <c r="G34" s="38">
        <f t="shared" si="0"/>
        <v>4.8188976377952771E-6</v>
      </c>
      <c r="H34" s="38">
        <f t="shared" si="0"/>
        <v>1.3118110236220472E-5</v>
      </c>
      <c r="J34" s="1"/>
      <c r="K34" s="1"/>
      <c r="L34" s="1"/>
      <c r="M34" s="1"/>
      <c r="N34" s="1"/>
      <c r="O34" s="1"/>
      <c r="P34" s="1"/>
      <c r="Q34" s="1"/>
      <c r="R34" s="17"/>
      <c r="S34" s="1"/>
      <c r="T34" s="1"/>
      <c r="U34" s="1"/>
      <c r="AD34" s="6"/>
    </row>
    <row r="35" spans="1:30" x14ac:dyDescent="0.2">
      <c r="A35" s="35">
        <v>580</v>
      </c>
      <c r="B35" s="38">
        <v>1.3523E-6</v>
      </c>
      <c r="C35" s="38">
        <v>1.2620000000000001E-7</v>
      </c>
      <c r="D35" s="38">
        <v>3.65E-7</v>
      </c>
      <c r="E35" s="3"/>
      <c r="F35" s="38">
        <f t="shared" si="0"/>
        <v>5.324015748031496E-5</v>
      </c>
      <c r="G35" s="38">
        <f t="shared" si="0"/>
        <v>4.9685039370078742E-6</v>
      </c>
      <c r="H35" s="38">
        <f t="shared" si="0"/>
        <v>1.4370078740157481E-5</v>
      </c>
      <c r="J35" s="1"/>
      <c r="K35" s="1"/>
      <c r="L35" s="1"/>
      <c r="M35" s="1"/>
      <c r="N35" s="1"/>
      <c r="O35" s="1"/>
      <c r="P35" s="1"/>
      <c r="Q35" s="1"/>
      <c r="R35" s="17"/>
      <c r="S35" s="1"/>
      <c r="T35" s="1"/>
      <c r="U35" s="1"/>
      <c r="AD35" s="6"/>
    </row>
    <row r="36" spans="1:30" x14ac:dyDescent="0.2">
      <c r="A36" s="35">
        <v>600</v>
      </c>
      <c r="B36" s="38">
        <v>1.4579999999999998E-6</v>
      </c>
      <c r="C36" s="38">
        <v>1.297E-7</v>
      </c>
      <c r="D36" s="38">
        <v>3.9900000000000001E-7</v>
      </c>
      <c r="E36" s="3"/>
      <c r="F36" s="38">
        <f t="shared" si="0"/>
        <v>5.7401574803149605E-5</v>
      </c>
      <c r="G36" s="38">
        <f t="shared" si="0"/>
        <v>5.1062992125984261E-6</v>
      </c>
      <c r="H36" s="38">
        <f t="shared" si="0"/>
        <v>1.5708661417322834E-5</v>
      </c>
      <c r="J36" s="1"/>
      <c r="K36" s="1"/>
      <c r="L36" s="1"/>
      <c r="M36" s="1"/>
      <c r="N36" s="1"/>
      <c r="O36" s="1"/>
      <c r="P36" s="1"/>
      <c r="Q36" s="1"/>
      <c r="R36" s="17"/>
      <c r="S36" s="1"/>
      <c r="T36" s="1"/>
      <c r="U36" s="1"/>
      <c r="AD36" s="6"/>
    </row>
    <row r="37" spans="1:30" x14ac:dyDescent="0.2">
      <c r="A37" s="35">
        <v>620</v>
      </c>
      <c r="B37" s="38">
        <v>1.5738000000000001E-6</v>
      </c>
      <c r="C37" s="38">
        <v>1.3309999999999999E-7</v>
      </c>
      <c r="D37" s="38">
        <v>4.312E-7</v>
      </c>
      <c r="E37" s="3"/>
      <c r="F37" s="38">
        <f t="shared" si="0"/>
        <v>6.1960629921259844E-5</v>
      </c>
      <c r="G37" s="38">
        <f t="shared" si="0"/>
        <v>5.24015748031496E-6</v>
      </c>
      <c r="H37" s="38">
        <f t="shared" si="0"/>
        <v>1.6976377952755906E-5</v>
      </c>
      <c r="J37" s="1"/>
      <c r="K37" s="1"/>
      <c r="L37" s="1"/>
      <c r="M37" s="1"/>
      <c r="N37" s="1"/>
      <c r="O37" s="1"/>
      <c r="P37" s="1"/>
      <c r="Q37" s="1"/>
      <c r="R37" s="17"/>
      <c r="S37" s="1"/>
      <c r="T37" s="1"/>
      <c r="U37" s="1"/>
      <c r="AD37" s="6"/>
    </row>
    <row r="38" spans="1:30" x14ac:dyDescent="0.2">
      <c r="A38" s="35">
        <v>640</v>
      </c>
      <c r="B38" s="38">
        <v>1.6601E-6</v>
      </c>
      <c r="C38" s="38">
        <v>1.3680000000000001E-7</v>
      </c>
      <c r="D38" s="38">
        <v>4.6140000000000004E-7</v>
      </c>
      <c r="E38" s="3"/>
      <c r="F38" s="38">
        <f t="shared" si="0"/>
        <v>6.5358267716535443E-5</v>
      </c>
      <c r="G38" s="38">
        <f t="shared" si="0"/>
        <v>5.3858267716535443E-6</v>
      </c>
      <c r="H38" s="38">
        <f t="shared" si="0"/>
        <v>1.8165354330708664E-5</v>
      </c>
      <c r="J38" s="1"/>
      <c r="K38" s="1"/>
      <c r="L38" s="1"/>
      <c r="M38" s="1"/>
      <c r="N38" s="1"/>
      <c r="O38" s="1"/>
      <c r="P38" s="1"/>
      <c r="Q38" s="1"/>
      <c r="R38" s="17"/>
      <c r="S38" s="1"/>
      <c r="T38" s="1"/>
      <c r="U38" s="1"/>
      <c r="AD38" s="6"/>
    </row>
    <row r="39" spans="1:30" x14ac:dyDescent="0.2">
      <c r="A39" s="35">
        <v>660</v>
      </c>
      <c r="B39" s="38">
        <v>1.7369999999999998E-6</v>
      </c>
      <c r="C39" s="38">
        <v>1.4140000000000001E-7</v>
      </c>
      <c r="D39" s="38">
        <v>4.8680000000000004E-7</v>
      </c>
      <c r="E39" s="3"/>
      <c r="F39" s="38">
        <f t="shared" si="0"/>
        <v>6.8385826771653543E-5</v>
      </c>
      <c r="G39" s="38">
        <f t="shared" si="0"/>
        <v>5.5669291338582685E-6</v>
      </c>
      <c r="H39" s="38">
        <f t="shared" si="0"/>
        <v>1.9165354330708665E-5</v>
      </c>
      <c r="J39" s="1"/>
      <c r="K39" s="1"/>
      <c r="L39" s="1"/>
      <c r="M39" s="1"/>
      <c r="N39" s="1"/>
      <c r="O39" s="1"/>
      <c r="P39" s="1"/>
      <c r="Q39" s="1"/>
      <c r="R39" s="17"/>
      <c r="S39" s="1"/>
      <c r="T39" s="1"/>
      <c r="U39" s="1"/>
      <c r="AD39" s="6"/>
    </row>
    <row r="40" spans="1:30" x14ac:dyDescent="0.2">
      <c r="A40" s="35">
        <v>680</v>
      </c>
      <c r="B40" s="38">
        <v>1.7941999999999999E-6</v>
      </c>
      <c r="C40" s="38">
        <v>1.4789999999999999E-7</v>
      </c>
      <c r="D40" s="38">
        <v>5.0610000000000001E-7</v>
      </c>
      <c r="E40" s="3"/>
      <c r="F40" s="38">
        <f t="shared" si="0"/>
        <v>7.0637795275590548E-5</v>
      </c>
      <c r="G40" s="38">
        <f t="shared" si="0"/>
        <v>5.8228346456692913E-6</v>
      </c>
      <c r="H40" s="38">
        <f t="shared" si="0"/>
        <v>1.9925196850393702E-5</v>
      </c>
      <c r="J40" s="1"/>
      <c r="K40" s="1"/>
      <c r="L40" s="1"/>
      <c r="M40" s="1"/>
      <c r="N40" s="1"/>
      <c r="O40" s="1"/>
      <c r="P40" s="1"/>
      <c r="Q40" s="1"/>
      <c r="R40" s="17"/>
      <c r="S40" s="1"/>
      <c r="T40" s="1"/>
      <c r="U40" s="1"/>
      <c r="AD40" s="6"/>
    </row>
    <row r="41" spans="1:30" x14ac:dyDescent="0.2">
      <c r="A41" s="35">
        <v>700</v>
      </c>
      <c r="B41" s="38">
        <v>1.8215999999999998E-6</v>
      </c>
      <c r="C41" s="38">
        <v>1.5549999999999998E-7</v>
      </c>
      <c r="D41" s="38">
        <v>5.1849999999999999E-7</v>
      </c>
      <c r="E41" s="3"/>
      <c r="F41" s="38">
        <f t="shared" si="0"/>
        <v>7.1716535433070862E-5</v>
      </c>
      <c r="G41" s="38">
        <f t="shared" si="0"/>
        <v>6.1220472440944881E-6</v>
      </c>
      <c r="H41" s="38">
        <f t="shared" si="0"/>
        <v>2.0413385826771654E-5</v>
      </c>
      <c r="J41" s="1"/>
      <c r="K41" s="1"/>
      <c r="L41" s="1"/>
      <c r="M41" s="1"/>
      <c r="N41" s="1"/>
      <c r="O41" s="1"/>
      <c r="P41" s="1"/>
      <c r="Q41" s="1"/>
      <c r="R41" s="17"/>
      <c r="S41" s="1"/>
      <c r="T41" s="1"/>
      <c r="U41" s="1"/>
      <c r="AD41" s="6"/>
    </row>
    <row r="42" spans="1:30" x14ac:dyDescent="0.2">
      <c r="A42" s="35">
        <v>720</v>
      </c>
      <c r="B42" s="38">
        <v>1.8092E-6</v>
      </c>
      <c r="C42" s="38">
        <v>1.7010000000000002E-7</v>
      </c>
      <c r="D42" s="38">
        <v>5.2089999999999996E-7</v>
      </c>
      <c r="E42" s="3"/>
      <c r="F42" s="38">
        <f t="shared" si="0"/>
        <v>7.1228346456692914E-5</v>
      </c>
      <c r="G42" s="38">
        <f t="shared" si="0"/>
        <v>6.6968503937007886E-6</v>
      </c>
      <c r="H42" s="38">
        <f t="shared" si="0"/>
        <v>2.0507874015748029E-5</v>
      </c>
      <c r="J42" s="1"/>
      <c r="K42" s="1"/>
      <c r="L42" s="1"/>
      <c r="M42" s="1"/>
      <c r="N42" s="1"/>
      <c r="O42" s="1"/>
      <c r="P42" s="1"/>
      <c r="Q42" s="1"/>
      <c r="R42" s="17"/>
      <c r="S42" s="2"/>
      <c r="T42" s="2"/>
      <c r="U42" s="2"/>
      <c r="AD42" s="6"/>
    </row>
    <row r="43" spans="1:30" x14ac:dyDescent="0.2">
      <c r="A43" s="35">
        <v>740</v>
      </c>
      <c r="B43" s="38">
        <v>1.8071E-6</v>
      </c>
      <c r="C43" s="38">
        <v>1.8370000000000001E-7</v>
      </c>
      <c r="D43" s="38">
        <v>5.242E-7</v>
      </c>
      <c r="E43" s="3"/>
      <c r="F43" s="38">
        <f t="shared" si="0"/>
        <v>7.1145669291338589E-5</v>
      </c>
      <c r="G43" s="38">
        <f t="shared" si="0"/>
        <v>7.2322834645669305E-6</v>
      </c>
      <c r="H43" s="38">
        <f t="shared" si="0"/>
        <v>2.0637795275590549E-5</v>
      </c>
      <c r="J43" s="1"/>
      <c r="K43" s="1"/>
      <c r="L43" s="1"/>
      <c r="M43" s="1"/>
      <c r="N43" s="1"/>
      <c r="O43" s="1"/>
      <c r="P43" s="1"/>
      <c r="Q43" s="1"/>
      <c r="R43" s="17"/>
      <c r="S43" s="3"/>
      <c r="T43" s="3"/>
      <c r="U43" s="3"/>
      <c r="AD43" s="6"/>
    </row>
    <row r="44" spans="1:30" x14ac:dyDescent="0.2">
      <c r="A44" s="35">
        <v>760</v>
      </c>
      <c r="B44" s="38">
        <v>1.7952000000000002E-6</v>
      </c>
      <c r="C44" s="38">
        <v>2.0130000000000001E-7</v>
      </c>
      <c r="D44" s="38">
        <v>5.2200000000000004E-7</v>
      </c>
      <c r="E44" s="3"/>
      <c r="F44" s="38">
        <f t="shared" si="0"/>
        <v>7.067716535433072E-5</v>
      </c>
      <c r="G44" s="38">
        <f t="shared" si="0"/>
        <v>7.9251968503937019E-6</v>
      </c>
      <c r="H44" s="38">
        <f t="shared" si="0"/>
        <v>2.0551181102362206E-5</v>
      </c>
      <c r="J44" s="1"/>
      <c r="K44" s="1"/>
      <c r="L44" s="1"/>
      <c r="M44" s="1"/>
      <c r="N44" s="1"/>
      <c r="O44" s="1"/>
      <c r="P44" s="1"/>
      <c r="Q44" s="1"/>
      <c r="R44" s="17"/>
      <c r="S44" s="1"/>
      <c r="T44" s="1"/>
      <c r="U44" s="1"/>
      <c r="AD44" s="6"/>
    </row>
    <row r="45" spans="1:30" x14ac:dyDescent="0.2">
      <c r="A45" s="35">
        <v>780</v>
      </c>
      <c r="B45" s="38">
        <v>1.7936000000000001E-6</v>
      </c>
      <c r="C45" s="38">
        <v>2.209E-7</v>
      </c>
      <c r="D45" s="38">
        <v>5.2E-7</v>
      </c>
      <c r="E45" s="3"/>
      <c r="F45" s="38">
        <f t="shared" si="0"/>
        <v>7.0614173228346461E-5</v>
      </c>
      <c r="G45" s="38">
        <f t="shared" si="0"/>
        <v>8.6968503937007881E-6</v>
      </c>
      <c r="H45" s="38">
        <f t="shared" si="0"/>
        <v>2.0472440944881889E-5</v>
      </c>
      <c r="J45" s="1"/>
      <c r="K45" s="1"/>
      <c r="L45" s="1"/>
      <c r="M45" s="1"/>
      <c r="N45" s="1"/>
      <c r="O45" s="1"/>
      <c r="P45" s="1"/>
      <c r="Q45" s="1"/>
      <c r="R45" s="17"/>
      <c r="S45" s="1"/>
      <c r="T45" s="1"/>
      <c r="U45" s="1"/>
      <c r="AD45" s="6"/>
    </row>
    <row r="46" spans="1:30" x14ac:dyDescent="0.2">
      <c r="A46" s="35">
        <v>800</v>
      </c>
      <c r="B46" s="38">
        <v>1.7922000000000002E-6</v>
      </c>
      <c r="C46" s="38">
        <v>2.4260000000000002E-7</v>
      </c>
      <c r="D46" s="38">
        <v>5.1399999999999997E-7</v>
      </c>
      <c r="E46" s="3"/>
      <c r="F46" s="38">
        <f t="shared" si="0"/>
        <v>7.0559055118110244E-5</v>
      </c>
      <c r="G46" s="38">
        <f t="shared" si="0"/>
        <v>9.5511811023622061E-6</v>
      </c>
      <c r="H46" s="38">
        <f t="shared" si="0"/>
        <v>2.0236220472440943E-5</v>
      </c>
      <c r="J46" s="1"/>
      <c r="K46" s="1"/>
      <c r="L46" s="1"/>
      <c r="M46" s="1"/>
      <c r="N46" s="1"/>
      <c r="O46" s="1"/>
      <c r="P46" s="1"/>
      <c r="Q46" s="1"/>
      <c r="R46" s="17"/>
      <c r="S46" s="1"/>
      <c r="T46" s="1"/>
      <c r="U46" s="1"/>
      <c r="AD46" s="5"/>
    </row>
    <row r="47" spans="1:30" x14ac:dyDescent="0.2">
      <c r="A47" s="35">
        <v>820</v>
      </c>
      <c r="B47" s="38">
        <v>1.801E-6</v>
      </c>
      <c r="C47" s="38">
        <v>2.663E-7</v>
      </c>
      <c r="D47" s="38">
        <v>5.0900000000000002E-7</v>
      </c>
      <c r="E47" s="3"/>
      <c r="F47" s="38">
        <f t="shared" si="0"/>
        <v>7.0905511811023629E-5</v>
      </c>
      <c r="G47" s="38">
        <f t="shared" si="0"/>
        <v>1.0484251968503938E-5</v>
      </c>
      <c r="H47" s="38">
        <f t="shared" si="0"/>
        <v>2.003937007874016E-5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D47" s="6"/>
    </row>
    <row r="48" spans="1:30" x14ac:dyDescent="0.2">
      <c r="A48" s="35">
        <v>840</v>
      </c>
      <c r="B48" s="38">
        <v>1.8299999999999998E-6</v>
      </c>
      <c r="C48" s="38">
        <v>2.91E-7</v>
      </c>
      <c r="D48" s="38">
        <v>5.0299999999999999E-7</v>
      </c>
      <c r="E48" s="3"/>
      <c r="F48" s="38">
        <f t="shared" si="0"/>
        <v>7.2047244094488189E-5</v>
      </c>
      <c r="G48" s="38">
        <f t="shared" si="0"/>
        <v>1.1456692913385827E-5</v>
      </c>
      <c r="H48" s="38">
        <f t="shared" si="0"/>
        <v>1.9803149606299212E-5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D48" s="3"/>
    </row>
    <row r="49" spans="1:30" x14ac:dyDescent="0.2">
      <c r="A49" s="35">
        <v>860</v>
      </c>
      <c r="B49" s="38">
        <v>1.8592000000000001E-6</v>
      </c>
      <c r="C49" s="38">
        <v>3.178E-7</v>
      </c>
      <c r="D49" s="38">
        <v>4.9800000000000004E-7</v>
      </c>
      <c r="E49" s="3"/>
      <c r="F49" s="38">
        <f t="shared" si="0"/>
        <v>7.3196850393700792E-5</v>
      </c>
      <c r="G49" s="38">
        <f t="shared" si="0"/>
        <v>1.2511811023622049E-5</v>
      </c>
      <c r="H49" s="38">
        <f t="shared" si="0"/>
        <v>1.9606299212598429E-5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D49" s="3"/>
    </row>
    <row r="50" spans="1:30" x14ac:dyDescent="0.2">
      <c r="A50" s="35">
        <v>880</v>
      </c>
      <c r="B50" s="38">
        <v>1.9083999999999998E-6</v>
      </c>
      <c r="C50" s="38">
        <v>3.446E-7</v>
      </c>
      <c r="D50" s="38">
        <v>4.9299999999999998E-7</v>
      </c>
      <c r="E50" s="3"/>
      <c r="F50" s="38">
        <f t="shared" si="0"/>
        <v>7.5133858267716527E-5</v>
      </c>
      <c r="G50" s="38">
        <f t="shared" si="0"/>
        <v>1.356692913385827E-5</v>
      </c>
      <c r="H50" s="38">
        <f t="shared" si="0"/>
        <v>1.9409448818897635E-5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D50" s="3"/>
    </row>
    <row r="51" spans="1:30" x14ac:dyDescent="0.2">
      <c r="A51" s="35">
        <v>900</v>
      </c>
      <c r="B51" s="38">
        <v>1.9678E-6</v>
      </c>
      <c r="C51" s="38">
        <v>3.7230000000000002E-7</v>
      </c>
      <c r="D51" s="38">
        <v>4.8800000000000003E-7</v>
      </c>
      <c r="E51" s="3"/>
      <c r="F51" s="38">
        <f t="shared" si="0"/>
        <v>7.7472440944881892E-5</v>
      </c>
      <c r="G51" s="38">
        <f t="shared" si="0"/>
        <v>1.4657480314960631E-5</v>
      </c>
      <c r="H51" s="38">
        <f t="shared" si="0"/>
        <v>1.9212598425196852E-5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D51" s="4"/>
    </row>
    <row r="52" spans="1:30" x14ac:dyDescent="0.2">
      <c r="A52" s="35">
        <v>920</v>
      </c>
      <c r="B52" s="38">
        <v>2.0371999999999997E-6</v>
      </c>
      <c r="C52" s="38">
        <v>3.9900000000000001E-7</v>
      </c>
      <c r="D52" s="38">
        <v>4.8500000000000002E-7</v>
      </c>
      <c r="E52" s="3"/>
      <c r="F52" s="38">
        <f t="shared" si="0"/>
        <v>8.0204724409448815E-5</v>
      </c>
      <c r="G52" s="38">
        <f t="shared" si="0"/>
        <v>1.5708661417322834E-5</v>
      </c>
      <c r="H52" s="38">
        <f t="shared" si="0"/>
        <v>1.909448818897638E-5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D52" s="4"/>
    </row>
    <row r="53" spans="1:30" x14ac:dyDescent="0.2">
      <c r="A53" s="35">
        <v>940</v>
      </c>
      <c r="B53" s="38">
        <v>2.1065999999999999E-6</v>
      </c>
      <c r="C53" s="38">
        <v>4.2470000000000004E-7</v>
      </c>
      <c r="D53" s="38">
        <v>4.82E-7</v>
      </c>
      <c r="E53" s="3"/>
      <c r="F53" s="38">
        <f t="shared" si="0"/>
        <v>8.2937007874015739E-5</v>
      </c>
      <c r="G53" s="38">
        <f t="shared" si="0"/>
        <v>1.6720472440944885E-5</v>
      </c>
      <c r="H53" s="38">
        <f t="shared" si="0"/>
        <v>1.8976377952755907E-5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  <c r="AD53" s="4"/>
    </row>
    <row r="54" spans="1:30" x14ac:dyDescent="0.2">
      <c r="A54" s="35">
        <v>960</v>
      </c>
      <c r="B54" s="38">
        <v>2.176E-6</v>
      </c>
      <c r="C54" s="38">
        <v>4.5040000000000001E-7</v>
      </c>
      <c r="D54" s="38">
        <v>4.82E-7</v>
      </c>
      <c r="E54" s="3"/>
      <c r="F54" s="38">
        <f t="shared" si="0"/>
        <v>8.5669291338582676E-5</v>
      </c>
      <c r="G54" s="38">
        <f t="shared" si="0"/>
        <v>1.7732283464566929E-5</v>
      </c>
      <c r="H54" s="38">
        <f t="shared" si="0"/>
        <v>1.8976377952755907E-5</v>
      </c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AD54" s="4"/>
    </row>
    <row r="55" spans="1:30" x14ac:dyDescent="0.2">
      <c r="A55" s="8">
        <v>980</v>
      </c>
      <c r="B55" s="38">
        <v>2.2453999999999997E-6</v>
      </c>
      <c r="C55" s="38">
        <v>4.7300000000000001E-7</v>
      </c>
      <c r="D55" s="38">
        <v>4.8100000000000003E-7</v>
      </c>
      <c r="E55" s="3"/>
      <c r="F55" s="38">
        <f t="shared" si="0"/>
        <v>8.84015748031496E-5</v>
      </c>
      <c r="G55" s="38">
        <f t="shared" si="0"/>
        <v>1.862204724409449E-5</v>
      </c>
      <c r="H55" s="38">
        <f t="shared" si="0"/>
        <v>1.8937007874015752E-5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D55" s="4"/>
    </row>
    <row r="56" spans="1:30" x14ac:dyDescent="0.2">
      <c r="A56" s="8">
        <v>1000</v>
      </c>
      <c r="B56" s="38">
        <v>2.3148000000000003E-6</v>
      </c>
      <c r="C56" s="38">
        <v>4.9250000000000005E-7</v>
      </c>
      <c r="D56" s="38">
        <v>4.8099999999999993E-7</v>
      </c>
      <c r="E56" s="3"/>
      <c r="F56" s="38">
        <f t="shared" si="0"/>
        <v>9.113385826771655E-5</v>
      </c>
      <c r="G56" s="38">
        <f t="shared" si="0"/>
        <v>1.9389763779527563E-5</v>
      </c>
      <c r="H56" s="38">
        <f t="shared" si="0"/>
        <v>1.8937007874015745E-5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D56" s="4"/>
    </row>
    <row r="57" spans="1:30" x14ac:dyDescent="0.2">
      <c r="A57" s="8">
        <v>1020</v>
      </c>
      <c r="B57" s="38">
        <v>2.3742000000000001E-6</v>
      </c>
      <c r="C57" s="38">
        <v>5.0999999999999999E-7</v>
      </c>
      <c r="D57" s="38">
        <v>4.8299999999999997E-7</v>
      </c>
      <c r="E57" s="3"/>
      <c r="F57" s="38">
        <f t="shared" si="0"/>
        <v>9.3472440944881888E-5</v>
      </c>
      <c r="G57" s="38">
        <f t="shared" si="0"/>
        <v>2.0078740157480319E-5</v>
      </c>
      <c r="H57" s="38">
        <f t="shared" si="0"/>
        <v>1.9015748031496062E-5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D57" s="4"/>
    </row>
    <row r="58" spans="1:30" x14ac:dyDescent="0.2">
      <c r="A58" s="8">
        <v>1040</v>
      </c>
      <c r="B58" s="38">
        <v>2.4336999999999997E-6</v>
      </c>
      <c r="C58" s="38">
        <v>5.2530000000000008E-7</v>
      </c>
      <c r="D58" s="38">
        <v>4.8600000000000009E-7</v>
      </c>
      <c r="E58" s="3"/>
      <c r="F58" s="38">
        <f t="shared" si="0"/>
        <v>9.5814960629921246E-5</v>
      </c>
      <c r="G58" s="38">
        <f t="shared" si="0"/>
        <v>2.0681102362204725E-5</v>
      </c>
      <c r="H58" s="38">
        <f t="shared" si="0"/>
        <v>1.9133858267716542E-5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D58" s="4"/>
    </row>
    <row r="59" spans="1:30" x14ac:dyDescent="0.2">
      <c r="A59" s="8">
        <v>1060</v>
      </c>
      <c r="B59" s="38">
        <v>2.4733999999999999E-6</v>
      </c>
      <c r="C59" s="39">
        <v>5.3760000000000005E-7</v>
      </c>
      <c r="D59" s="38">
        <v>4.9100000000000004E-7</v>
      </c>
      <c r="E59" s="3"/>
      <c r="F59" s="38">
        <f t="shared" si="0"/>
        <v>9.7377952755905501E-5</v>
      </c>
      <c r="G59" s="38">
        <f t="shared" si="0"/>
        <v>2.1165354330708666E-5</v>
      </c>
      <c r="H59" s="38">
        <f t="shared" si="0"/>
        <v>1.9330708661417325E-5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D59" s="4"/>
    </row>
    <row r="60" spans="1:30" x14ac:dyDescent="0.2">
      <c r="A60" s="8">
        <v>1080</v>
      </c>
      <c r="B60" s="38">
        <v>2.5133999999999999E-6</v>
      </c>
      <c r="C60" s="38">
        <v>5.4690000000000001E-7</v>
      </c>
      <c r="D60" s="38">
        <v>4.9599999999999999E-7</v>
      </c>
      <c r="E60" s="3"/>
      <c r="F60" s="38">
        <f t="shared" si="0"/>
        <v>9.8952755905511806E-5</v>
      </c>
      <c r="G60" s="38">
        <f t="shared" si="0"/>
        <v>2.1531496062992127E-5</v>
      </c>
      <c r="H60" s="38">
        <f t="shared" si="0"/>
        <v>1.9527559055118111E-5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D60" s="3"/>
    </row>
    <row r="61" spans="1:30" x14ac:dyDescent="0.2">
      <c r="A61" s="8">
        <v>1100</v>
      </c>
      <c r="B61" s="38">
        <v>2.5438999999999999E-6</v>
      </c>
      <c r="C61" s="38">
        <v>5.5410000000000002E-7</v>
      </c>
      <c r="D61" s="38">
        <v>5.0399999999999996E-7</v>
      </c>
      <c r="E61" s="3"/>
      <c r="F61" s="38">
        <f t="shared" si="0"/>
        <v>1.0015354330708662E-4</v>
      </c>
      <c r="G61" s="38">
        <f t="shared" si="0"/>
        <v>2.181496062992126E-5</v>
      </c>
      <c r="H61" s="38">
        <f t="shared" si="0"/>
        <v>1.984251968503937E-5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D61" s="3"/>
    </row>
    <row r="62" spans="1:30" x14ac:dyDescent="0.2">
      <c r="A62" s="8">
        <v>1120</v>
      </c>
      <c r="B62" s="38">
        <v>2.5648999999999998E-6</v>
      </c>
      <c r="C62" s="38">
        <v>5.5930000000000009E-7</v>
      </c>
      <c r="D62" s="38">
        <v>5.1399999999999997E-7</v>
      </c>
      <c r="E62" s="3"/>
      <c r="F62" s="38">
        <f t="shared" si="0"/>
        <v>1.0098031496062992E-4</v>
      </c>
      <c r="G62" s="38">
        <f t="shared" si="0"/>
        <v>2.2019685039370082E-5</v>
      </c>
      <c r="H62" s="38">
        <f t="shared" si="0"/>
        <v>2.0236220472440943E-5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D62" s="3"/>
    </row>
    <row r="63" spans="1:30" x14ac:dyDescent="0.2">
      <c r="A63" s="8">
        <v>1140</v>
      </c>
      <c r="B63" s="38">
        <v>2.5863999999999999E-6</v>
      </c>
      <c r="C63" s="38">
        <v>5.6250000000000001E-7</v>
      </c>
      <c r="D63" s="38">
        <v>5.2499999999999995E-7</v>
      </c>
      <c r="E63" s="3"/>
      <c r="F63" s="38">
        <f t="shared" si="0"/>
        <v>1.0182677165354331E-4</v>
      </c>
      <c r="G63" s="38">
        <f t="shared" si="0"/>
        <v>2.2145669291338587E-5</v>
      </c>
      <c r="H63" s="38">
        <f t="shared" si="0"/>
        <v>2.0669291338582678E-5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D63" s="3"/>
    </row>
    <row r="64" spans="1:30" x14ac:dyDescent="0.2">
      <c r="A64" s="8">
        <v>1160</v>
      </c>
      <c r="B64" s="38">
        <v>2.5984E-6</v>
      </c>
      <c r="C64" s="38">
        <v>5.6380000000000001E-7</v>
      </c>
      <c r="D64" s="38">
        <v>5.4099999999999999E-7</v>
      </c>
      <c r="E64" s="3"/>
      <c r="F64" s="38">
        <f t="shared" si="0"/>
        <v>1.022992125984252E-4</v>
      </c>
      <c r="G64" s="38">
        <f t="shared" si="0"/>
        <v>2.2196850393700789E-5</v>
      </c>
      <c r="H64" s="38">
        <f t="shared" si="0"/>
        <v>2.12992125984252E-5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D64" s="3"/>
    </row>
    <row r="65" spans="1:30" x14ac:dyDescent="0.2">
      <c r="A65" s="8">
        <v>1180</v>
      </c>
      <c r="B65" s="38">
        <v>2.6008999999999999E-6</v>
      </c>
      <c r="C65" s="38">
        <v>5.6430000000000004E-7</v>
      </c>
      <c r="D65" s="38">
        <v>5.6100000000000001E-7</v>
      </c>
      <c r="E65" s="3"/>
      <c r="F65" s="38">
        <f t="shared" si="0"/>
        <v>1.0239763779527558E-4</v>
      </c>
      <c r="G65" s="38">
        <f t="shared" si="0"/>
        <v>2.2216535433070869E-5</v>
      </c>
      <c r="H65" s="38">
        <f t="shared" si="0"/>
        <v>2.2086614173228346E-5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D65" s="3"/>
    </row>
    <row r="66" spans="1:30" x14ac:dyDescent="0.2">
      <c r="A66" s="8">
        <v>1200</v>
      </c>
      <c r="B66" s="38">
        <v>2.6038E-6</v>
      </c>
      <c r="C66" s="38">
        <v>5.6479999999999998E-7</v>
      </c>
      <c r="D66" s="38">
        <v>5.8400000000000004E-7</v>
      </c>
      <c r="E66" s="3"/>
      <c r="F66" s="38">
        <f t="shared" si="0"/>
        <v>1.0251181102362205E-4</v>
      </c>
      <c r="G66" s="38">
        <f t="shared" si="0"/>
        <v>2.2236220472440945E-5</v>
      </c>
      <c r="H66" s="38">
        <f t="shared" si="0"/>
        <v>2.2992125984251971E-5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D66" s="3"/>
    </row>
    <row r="67" spans="1:30" x14ac:dyDescent="0.2">
      <c r="A67" s="8">
        <v>1220</v>
      </c>
      <c r="B67" s="38">
        <v>2.6069E-6</v>
      </c>
      <c r="C67" s="38">
        <v>5.6350000000000009E-7</v>
      </c>
      <c r="D67" s="38">
        <v>6.1200000000000003E-7</v>
      </c>
      <c r="E67" s="3"/>
      <c r="F67" s="38">
        <f t="shared" si="0"/>
        <v>1.0263385826771655E-4</v>
      </c>
      <c r="G67" s="38">
        <f t="shared" si="0"/>
        <v>2.2185039370078746E-5</v>
      </c>
      <c r="H67" s="38">
        <f t="shared" si="0"/>
        <v>2.4094488188976379E-5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D67" s="1"/>
    </row>
    <row r="68" spans="1:30" x14ac:dyDescent="0.2">
      <c r="A68" s="8">
        <v>1240</v>
      </c>
      <c r="B68" s="38">
        <v>2.6104E-6</v>
      </c>
      <c r="C68" s="38">
        <v>5.6219999999999999E-7</v>
      </c>
      <c r="D68" s="38">
        <v>6.4300000000000003E-7</v>
      </c>
      <c r="E68" s="3"/>
      <c r="F68" s="38">
        <f t="shared" si="0"/>
        <v>1.027716535433071E-4</v>
      </c>
      <c r="G68" s="38">
        <f t="shared" si="0"/>
        <v>2.2133858267716537E-5</v>
      </c>
      <c r="H68" s="38">
        <f t="shared" si="0"/>
        <v>2.531496062992126E-5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D68" s="1"/>
    </row>
    <row r="69" spans="1:30" x14ac:dyDescent="0.2">
      <c r="A69" s="8">
        <v>1260</v>
      </c>
      <c r="B69" s="38">
        <v>2.6042E-6</v>
      </c>
      <c r="C69" s="38">
        <v>5.6000000000000004E-7</v>
      </c>
      <c r="D69" s="38">
        <v>6.7899999999999998E-7</v>
      </c>
      <c r="E69" s="3"/>
      <c r="F69" s="38">
        <f t="shared" si="0"/>
        <v>1.0252755905511812E-4</v>
      </c>
      <c r="G69" s="38">
        <f t="shared" si="0"/>
        <v>2.2047244094488194E-5</v>
      </c>
      <c r="H69" s="38">
        <f t="shared" si="0"/>
        <v>2.6732283464566931E-5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D69" s="1"/>
    </row>
    <row r="70" spans="1:30" x14ac:dyDescent="0.2">
      <c r="A70" s="8">
        <v>1280</v>
      </c>
      <c r="B70" s="38">
        <v>2.5982E-6</v>
      </c>
      <c r="C70" s="38">
        <v>5.5759999999999996E-7</v>
      </c>
      <c r="D70" s="38">
        <v>7.1999999999999999E-7</v>
      </c>
      <c r="E70" s="3"/>
      <c r="F70" s="38">
        <f t="shared" si="0"/>
        <v>1.0229133858267718E-4</v>
      </c>
      <c r="G70" s="38">
        <f t="shared" si="0"/>
        <v>2.1952755905511812E-5</v>
      </c>
      <c r="H70" s="38">
        <f t="shared" si="0"/>
        <v>2.8346456692913385E-5</v>
      </c>
      <c r="J70" s="1"/>
      <c r="K70" s="1"/>
      <c r="L70" s="5"/>
      <c r="M70" s="1"/>
      <c r="N70" s="1"/>
      <c r="O70" s="1"/>
      <c r="P70" s="1"/>
      <c r="Q70" s="1"/>
      <c r="R70" s="17"/>
      <c r="S70" s="1"/>
      <c r="T70" s="1"/>
      <c r="U70" s="1"/>
      <c r="AD70" s="1"/>
    </row>
    <row r="71" spans="1:30" x14ac:dyDescent="0.2">
      <c r="A71" s="8">
        <v>1300</v>
      </c>
      <c r="B71" s="38">
        <v>2.6022000000000003E-6</v>
      </c>
      <c r="C71" s="38">
        <v>5.5500000000000009E-7</v>
      </c>
      <c r="D71" s="38">
        <v>7.6400000000000001E-7</v>
      </c>
      <c r="E71" s="3"/>
      <c r="F71" s="38">
        <f t="shared" ref="F71:H126" si="1">B71*1000/25.4</f>
        <v>1.0244881889763782E-4</v>
      </c>
      <c r="G71" s="38">
        <f t="shared" si="1"/>
        <v>2.1850393700787404E-5</v>
      </c>
      <c r="H71" s="38">
        <f t="shared" si="1"/>
        <v>3.0078740157480318E-5</v>
      </c>
      <c r="J71" s="1"/>
      <c r="K71" s="3"/>
      <c r="L71" s="20"/>
      <c r="M71" s="1"/>
      <c r="N71" s="1"/>
      <c r="O71" s="1"/>
      <c r="P71" s="1"/>
      <c r="Q71" s="1"/>
      <c r="R71" s="1"/>
      <c r="S71" s="1"/>
      <c r="T71" s="1"/>
      <c r="U71" s="1"/>
      <c r="AD71" s="1"/>
    </row>
    <row r="72" spans="1:30" x14ac:dyDescent="0.2">
      <c r="A72" s="8">
        <v>1320</v>
      </c>
      <c r="B72" s="38">
        <v>2.5959E-6</v>
      </c>
      <c r="C72" s="38">
        <v>5.5209999999999997E-7</v>
      </c>
      <c r="D72" s="38">
        <v>8.0599999999999999E-7</v>
      </c>
      <c r="E72" s="3"/>
      <c r="F72" s="38">
        <f t="shared" si="1"/>
        <v>1.022007874015748E-4</v>
      </c>
      <c r="G72" s="38">
        <f t="shared" si="1"/>
        <v>2.1736220472440943E-5</v>
      </c>
      <c r="H72" s="38">
        <f t="shared" si="1"/>
        <v>3.1732283464566931E-5</v>
      </c>
      <c r="J72" s="1"/>
      <c r="K72" s="1"/>
      <c r="L72" s="20"/>
      <c r="M72" s="1"/>
      <c r="N72" s="1"/>
      <c r="O72" s="1"/>
      <c r="P72" s="1"/>
      <c r="Q72" s="1"/>
      <c r="R72" s="1"/>
      <c r="S72" s="1"/>
      <c r="T72" s="1"/>
      <c r="U72" s="1"/>
      <c r="AD72" s="1"/>
    </row>
    <row r="73" spans="1:30" x14ac:dyDescent="0.2">
      <c r="A73" s="8">
        <v>1340</v>
      </c>
      <c r="B73" s="38">
        <v>2.5890000000000001E-6</v>
      </c>
      <c r="C73" s="38">
        <v>5.4899999999999995E-7</v>
      </c>
      <c r="D73" s="38">
        <v>8.4399999999999999E-7</v>
      </c>
      <c r="E73" s="3"/>
      <c r="F73" s="38">
        <f t="shared" si="1"/>
        <v>1.0192913385826772E-4</v>
      </c>
      <c r="G73" s="38">
        <f t="shared" si="1"/>
        <v>2.1614173228346455E-5</v>
      </c>
      <c r="H73" s="38">
        <f t="shared" si="1"/>
        <v>3.3228346456692919E-5</v>
      </c>
      <c r="J73" s="1"/>
      <c r="K73" s="1"/>
      <c r="L73" s="20"/>
      <c r="M73" s="1"/>
      <c r="N73" s="1"/>
      <c r="O73" s="1"/>
      <c r="P73" s="1"/>
      <c r="Q73" s="1"/>
      <c r="R73" s="1"/>
      <c r="S73" s="1"/>
      <c r="T73" s="1"/>
      <c r="U73" s="1"/>
      <c r="AD73" s="1"/>
    </row>
    <row r="74" spans="1:30" x14ac:dyDescent="0.2">
      <c r="A74" s="8">
        <v>1360</v>
      </c>
      <c r="B74" s="38">
        <v>2.5809000000000001E-6</v>
      </c>
      <c r="C74" s="38">
        <v>5.4509999999999998E-7</v>
      </c>
      <c r="D74" s="38">
        <v>8.71E-7</v>
      </c>
      <c r="E74" s="3"/>
      <c r="F74" s="38">
        <f t="shared" si="1"/>
        <v>1.0161023622047245E-4</v>
      </c>
      <c r="G74" s="38">
        <f t="shared" si="1"/>
        <v>2.1460629921259842E-5</v>
      </c>
      <c r="H74" s="38">
        <f t="shared" si="1"/>
        <v>3.4291338582677168E-5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D74" s="1"/>
    </row>
    <row r="75" spans="1:30" x14ac:dyDescent="0.2">
      <c r="A75" s="8">
        <v>1380</v>
      </c>
      <c r="B75" s="38">
        <v>2.5716000000000001E-6</v>
      </c>
      <c r="C75" s="38">
        <v>5.4290000000000002E-7</v>
      </c>
      <c r="D75" s="38">
        <v>8.8199999999999998E-7</v>
      </c>
      <c r="E75" s="3"/>
      <c r="F75" s="38">
        <f t="shared" si="1"/>
        <v>1.01244094488189E-4</v>
      </c>
      <c r="G75" s="38">
        <f t="shared" si="1"/>
        <v>2.1374015748031499E-5</v>
      </c>
      <c r="H75" s="38">
        <f t="shared" si="1"/>
        <v>3.47244094488189E-5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D75" s="1"/>
    </row>
    <row r="76" spans="1:30" x14ac:dyDescent="0.2">
      <c r="A76" s="8">
        <v>1400</v>
      </c>
      <c r="B76" s="38">
        <v>2.5611000000000003E-6</v>
      </c>
      <c r="C76" s="38">
        <v>5.4140000000000002E-7</v>
      </c>
      <c r="D76" s="38">
        <v>8.7499999999999999E-7</v>
      </c>
      <c r="E76" s="3"/>
      <c r="F76" s="38">
        <f t="shared" si="1"/>
        <v>1.0083070866141733E-4</v>
      </c>
      <c r="G76" s="38">
        <f t="shared" si="1"/>
        <v>2.1314960629921261E-5</v>
      </c>
      <c r="H76" s="38">
        <f t="shared" si="1"/>
        <v>3.4448818897637796E-5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D76" s="1"/>
    </row>
    <row r="77" spans="1:30" x14ac:dyDescent="0.2">
      <c r="A77" s="8">
        <v>1420</v>
      </c>
      <c r="B77" s="38">
        <v>2.5496999999999999E-6</v>
      </c>
      <c r="C77" s="38">
        <v>5.3949999999999998E-7</v>
      </c>
      <c r="D77" s="38">
        <v>8.5200000000000006E-7</v>
      </c>
      <c r="E77" s="3"/>
      <c r="F77" s="38">
        <f t="shared" si="1"/>
        <v>1.0038188976377953E-4</v>
      </c>
      <c r="G77" s="38">
        <f t="shared" si="1"/>
        <v>2.1240157480314958E-5</v>
      </c>
      <c r="H77" s="38">
        <f t="shared" si="1"/>
        <v>3.3543307086614181E-5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D77" s="1"/>
    </row>
    <row r="78" spans="1:30" x14ac:dyDescent="0.2">
      <c r="A78" s="8">
        <v>1440</v>
      </c>
      <c r="B78" s="38">
        <v>2.5378999999999999E-6</v>
      </c>
      <c r="C78" s="38">
        <v>5.3800000000000008E-7</v>
      </c>
      <c r="D78" s="38">
        <v>8.1999999999999998E-7</v>
      </c>
      <c r="E78" s="3"/>
      <c r="F78" s="38">
        <f t="shared" si="1"/>
        <v>9.991732283464568E-5</v>
      </c>
      <c r="G78" s="38">
        <f t="shared" si="1"/>
        <v>2.1181102362204727E-5</v>
      </c>
      <c r="H78" s="38">
        <f t="shared" si="1"/>
        <v>3.2283464566929138E-5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D78" s="1"/>
    </row>
    <row r="79" spans="1:30" x14ac:dyDescent="0.2">
      <c r="A79" s="8">
        <v>1460</v>
      </c>
      <c r="B79" s="38">
        <v>2.5259000000000002E-6</v>
      </c>
      <c r="C79" s="38">
        <v>5.3750000000000004E-7</v>
      </c>
      <c r="D79" s="38">
        <v>7.8299999999999996E-7</v>
      </c>
      <c r="E79" s="3"/>
      <c r="F79" s="38">
        <f t="shared" si="1"/>
        <v>9.944488188976379E-5</v>
      </c>
      <c r="G79" s="38">
        <f t="shared" si="1"/>
        <v>2.1161417322834648E-5</v>
      </c>
      <c r="H79" s="38">
        <f t="shared" si="1"/>
        <v>3.0826771653543309E-5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D79" s="1"/>
    </row>
    <row r="80" spans="1:30" x14ac:dyDescent="0.2">
      <c r="A80" s="8">
        <v>1480</v>
      </c>
      <c r="B80" s="38">
        <v>2.5139000000000002E-6</v>
      </c>
      <c r="C80" s="38">
        <v>5.3580000000000002E-7</v>
      </c>
      <c r="D80" s="38">
        <v>7.4899999999999994E-7</v>
      </c>
      <c r="E80" s="3"/>
      <c r="F80" s="38">
        <f t="shared" si="1"/>
        <v>9.8972440944881913E-5</v>
      </c>
      <c r="G80" s="38">
        <f t="shared" si="1"/>
        <v>2.1094488188976381E-5</v>
      </c>
      <c r="H80" s="38">
        <f t="shared" si="1"/>
        <v>2.9488188976377955E-5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D80" s="1"/>
    </row>
    <row r="81" spans="1:30" x14ac:dyDescent="0.2">
      <c r="A81" s="8">
        <v>1500</v>
      </c>
      <c r="B81" s="38">
        <v>2.5021999999999999E-6</v>
      </c>
      <c r="C81" s="38">
        <v>5.3480000000000005E-7</v>
      </c>
      <c r="D81" s="38">
        <v>7.1900000000000002E-7</v>
      </c>
      <c r="E81" s="3"/>
      <c r="F81" s="38">
        <f t="shared" si="1"/>
        <v>9.8511811023622059E-5</v>
      </c>
      <c r="G81" s="38">
        <f t="shared" si="1"/>
        <v>2.1055118110236226E-5</v>
      </c>
      <c r="H81" s="38">
        <f t="shared" si="1"/>
        <v>2.830708661417323E-5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</row>
    <row r="82" spans="1:30" x14ac:dyDescent="0.2">
      <c r="A82" s="8">
        <v>1520</v>
      </c>
      <c r="B82" s="38">
        <v>2.4905999999999999E-6</v>
      </c>
      <c r="C82" s="38">
        <v>5.3369999999999997E-7</v>
      </c>
      <c r="D82" s="38">
        <v>6.9299999999999997E-7</v>
      </c>
      <c r="E82" s="3"/>
      <c r="F82" s="38">
        <f t="shared" si="1"/>
        <v>9.8055118110236227E-5</v>
      </c>
      <c r="G82" s="38">
        <f t="shared" si="1"/>
        <v>2.1011811023622049E-5</v>
      </c>
      <c r="H82" s="38">
        <f t="shared" si="1"/>
        <v>2.7283464566929132E-5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D82" s="1"/>
    </row>
    <row r="83" spans="1:30" x14ac:dyDescent="0.2">
      <c r="A83" s="8">
        <v>1540</v>
      </c>
      <c r="B83" s="38">
        <v>2.4793000000000001E-6</v>
      </c>
      <c r="C83" s="38">
        <v>5.3249999999999998E-7</v>
      </c>
      <c r="D83" s="38">
        <v>6.7100000000000001E-7</v>
      </c>
      <c r="E83" s="3"/>
      <c r="F83" s="38">
        <f t="shared" si="1"/>
        <v>9.7610236220472459E-5</v>
      </c>
      <c r="G83" s="38">
        <f t="shared" si="1"/>
        <v>2.0964566929133858E-5</v>
      </c>
      <c r="H83" s="38">
        <f t="shared" si="1"/>
        <v>2.6417322834645672E-5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D83" s="1"/>
    </row>
    <row r="84" spans="1:30" x14ac:dyDescent="0.2">
      <c r="A84" s="8">
        <v>1560</v>
      </c>
      <c r="B84" s="38">
        <v>2.4681999999999999E-6</v>
      </c>
      <c r="C84" s="38">
        <v>5.3109999999999998E-7</v>
      </c>
      <c r="D84" s="38">
        <v>6.5299999999999993E-7</v>
      </c>
      <c r="E84" s="3"/>
      <c r="F84" s="38">
        <f t="shared" si="1"/>
        <v>9.7173228346456692E-5</v>
      </c>
      <c r="G84" s="38">
        <f t="shared" si="1"/>
        <v>2.0909448818897638E-5</v>
      </c>
      <c r="H84" s="38">
        <f t="shared" si="1"/>
        <v>2.5708661417322833E-5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D84" s="1"/>
    </row>
    <row r="85" spans="1:30" x14ac:dyDescent="0.2">
      <c r="A85" s="8">
        <v>1580</v>
      </c>
      <c r="B85" s="38">
        <v>2.4673000000000001E-6</v>
      </c>
      <c r="C85" s="38">
        <v>5.2959999999999998E-7</v>
      </c>
      <c r="D85" s="38">
        <v>6.3899999999999994E-7</v>
      </c>
      <c r="E85" s="3"/>
      <c r="F85" s="38">
        <f t="shared" si="1"/>
        <v>9.7137795275590555E-5</v>
      </c>
      <c r="G85" s="38">
        <f t="shared" si="1"/>
        <v>2.08503937007874E-5</v>
      </c>
      <c r="H85" s="38">
        <f t="shared" si="1"/>
        <v>2.5157480314960629E-5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D85" s="1"/>
    </row>
    <row r="86" spans="1:30" x14ac:dyDescent="0.2">
      <c r="A86" s="8">
        <v>1600</v>
      </c>
      <c r="B86" s="38">
        <v>2.4563999999999999E-6</v>
      </c>
      <c r="C86" s="38">
        <v>5.2900000000000004E-7</v>
      </c>
      <c r="D86" s="38">
        <v>6.2799999999999996E-7</v>
      </c>
      <c r="E86" s="3"/>
      <c r="F86" s="38">
        <f t="shared" si="1"/>
        <v>9.6708661417322845E-5</v>
      </c>
      <c r="G86" s="38">
        <f t="shared" si="1"/>
        <v>2.082677165354331E-5</v>
      </c>
      <c r="H86" s="38">
        <f t="shared" si="1"/>
        <v>2.4724409448818897E-5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D86" s="1"/>
    </row>
    <row r="87" spans="1:30" x14ac:dyDescent="0.2">
      <c r="A87" s="8">
        <v>1620</v>
      </c>
      <c r="B87" s="38">
        <v>2.4455999999999999E-6</v>
      </c>
      <c r="C87" s="38">
        <v>5.2739999999999992E-7</v>
      </c>
      <c r="D87" s="38">
        <v>6.1900000000000002E-7</v>
      </c>
      <c r="E87" s="3"/>
      <c r="F87" s="38">
        <f t="shared" si="1"/>
        <v>9.6283464566929142E-5</v>
      </c>
      <c r="G87" s="38">
        <f t="shared" si="1"/>
        <v>2.0763779527559054E-5</v>
      </c>
      <c r="H87" s="38">
        <f t="shared" si="1"/>
        <v>2.437007874015748E-5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D87" s="1"/>
    </row>
    <row r="88" spans="1:30" x14ac:dyDescent="0.2">
      <c r="A88" s="8">
        <v>1640</v>
      </c>
      <c r="B88" s="38">
        <v>2.4349000000000002E-6</v>
      </c>
      <c r="C88" s="38">
        <v>5.257E-7</v>
      </c>
      <c r="D88" s="38">
        <v>6.13E-7</v>
      </c>
      <c r="E88" s="3"/>
      <c r="F88" s="38">
        <f t="shared" si="1"/>
        <v>9.5862204724409461E-5</v>
      </c>
      <c r="G88" s="38">
        <f t="shared" si="1"/>
        <v>2.069685039370079E-5</v>
      </c>
      <c r="H88" s="38">
        <f t="shared" si="1"/>
        <v>2.4133858267716538E-5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D88" s="1"/>
    </row>
    <row r="89" spans="1:30" x14ac:dyDescent="0.2">
      <c r="A89" s="8">
        <v>1660</v>
      </c>
      <c r="B89" s="38">
        <v>2.4341000000000001E-6</v>
      </c>
      <c r="C89" s="38">
        <v>5.2489999999999994E-7</v>
      </c>
      <c r="D89" s="38">
        <v>6.0900000000000001E-7</v>
      </c>
      <c r="E89" s="3"/>
      <c r="F89" s="38">
        <f t="shared" si="1"/>
        <v>9.5830708661417331E-5</v>
      </c>
      <c r="G89" s="38">
        <f t="shared" si="1"/>
        <v>2.066535433070866E-5</v>
      </c>
      <c r="H89" s="38">
        <f t="shared" si="1"/>
        <v>2.397637795275591E-5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D89" s="1"/>
    </row>
    <row r="90" spans="1:30" x14ac:dyDescent="0.2">
      <c r="A90" s="8">
        <v>1680</v>
      </c>
      <c r="B90" s="38">
        <v>2.4231999999999999E-6</v>
      </c>
      <c r="C90" s="38">
        <v>5.2300000000000001E-7</v>
      </c>
      <c r="D90" s="38">
        <v>6.0499999999999992E-7</v>
      </c>
      <c r="E90" s="3"/>
      <c r="F90" s="38">
        <f t="shared" si="1"/>
        <v>9.5401574803149607E-5</v>
      </c>
      <c r="G90" s="38">
        <f t="shared" si="1"/>
        <v>2.0590551181102364E-5</v>
      </c>
      <c r="H90" s="38">
        <f t="shared" si="1"/>
        <v>2.3818897637795276E-5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D90" s="1"/>
    </row>
    <row r="91" spans="1:30" x14ac:dyDescent="0.2">
      <c r="A91" s="8">
        <v>1700</v>
      </c>
      <c r="B91" s="38">
        <v>2.4124E-6</v>
      </c>
      <c r="C91" s="38">
        <v>5.2200000000000004E-7</v>
      </c>
      <c r="D91" s="38">
        <v>6.0299999999999999E-7</v>
      </c>
      <c r="E91" s="3"/>
      <c r="F91" s="38">
        <f t="shared" si="1"/>
        <v>9.4976377952755905E-5</v>
      </c>
      <c r="G91" s="38">
        <f t="shared" si="1"/>
        <v>2.0551181102362206E-5</v>
      </c>
      <c r="H91" s="38">
        <f t="shared" si="1"/>
        <v>2.3740157480314962E-5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D91" s="1"/>
    </row>
    <row r="92" spans="1:30" x14ac:dyDescent="0.2">
      <c r="A92" s="8">
        <v>1720</v>
      </c>
      <c r="B92" s="38">
        <v>2.4016E-6</v>
      </c>
      <c r="C92" s="38">
        <v>5.2010000000000001E-7</v>
      </c>
      <c r="D92" s="38">
        <v>6.0199999999999991E-7</v>
      </c>
      <c r="E92" s="3"/>
      <c r="F92" s="38">
        <f t="shared" si="1"/>
        <v>9.4551181102362202E-5</v>
      </c>
      <c r="G92" s="38">
        <f t="shared" si="1"/>
        <v>2.0476377952755906E-5</v>
      </c>
      <c r="H92" s="38">
        <f t="shared" si="1"/>
        <v>2.37007874015748E-5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D92" s="1"/>
    </row>
    <row r="93" spans="1:30" x14ac:dyDescent="0.2">
      <c r="A93" s="8">
        <v>1740</v>
      </c>
      <c r="B93" s="38">
        <v>2.4008E-6</v>
      </c>
      <c r="C93" s="38">
        <v>5.1809999999999996E-7</v>
      </c>
      <c r="D93" s="38">
        <v>6.0199999999999991E-7</v>
      </c>
      <c r="E93" s="3"/>
      <c r="F93" s="38">
        <f t="shared" si="1"/>
        <v>9.4519685039370072E-5</v>
      </c>
      <c r="G93" s="38">
        <f t="shared" si="1"/>
        <v>2.0397637795275589E-5</v>
      </c>
      <c r="H93" s="38">
        <f t="shared" si="1"/>
        <v>2.37007874015748E-5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D93" s="1"/>
    </row>
    <row r="94" spans="1:30" x14ac:dyDescent="0.2">
      <c r="A94" s="8">
        <v>1760</v>
      </c>
      <c r="B94" s="38">
        <v>2.39E-6</v>
      </c>
      <c r="C94" s="38">
        <v>5.1699999999999998E-7</v>
      </c>
      <c r="D94" s="38">
        <v>6.0100000000000005E-7</v>
      </c>
      <c r="E94" s="3"/>
      <c r="F94" s="38">
        <f t="shared" si="1"/>
        <v>9.4094488188976397E-5</v>
      </c>
      <c r="G94" s="38">
        <f t="shared" si="1"/>
        <v>2.0354330708661419E-5</v>
      </c>
      <c r="H94" s="38">
        <f t="shared" si="1"/>
        <v>2.3661417322834651E-5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D94" s="1"/>
    </row>
    <row r="95" spans="1:30" x14ac:dyDescent="0.2">
      <c r="A95" s="8">
        <v>1780</v>
      </c>
      <c r="B95" s="38">
        <v>2.3793000000000002E-6</v>
      </c>
      <c r="C95" s="38">
        <v>5.1500000000000005E-7</v>
      </c>
      <c r="D95" s="38">
        <v>6.0299999999999999E-7</v>
      </c>
      <c r="E95" s="3"/>
      <c r="F95" s="38">
        <f t="shared" si="1"/>
        <v>9.3673228346456716E-5</v>
      </c>
      <c r="G95" s="38">
        <f t="shared" si="1"/>
        <v>2.0275590551181105E-5</v>
      </c>
      <c r="H95" s="38">
        <f t="shared" si="1"/>
        <v>2.3740157480314962E-5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D95" s="1"/>
    </row>
    <row r="96" spans="1:30" x14ac:dyDescent="0.2">
      <c r="A96" s="8">
        <v>1800</v>
      </c>
      <c r="B96" s="38">
        <v>2.3787000000000002E-6</v>
      </c>
      <c r="C96" s="38">
        <v>5.1389999999999996E-7</v>
      </c>
      <c r="D96" s="38">
        <v>6.0399999999999996E-7</v>
      </c>
      <c r="E96" s="3"/>
      <c r="F96" s="38">
        <f t="shared" si="1"/>
        <v>9.3649606299212601E-5</v>
      </c>
      <c r="G96" s="38">
        <f t="shared" si="1"/>
        <v>2.0232283464566929E-5</v>
      </c>
      <c r="H96" s="38">
        <f t="shared" si="1"/>
        <v>2.3779527559055117E-5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D96" s="1"/>
    </row>
    <row r="97" spans="1:30" x14ac:dyDescent="0.2">
      <c r="A97" s="8">
        <v>1820</v>
      </c>
      <c r="B97" s="38">
        <v>2.3681000000000002E-6</v>
      </c>
      <c r="C97" s="38">
        <v>5.1190000000000002E-7</v>
      </c>
      <c r="D97" s="38">
        <v>6.0500000000000003E-7</v>
      </c>
      <c r="E97" s="3"/>
      <c r="F97" s="38">
        <f t="shared" si="1"/>
        <v>9.3232283464566941E-5</v>
      </c>
      <c r="G97" s="38">
        <f t="shared" si="1"/>
        <v>2.0153543307086615E-5</v>
      </c>
      <c r="H97" s="38">
        <f t="shared" si="1"/>
        <v>2.3818897637795279E-5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D97" s="1"/>
    </row>
    <row r="98" spans="1:30" x14ac:dyDescent="0.2">
      <c r="A98" s="8">
        <v>1840</v>
      </c>
      <c r="B98" s="38">
        <v>2.3677000000000002E-6</v>
      </c>
      <c r="C98" s="38">
        <v>5.1079999999999994E-7</v>
      </c>
      <c r="D98" s="38">
        <v>6.0699999999999997E-7</v>
      </c>
      <c r="E98" s="3"/>
      <c r="F98" s="38">
        <f t="shared" si="1"/>
        <v>9.3216535433070883E-5</v>
      </c>
      <c r="G98" s="38">
        <f t="shared" si="1"/>
        <v>2.0110236220472438E-5</v>
      </c>
      <c r="H98" s="38">
        <f t="shared" si="1"/>
        <v>2.3897637795275593E-5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D98" s="1"/>
    </row>
    <row r="99" spans="1:30" x14ac:dyDescent="0.2">
      <c r="A99" s="8">
        <v>1860</v>
      </c>
      <c r="B99" s="38">
        <v>2.3572999999999999E-6</v>
      </c>
      <c r="C99" s="38">
        <v>5.0979999999999997E-7</v>
      </c>
      <c r="D99" s="38">
        <v>6.0999999999999998E-7</v>
      </c>
      <c r="E99" s="3"/>
      <c r="F99" s="38">
        <f t="shared" si="1"/>
        <v>9.2807086614173225E-5</v>
      </c>
      <c r="G99" s="38">
        <f t="shared" si="1"/>
        <v>2.0070866141732283E-5</v>
      </c>
      <c r="H99" s="38">
        <f t="shared" si="1"/>
        <v>2.4015748031496062E-5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D99" s="1"/>
    </row>
    <row r="100" spans="1:30" x14ac:dyDescent="0.2">
      <c r="A100" s="8">
        <v>1880</v>
      </c>
      <c r="B100" s="38">
        <v>2.3568999999999998E-6</v>
      </c>
      <c r="C100" s="38">
        <v>5.087E-7</v>
      </c>
      <c r="D100" s="38">
        <v>6.13E-7</v>
      </c>
      <c r="E100" s="3"/>
      <c r="F100" s="38">
        <f t="shared" si="1"/>
        <v>9.2791338582677167E-5</v>
      </c>
      <c r="G100" s="38">
        <f t="shared" si="1"/>
        <v>2.002755905511811E-5</v>
      </c>
      <c r="H100" s="38">
        <f t="shared" si="1"/>
        <v>2.4133858267716538E-5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D100" s="1"/>
    </row>
    <row r="101" spans="1:30" x14ac:dyDescent="0.2">
      <c r="A101" s="8">
        <v>1900</v>
      </c>
      <c r="B101" s="38">
        <v>2.3465999999999997E-6</v>
      </c>
      <c r="C101" s="38">
        <v>5.0770000000000003E-7</v>
      </c>
      <c r="D101" s="38">
        <v>6.1500000000000004E-7</v>
      </c>
      <c r="E101" s="3"/>
      <c r="F101" s="38">
        <f t="shared" si="1"/>
        <v>9.2385826771653544E-5</v>
      </c>
      <c r="G101" s="38">
        <f t="shared" si="1"/>
        <v>1.9988188976377955E-5</v>
      </c>
      <c r="H101" s="38">
        <f t="shared" si="1"/>
        <v>2.4212598425196855E-5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D101" s="1"/>
    </row>
    <row r="102" spans="1:30" x14ac:dyDescent="0.2">
      <c r="A102" s="8">
        <v>1920</v>
      </c>
      <c r="B102" s="38">
        <v>2.3464000000000001E-6</v>
      </c>
      <c r="C102" s="38">
        <v>5.0669999999999995E-7</v>
      </c>
      <c r="D102" s="38">
        <v>6.1900000000000002E-7</v>
      </c>
      <c r="E102" s="3"/>
      <c r="F102" s="38">
        <f t="shared" si="1"/>
        <v>9.2377952755905529E-5</v>
      </c>
      <c r="G102" s="38">
        <f t="shared" si="1"/>
        <v>1.9948818897637793E-5</v>
      </c>
      <c r="H102" s="38">
        <f t="shared" si="1"/>
        <v>2.437007874015748E-5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D102" s="1"/>
    </row>
    <row r="103" spans="1:30" x14ac:dyDescent="0.2">
      <c r="A103" s="8">
        <v>1940</v>
      </c>
      <c r="B103" s="38">
        <v>2.3362000000000002E-6</v>
      </c>
      <c r="C103" s="38">
        <v>5.0559999999999997E-7</v>
      </c>
      <c r="D103" s="38">
        <v>6.2200000000000004E-7</v>
      </c>
      <c r="E103" s="3"/>
      <c r="F103" s="38">
        <f t="shared" si="1"/>
        <v>9.1976377952755913E-5</v>
      </c>
      <c r="G103" s="38">
        <f t="shared" si="1"/>
        <v>1.990551181102362E-5</v>
      </c>
      <c r="H103" s="38">
        <f t="shared" si="1"/>
        <v>2.4488188976377956E-5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D103" s="1"/>
    </row>
    <row r="104" spans="1:30" x14ac:dyDescent="0.2">
      <c r="A104" s="8">
        <v>1960</v>
      </c>
      <c r="B104" s="38">
        <v>2.3358999999999999E-6</v>
      </c>
      <c r="C104" s="38">
        <v>5.0460000000000001E-7</v>
      </c>
      <c r="D104" s="38">
        <v>6.2499999999999995E-7</v>
      </c>
      <c r="E104" s="3"/>
      <c r="F104" s="38">
        <f t="shared" si="1"/>
        <v>9.1964566929133863E-5</v>
      </c>
      <c r="G104" s="38">
        <f t="shared" si="1"/>
        <v>1.9866141732283468E-5</v>
      </c>
      <c r="H104" s="38">
        <f t="shared" si="1"/>
        <v>2.4606299212598421E-5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D104" s="1"/>
    </row>
    <row r="105" spans="1:30" x14ac:dyDescent="0.2">
      <c r="A105" s="8">
        <v>1980</v>
      </c>
      <c r="B105" s="38">
        <v>2.3356999999999999E-6</v>
      </c>
      <c r="C105" s="38">
        <v>5.0460000000000001E-7</v>
      </c>
      <c r="D105" s="38">
        <v>6.2900000000000003E-7</v>
      </c>
      <c r="E105" s="3"/>
      <c r="F105" s="38">
        <f t="shared" si="1"/>
        <v>9.1956692913385834E-5</v>
      </c>
      <c r="G105" s="38">
        <f t="shared" si="1"/>
        <v>1.9866141732283468E-5</v>
      </c>
      <c r="H105" s="38">
        <f t="shared" si="1"/>
        <v>2.4763779527559056E-5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D105" s="1"/>
    </row>
    <row r="106" spans="1:30" x14ac:dyDescent="0.2">
      <c r="A106" s="8">
        <v>2000</v>
      </c>
      <c r="B106" s="38">
        <v>2.3254000000000002E-6</v>
      </c>
      <c r="C106" s="38">
        <v>5.0360000000000004E-7</v>
      </c>
      <c r="D106" s="38">
        <v>6.3200000000000005E-7</v>
      </c>
      <c r="E106" s="3"/>
      <c r="F106" s="38">
        <f t="shared" si="1"/>
        <v>9.155118110236221E-5</v>
      </c>
      <c r="G106" s="38">
        <f t="shared" si="1"/>
        <v>1.9826771653543309E-5</v>
      </c>
      <c r="H106" s="38">
        <f t="shared" si="1"/>
        <v>2.4881889763779532E-5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D106" s="1"/>
    </row>
    <row r="107" spans="1:30" x14ac:dyDescent="0.2">
      <c r="A107" s="8">
        <v>2020</v>
      </c>
      <c r="B107" s="38">
        <v>2.3252000000000002E-6</v>
      </c>
      <c r="C107" s="38">
        <v>5.0249999999999995E-7</v>
      </c>
      <c r="D107" s="38">
        <v>6.3500000000000006E-7</v>
      </c>
      <c r="E107" s="3"/>
      <c r="F107" s="38">
        <f t="shared" si="1"/>
        <v>9.1543307086614195E-5</v>
      </c>
      <c r="G107" s="38">
        <f t="shared" si="1"/>
        <v>1.9783464566929132E-5</v>
      </c>
      <c r="H107" s="38">
        <f t="shared" si="1"/>
        <v>2.5000000000000005E-5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D107" s="1"/>
    </row>
    <row r="108" spans="1:30" x14ac:dyDescent="0.2">
      <c r="A108" s="8">
        <v>2040</v>
      </c>
      <c r="B108" s="38">
        <v>2.3249E-6</v>
      </c>
      <c r="C108" s="38">
        <v>5.0249999999999995E-7</v>
      </c>
      <c r="D108" s="38">
        <v>6.3899999999999994E-7</v>
      </c>
      <c r="E108" s="3"/>
      <c r="F108" s="38">
        <f t="shared" si="1"/>
        <v>9.1531496062992131E-5</v>
      </c>
      <c r="G108" s="38">
        <f t="shared" si="1"/>
        <v>1.9783464566929132E-5</v>
      </c>
      <c r="H108" s="38">
        <f t="shared" si="1"/>
        <v>2.5157480314960629E-5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D108" s="1"/>
    </row>
    <row r="109" spans="1:30" x14ac:dyDescent="0.2">
      <c r="A109" s="8">
        <v>2060</v>
      </c>
      <c r="B109" s="38">
        <v>2.3146000000000003E-6</v>
      </c>
      <c r="C109" s="38">
        <v>5.0139999999999998E-7</v>
      </c>
      <c r="D109" s="38">
        <v>6.4300000000000003E-7</v>
      </c>
      <c r="E109" s="3"/>
      <c r="F109" s="38">
        <f t="shared" si="1"/>
        <v>9.1125984251968521E-5</v>
      </c>
      <c r="G109" s="38">
        <f t="shared" si="1"/>
        <v>1.9740157480314959E-5</v>
      </c>
      <c r="H109" s="38">
        <f t="shared" si="1"/>
        <v>2.531496062992126E-5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D109" s="1"/>
    </row>
    <row r="110" spans="1:30" x14ac:dyDescent="0.2">
      <c r="A110" s="8">
        <v>2080</v>
      </c>
      <c r="B110" s="38">
        <v>2.3143E-6</v>
      </c>
      <c r="C110" s="38">
        <v>5.0139999999999998E-7</v>
      </c>
      <c r="D110" s="38">
        <v>6.4600000000000004E-7</v>
      </c>
      <c r="E110" s="3"/>
      <c r="F110" s="38">
        <f t="shared" si="1"/>
        <v>9.1114173228346458E-5</v>
      </c>
      <c r="G110" s="38">
        <f t="shared" si="1"/>
        <v>1.9740157480314959E-5</v>
      </c>
      <c r="H110" s="38">
        <f t="shared" si="1"/>
        <v>2.5433070866141736E-5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D110" s="1"/>
    </row>
    <row r="111" spans="1:30" x14ac:dyDescent="0.2">
      <c r="A111" s="8">
        <v>2100</v>
      </c>
      <c r="B111" s="38">
        <v>2.3140000000000002E-6</v>
      </c>
      <c r="C111" s="38">
        <v>5.0139999999999998E-7</v>
      </c>
      <c r="D111" s="38">
        <v>6.5000000000000002E-7</v>
      </c>
      <c r="E111" s="3"/>
      <c r="F111" s="38">
        <f t="shared" si="1"/>
        <v>9.1102362204724421E-5</v>
      </c>
      <c r="G111" s="38">
        <f t="shared" si="1"/>
        <v>1.9740157480314959E-5</v>
      </c>
      <c r="H111" s="38">
        <f t="shared" si="1"/>
        <v>2.5590551181102364E-5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D111" s="1"/>
    </row>
    <row r="112" spans="1:30" x14ac:dyDescent="0.2">
      <c r="A112" s="8">
        <v>2120</v>
      </c>
      <c r="B112" s="38">
        <v>2.3137000000000004E-6</v>
      </c>
      <c r="C112" s="38">
        <v>5.003E-7</v>
      </c>
      <c r="D112" s="38">
        <v>6.5300000000000004E-7</v>
      </c>
      <c r="E112" s="3"/>
      <c r="F112" s="38">
        <f t="shared" si="1"/>
        <v>9.1090551181102384E-5</v>
      </c>
      <c r="G112" s="38">
        <f t="shared" si="1"/>
        <v>1.9696850393700786E-5</v>
      </c>
      <c r="H112" s="38">
        <f t="shared" si="1"/>
        <v>2.5708661417322837E-5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D112" s="1"/>
    </row>
    <row r="113" spans="1:30" x14ac:dyDescent="0.2">
      <c r="A113" s="8">
        <v>2140</v>
      </c>
      <c r="B113" s="38">
        <v>2.3133000000000004E-6</v>
      </c>
      <c r="C113" s="38">
        <v>5.0019999999999999E-7</v>
      </c>
      <c r="D113" s="38">
        <v>6.5700000000000002E-7</v>
      </c>
      <c r="E113" s="3"/>
      <c r="F113" s="38">
        <f t="shared" si="1"/>
        <v>9.1074803149606312E-5</v>
      </c>
      <c r="G113" s="38">
        <f t="shared" si="1"/>
        <v>1.9692913385826775E-5</v>
      </c>
      <c r="H113" s="38">
        <f t="shared" si="1"/>
        <v>2.5866141732283468E-5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D113" s="1"/>
    </row>
    <row r="114" spans="1:30" x14ac:dyDescent="0.2">
      <c r="A114" s="8">
        <v>2160</v>
      </c>
      <c r="B114" s="38">
        <v>2.3130000000000001E-6</v>
      </c>
      <c r="C114" s="38">
        <v>5.0019999999999999E-7</v>
      </c>
      <c r="D114" s="38">
        <v>6.5899999999999996E-7</v>
      </c>
      <c r="E114" s="3"/>
      <c r="F114" s="38">
        <f t="shared" si="1"/>
        <v>9.1062992125984249E-5</v>
      </c>
      <c r="G114" s="38">
        <f t="shared" si="1"/>
        <v>1.9692913385826775E-5</v>
      </c>
      <c r="H114" s="38">
        <f t="shared" si="1"/>
        <v>2.5944881889763778E-5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D114" s="1"/>
    </row>
    <row r="115" spans="1:30" x14ac:dyDescent="0.2">
      <c r="A115" s="8">
        <v>2180</v>
      </c>
      <c r="B115" s="38">
        <v>2.3027E-6</v>
      </c>
      <c r="C115" s="38">
        <v>4.9910000000000002E-7</v>
      </c>
      <c r="D115" s="38">
        <v>6.6300000000000005E-7</v>
      </c>
      <c r="E115" s="3"/>
      <c r="F115" s="38">
        <f t="shared" si="1"/>
        <v>9.0657480314960639E-5</v>
      </c>
      <c r="G115" s="38">
        <f t="shared" si="1"/>
        <v>1.9649606299212602E-5</v>
      </c>
      <c r="H115" s="38">
        <f t="shared" si="1"/>
        <v>2.6102362204724413E-5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D115" s="1"/>
    </row>
    <row r="116" spans="1:30" x14ac:dyDescent="0.2">
      <c r="A116" s="8">
        <v>2200</v>
      </c>
      <c r="B116" s="38">
        <v>2.3023999999999998E-6</v>
      </c>
      <c r="C116" s="38">
        <v>4.9900000000000001E-7</v>
      </c>
      <c r="D116" s="38">
        <v>6.6700000000000003E-7</v>
      </c>
      <c r="E116" s="3"/>
      <c r="F116" s="38">
        <f t="shared" si="1"/>
        <v>9.0645669291338575E-5</v>
      </c>
      <c r="G116" s="38">
        <f t="shared" si="1"/>
        <v>1.9645669291338584E-5</v>
      </c>
      <c r="H116" s="38">
        <f t="shared" si="1"/>
        <v>2.6259842519685044E-5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D116" s="1"/>
    </row>
    <row r="117" spans="1:30" x14ac:dyDescent="0.2">
      <c r="A117" s="8">
        <v>2220</v>
      </c>
      <c r="B117" s="38">
        <v>2.3019999999999997E-6</v>
      </c>
      <c r="C117" s="38">
        <v>4.9800000000000004E-7</v>
      </c>
      <c r="D117" s="38">
        <v>6.7100000000000001E-7</v>
      </c>
      <c r="E117" s="3"/>
      <c r="F117" s="38">
        <f t="shared" si="1"/>
        <v>9.0629921259842517E-5</v>
      </c>
      <c r="G117" s="38">
        <f t="shared" si="1"/>
        <v>1.9606299212598429E-5</v>
      </c>
      <c r="H117" s="38">
        <f t="shared" si="1"/>
        <v>2.6417322834645672E-5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D117" s="1"/>
    </row>
    <row r="118" spans="1:30" x14ac:dyDescent="0.2">
      <c r="A118" s="8">
        <v>2240</v>
      </c>
      <c r="B118" s="38">
        <v>2.3016999999999999E-6</v>
      </c>
      <c r="C118" s="38">
        <v>4.9790000000000003E-7</v>
      </c>
      <c r="D118" s="38">
        <v>6.75E-7</v>
      </c>
      <c r="E118" s="3"/>
      <c r="F118" s="38">
        <f t="shared" si="1"/>
        <v>9.0618110236220467E-5</v>
      </c>
      <c r="G118" s="38">
        <f t="shared" si="1"/>
        <v>1.9602362204724411E-5</v>
      </c>
      <c r="H118" s="38">
        <f t="shared" si="1"/>
        <v>2.6574803149606303E-5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D118" s="1"/>
    </row>
    <row r="119" spans="1:30" x14ac:dyDescent="0.2">
      <c r="A119" s="8">
        <v>2260</v>
      </c>
      <c r="B119" s="38">
        <v>2.3013999999999997E-6</v>
      </c>
      <c r="C119" s="38">
        <v>4.9679999999999995E-7</v>
      </c>
      <c r="D119" s="38">
        <v>6.7899999999999998E-7</v>
      </c>
      <c r="E119" s="3"/>
      <c r="F119" s="38">
        <f t="shared" si="1"/>
        <v>9.060629921259843E-5</v>
      </c>
      <c r="G119" s="38">
        <f t="shared" si="1"/>
        <v>1.9559055118110234E-5</v>
      </c>
      <c r="H119" s="38">
        <f t="shared" si="1"/>
        <v>2.6732283464566931E-5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D119" s="1"/>
    </row>
    <row r="120" spans="1:30" x14ac:dyDescent="0.2">
      <c r="A120" s="8">
        <v>2280</v>
      </c>
      <c r="B120" s="38">
        <v>2.3010999999999999E-6</v>
      </c>
      <c r="C120" s="38">
        <v>4.9669999999999994E-7</v>
      </c>
      <c r="D120" s="38">
        <v>6.8399999999999993E-7</v>
      </c>
      <c r="E120" s="3"/>
      <c r="F120" s="38">
        <f t="shared" si="1"/>
        <v>9.059448818897638E-5</v>
      </c>
      <c r="G120" s="38">
        <f t="shared" si="1"/>
        <v>1.955511811023622E-5</v>
      </c>
      <c r="H120" s="38">
        <f t="shared" si="1"/>
        <v>2.6929133858267714E-5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D120" s="1"/>
    </row>
    <row r="121" spans="1:30" x14ac:dyDescent="0.2">
      <c r="A121" s="8">
        <v>2300</v>
      </c>
      <c r="B121" s="38">
        <v>2.3008000000000001E-6</v>
      </c>
      <c r="C121" s="38">
        <v>4.9559999999999996E-7</v>
      </c>
      <c r="D121" s="38">
        <v>6.8999999999999996E-7</v>
      </c>
      <c r="E121" s="3"/>
      <c r="F121" s="38">
        <f t="shared" si="1"/>
        <v>9.0582677165354329E-5</v>
      </c>
      <c r="G121" s="38">
        <f t="shared" si="1"/>
        <v>1.951181102362205E-5</v>
      </c>
      <c r="H121" s="38">
        <f t="shared" si="1"/>
        <v>2.7165354330708663E-5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D121" s="1"/>
    </row>
    <row r="122" spans="1:30" x14ac:dyDescent="0.2">
      <c r="A122" s="8">
        <v>2320</v>
      </c>
      <c r="B122" s="38">
        <v>2.3004999999999998E-6</v>
      </c>
      <c r="C122" s="38">
        <v>4.9449999999999999E-7</v>
      </c>
      <c r="D122" s="38">
        <v>6.9599999999999999E-7</v>
      </c>
      <c r="E122" s="3"/>
      <c r="F122" s="38">
        <f t="shared" si="1"/>
        <v>9.0570866141732293E-5</v>
      </c>
      <c r="G122" s="38">
        <f t="shared" si="1"/>
        <v>1.9468503937007877E-5</v>
      </c>
      <c r="H122" s="38">
        <f t="shared" si="1"/>
        <v>2.7401574803149608E-5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D122" s="1"/>
    </row>
    <row r="123" spans="1:30" x14ac:dyDescent="0.2">
      <c r="A123" s="8">
        <v>2340</v>
      </c>
      <c r="B123" s="38">
        <v>2.3002E-6</v>
      </c>
      <c r="C123" s="38">
        <v>4.9340000000000001E-7</v>
      </c>
      <c r="D123" s="38">
        <v>7.0200000000000001E-7</v>
      </c>
      <c r="E123" s="3"/>
      <c r="F123" s="38">
        <f t="shared" si="1"/>
        <v>9.0559055118110242E-5</v>
      </c>
      <c r="G123" s="38">
        <f t="shared" si="1"/>
        <v>1.94251968503937E-5</v>
      </c>
      <c r="H123" s="38">
        <f t="shared" si="1"/>
        <v>2.7637795275590553E-5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D123" s="1"/>
    </row>
    <row r="124" spans="1:30" x14ac:dyDescent="0.2">
      <c r="A124" s="8">
        <v>2360</v>
      </c>
      <c r="B124" s="38">
        <v>2.2900000000000001E-6</v>
      </c>
      <c r="C124" s="38">
        <v>4.9240000000000004E-7</v>
      </c>
      <c r="D124" s="38">
        <v>7.0900000000000001E-7</v>
      </c>
      <c r="E124" s="3"/>
      <c r="F124" s="38">
        <f t="shared" si="1"/>
        <v>9.0157480314960627E-5</v>
      </c>
      <c r="G124" s="38">
        <f t="shared" si="1"/>
        <v>1.9385826771653545E-5</v>
      </c>
      <c r="H124" s="38">
        <f t="shared" si="1"/>
        <v>2.7913385826771653E-5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D124" s="1"/>
    </row>
    <row r="125" spans="1:30" x14ac:dyDescent="0.2">
      <c r="A125" s="8">
        <v>2380</v>
      </c>
      <c r="B125" s="38">
        <v>2.2896999999999999E-6</v>
      </c>
      <c r="C125" s="38">
        <v>4.9129999999999996E-7</v>
      </c>
      <c r="D125" s="38">
        <v>7.1600000000000001E-7</v>
      </c>
      <c r="E125" s="3"/>
      <c r="F125" s="38">
        <f t="shared" si="1"/>
        <v>9.014566929133859E-5</v>
      </c>
      <c r="G125" s="38">
        <f t="shared" si="1"/>
        <v>1.9342519685039368E-5</v>
      </c>
      <c r="H125" s="38">
        <f t="shared" si="1"/>
        <v>2.818897637795276E-5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D125" s="1"/>
    </row>
    <row r="126" spans="1:30" x14ac:dyDescent="0.2">
      <c r="A126" s="8">
        <v>2400</v>
      </c>
      <c r="B126" s="38">
        <v>2.2894999999999998E-6</v>
      </c>
      <c r="C126" s="38">
        <v>4.8920000000000001E-7</v>
      </c>
      <c r="D126" s="38">
        <v>7.2399999999999997E-7</v>
      </c>
      <c r="E126" s="3"/>
      <c r="F126" s="38">
        <f t="shared" si="1"/>
        <v>9.0137795275590547E-5</v>
      </c>
      <c r="G126" s="38">
        <f t="shared" si="1"/>
        <v>1.925984251968504E-5</v>
      </c>
      <c r="H126" s="38">
        <f t="shared" si="1"/>
        <v>2.8503937007874016E-5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D126" s="1"/>
    </row>
    <row r="127" spans="1:30" x14ac:dyDescent="0.2">
      <c r="A127" s="3"/>
      <c r="B127" s="3"/>
      <c r="C127" s="3"/>
      <c r="D127" s="3"/>
      <c r="E127" s="3"/>
      <c r="F127" s="3"/>
      <c r="G127" s="3"/>
      <c r="H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D127" s="1"/>
    </row>
    <row r="128" spans="1:30" x14ac:dyDescent="0.2">
      <c r="A128" s="8" t="s">
        <v>21</v>
      </c>
      <c r="B128" s="38">
        <f>MAX(B6:B126)</f>
        <v>2.6104E-6</v>
      </c>
      <c r="C128" s="38">
        <f>MAX(C6:C126)</f>
        <v>5.6479999999999998E-7</v>
      </c>
      <c r="D128" s="38">
        <f>MAX(D6:D126)</f>
        <v>8.8199999999999998E-7</v>
      </c>
      <c r="E128" s="4"/>
      <c r="F128" s="38">
        <f>MAX(F20:F126)</f>
        <v>1.027716535433071E-4</v>
      </c>
      <c r="G128" s="38">
        <f>MAX(G20:G126)</f>
        <v>2.2236220472440945E-5</v>
      </c>
      <c r="H128" s="38">
        <f>MAX(H20:H126)</f>
        <v>3.47244094488189E-5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D128" s="1"/>
    </row>
    <row r="129" spans="1:30" x14ac:dyDescent="0.2">
      <c r="A129" s="8" t="s">
        <v>22</v>
      </c>
      <c r="B129" s="38">
        <f>B128*limits!$E29</f>
        <v>4.8658159880056055E-4</v>
      </c>
      <c r="C129" s="38">
        <f>C128*limits!$E29</f>
        <v>1.0527937749101923E-4</v>
      </c>
      <c r="D129" s="38">
        <f>D128*limits!$E29</f>
        <v>1.6440582674766106E-4</v>
      </c>
      <c r="E129" s="4"/>
      <c r="F129" s="38">
        <f>F128*limits!$E29</f>
        <v>1.9156755858289787E-2</v>
      </c>
      <c r="G129" s="38">
        <f>G128*limits!$E29</f>
        <v>4.1448573815361898E-3</v>
      </c>
      <c r="H129" s="38">
        <f>H128*limits!$E29</f>
        <v>6.4726703443961052E-3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D129" s="1"/>
    </row>
    <row r="130" spans="1:30" x14ac:dyDescent="0.2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D130" s="1"/>
    </row>
    <row r="131" spans="1:30" x14ac:dyDescent="0.2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D131" s="1"/>
    </row>
    <row r="132" spans="1:30" x14ac:dyDescent="0.2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D132" s="1"/>
    </row>
    <row r="133" spans="1:30" x14ac:dyDescent="0.2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D133" s="1"/>
    </row>
    <row r="134" spans="1:30" x14ac:dyDescent="0.2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D134" s="1"/>
    </row>
    <row r="135" spans="1:30" x14ac:dyDescent="0.2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D135" s="1"/>
    </row>
    <row r="136" spans="1:30" x14ac:dyDescent="0.2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D136" s="1"/>
    </row>
    <row r="137" spans="1:30" x14ac:dyDescent="0.2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</row>
    <row r="138" spans="1:30" x14ac:dyDescent="0.2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1"/>
    </row>
    <row r="139" spans="1:30" x14ac:dyDescent="0.2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1"/>
    </row>
    <row r="140" spans="1:30" x14ac:dyDescent="0.2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1"/>
    </row>
  </sheetData>
  <mergeCells count="4">
    <mergeCell ref="F2:H2"/>
    <mergeCell ref="A4:A5"/>
    <mergeCell ref="B4:D4"/>
    <mergeCell ref="F4:H4"/>
  </mergeCells>
  <printOptions horizontalCentered="1"/>
  <pageMargins left="0.75" right="0.75" top="1.5" bottom="0.5" header="0.75" footer="0.75"/>
  <pageSetup orientation="portrait" r:id="rId1"/>
  <headerFooter alignWithMargins="0">
    <oddHeader>&amp;L&amp;8&amp;F&amp;R&amp;8&amp;D
By: SS
Chkd:___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98821-8632-4D6C-A1DC-D04593A415C9}">
  <dimension ref="A1:AD140"/>
  <sheetViews>
    <sheetView showGridLines="0" zoomScale="130" zoomScaleNormal="130" workbookViewId="0">
      <selection activeCell="B6" sqref="B6:D126"/>
    </sheetView>
  </sheetViews>
  <sheetFormatPr defaultRowHeight="12.75" x14ac:dyDescent="0.2"/>
  <cols>
    <col min="1" max="1" width="12" customWidth="1"/>
    <col min="2" max="4" width="10.42578125" bestFit="1" customWidth="1"/>
    <col min="5" max="5" width="5.5703125" customWidth="1"/>
    <col min="19" max="19" width="9.28515625" bestFit="1" customWidth="1"/>
    <col min="20" max="21" width="9.28515625" customWidth="1"/>
    <col min="22" max="22" width="12.140625" style="36" customWidth="1"/>
    <col min="23" max="25" width="9.5703125" style="36" bestFit="1" customWidth="1"/>
    <col min="26" max="26" width="9.140625" style="36"/>
    <col min="27" max="27" width="10.85546875" style="36" bestFit="1" customWidth="1"/>
    <col min="28" max="28" width="9.28515625" style="36" customWidth="1"/>
    <col min="29" max="29" width="10.85546875" style="36" bestFit="1" customWidth="1"/>
    <col min="31" max="31" width="9.28515625" bestFit="1" customWidth="1"/>
    <col min="32" max="32" width="13" bestFit="1" customWidth="1"/>
    <col min="33" max="33" width="9.28515625" bestFit="1" customWidth="1"/>
    <col min="35" max="38" width="9.28515625" bestFit="1" customWidth="1"/>
    <col min="39" max="40" width="10.5703125" bestFit="1" customWidth="1"/>
    <col min="41" max="41" width="9.28515625" bestFit="1" customWidth="1"/>
    <col min="42" max="43" width="10.5703125" bestFit="1" customWidth="1"/>
    <col min="49" max="50" width="10.5703125" bestFit="1" customWidth="1"/>
    <col min="51" max="51" width="9.28515625" bestFit="1" customWidth="1"/>
    <col min="52" max="53" width="10.5703125" bestFit="1" customWidth="1"/>
  </cols>
  <sheetData>
    <row r="1" spans="1:30" x14ac:dyDescent="0.2">
      <c r="A1" s="37" t="s">
        <v>32</v>
      </c>
      <c r="B1" s="3"/>
      <c r="C1" s="3"/>
      <c r="D1" s="3"/>
      <c r="E1" s="3"/>
      <c r="F1" s="3"/>
      <c r="G1" s="3"/>
      <c r="H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</row>
    <row r="2" spans="1:30" x14ac:dyDescent="0.2">
      <c r="A2" s="22" t="s">
        <v>40</v>
      </c>
      <c r="B2" s="1"/>
      <c r="C2" s="1"/>
      <c r="D2" s="1"/>
      <c r="E2" s="3"/>
      <c r="F2" s="40"/>
      <c r="G2" s="40"/>
      <c r="H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1"/>
    </row>
    <row r="3" spans="1:30" x14ac:dyDescent="0.2">
      <c r="A3" s="22" t="s">
        <v>39</v>
      </c>
      <c r="B3" s="36"/>
      <c r="C3" s="36"/>
      <c r="D3" s="36"/>
      <c r="E3" s="36"/>
      <c r="F3" s="36"/>
      <c r="G3" s="36"/>
      <c r="H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1"/>
    </row>
    <row r="4" spans="1:30" x14ac:dyDescent="0.2">
      <c r="A4" s="41" t="s">
        <v>35</v>
      </c>
      <c r="B4" s="43" t="s">
        <v>36</v>
      </c>
      <c r="C4" s="43"/>
      <c r="D4" s="43"/>
      <c r="E4" s="3"/>
      <c r="F4" s="43" t="s">
        <v>37</v>
      </c>
      <c r="G4" s="43"/>
      <c r="H4" s="4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1"/>
    </row>
    <row r="5" spans="1:30" x14ac:dyDescent="0.2">
      <c r="A5" s="42"/>
      <c r="B5" s="8" t="s">
        <v>0</v>
      </c>
      <c r="C5" s="8" t="s">
        <v>1</v>
      </c>
      <c r="D5" s="8" t="s">
        <v>2</v>
      </c>
      <c r="E5" s="3"/>
      <c r="F5" s="8" t="s">
        <v>0</v>
      </c>
      <c r="G5" s="8" t="s">
        <v>1</v>
      </c>
      <c r="H5" s="8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1"/>
    </row>
    <row r="6" spans="1:30" x14ac:dyDescent="0.2">
      <c r="A6" s="35">
        <v>0</v>
      </c>
      <c r="B6" s="38">
        <v>1.1619999999999999E-16</v>
      </c>
      <c r="C6" s="38">
        <v>1.6070000000000002E-17</v>
      </c>
      <c r="D6" s="38">
        <v>6.4040000000000001E-17</v>
      </c>
      <c r="E6" s="3"/>
      <c r="F6" s="38">
        <f>B6*1000/25.4</f>
        <v>4.5748031496062996E-15</v>
      </c>
      <c r="G6" s="38">
        <f>C6*1000/25.4</f>
        <v>6.3267716535433076E-16</v>
      </c>
      <c r="H6" s="38">
        <f>D6*1000/25.4</f>
        <v>2.5212598425196851E-15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1"/>
    </row>
    <row r="7" spans="1:30" x14ac:dyDescent="0.2">
      <c r="A7" s="35">
        <v>20</v>
      </c>
      <c r="B7" s="38">
        <v>8.1299999999999998E-10</v>
      </c>
      <c r="C7" s="38">
        <v>1.3649999999999999E-10</v>
      </c>
      <c r="D7" s="38">
        <v>3.3780000000000001E-10</v>
      </c>
      <c r="E7" s="3"/>
      <c r="F7" s="38">
        <f t="shared" ref="F7:H70" si="0">B7*1000/25.4</f>
        <v>3.2007874015748034E-8</v>
      </c>
      <c r="G7" s="38">
        <f t="shared" si="0"/>
        <v>5.3740157480314962E-9</v>
      </c>
      <c r="H7" s="38">
        <f t="shared" si="0"/>
        <v>1.3299212598425199E-8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3"/>
      <c r="AC7" s="3"/>
      <c r="AD7" s="1"/>
    </row>
    <row r="8" spans="1:30" x14ac:dyDescent="0.2">
      <c r="A8" s="35">
        <v>40</v>
      </c>
      <c r="B8" s="38">
        <v>3.3099999999999999E-9</v>
      </c>
      <c r="C8" s="38">
        <v>5.2900000000000003E-10</v>
      </c>
      <c r="D8" s="38">
        <v>1.355E-9</v>
      </c>
      <c r="E8" s="3"/>
      <c r="F8" s="38">
        <f t="shared" si="0"/>
        <v>1.3031496062992128E-7</v>
      </c>
      <c r="G8" s="38">
        <f t="shared" si="0"/>
        <v>2.082677165354331E-8</v>
      </c>
      <c r="H8" s="38">
        <f t="shared" si="0"/>
        <v>5.334645669291339E-8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1"/>
    </row>
    <row r="9" spans="1:30" x14ac:dyDescent="0.2">
      <c r="A9" s="35">
        <v>60</v>
      </c>
      <c r="B9" s="38">
        <v>7.5300000000000003E-9</v>
      </c>
      <c r="C9" s="38">
        <v>1.188E-9</v>
      </c>
      <c r="D9" s="38">
        <v>3.0589999999999999E-9</v>
      </c>
      <c r="E9" s="3"/>
      <c r="F9" s="38">
        <f t="shared" si="0"/>
        <v>2.9645669291338582E-7</v>
      </c>
      <c r="G9" s="38">
        <f t="shared" si="0"/>
        <v>4.6771653543307091E-8</v>
      </c>
      <c r="H9" s="38">
        <f t="shared" si="0"/>
        <v>1.2043307086614174E-7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D9" s="3"/>
    </row>
    <row r="10" spans="1:30" x14ac:dyDescent="0.2">
      <c r="A10" s="35">
        <v>80</v>
      </c>
      <c r="B10" s="38">
        <v>1.3599999999999999E-8</v>
      </c>
      <c r="C10" s="38">
        <v>2.1729999999999998E-9</v>
      </c>
      <c r="D10" s="38">
        <v>5.4599999999999998E-9</v>
      </c>
      <c r="E10" s="3"/>
      <c r="F10" s="38">
        <f t="shared" si="0"/>
        <v>5.3543307086614168E-7</v>
      </c>
      <c r="G10" s="38">
        <f t="shared" si="0"/>
        <v>8.5551181102362202E-8</v>
      </c>
      <c r="H10" s="38">
        <f t="shared" si="0"/>
        <v>2.1496062992125984E-7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D10" s="3"/>
    </row>
    <row r="11" spans="1:30" x14ac:dyDescent="0.2">
      <c r="A11" s="35">
        <v>100</v>
      </c>
      <c r="B11" s="38">
        <v>2.18E-8</v>
      </c>
      <c r="C11" s="38">
        <v>3.4400000000000001E-9</v>
      </c>
      <c r="D11" s="38">
        <v>8.609999999999999E-9</v>
      </c>
      <c r="E11" s="3"/>
      <c r="F11" s="38">
        <f t="shared" si="0"/>
        <v>8.5826771653543313E-7</v>
      </c>
      <c r="G11" s="38">
        <f t="shared" si="0"/>
        <v>1.3543307086614175E-7</v>
      </c>
      <c r="H11" s="38">
        <f t="shared" si="0"/>
        <v>3.3897637795275586E-7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AD11" s="3"/>
    </row>
    <row r="12" spans="1:30" x14ac:dyDescent="0.2">
      <c r="A12" s="35">
        <v>120</v>
      </c>
      <c r="B12" s="38">
        <v>3.2300000000000005E-8</v>
      </c>
      <c r="C12" s="38">
        <v>5.0700000000000001E-9</v>
      </c>
      <c r="D12" s="38">
        <v>1.256E-8</v>
      </c>
      <c r="E12" s="3"/>
      <c r="F12" s="38">
        <f t="shared" si="0"/>
        <v>1.2716535433070869E-6</v>
      </c>
      <c r="G12" s="38">
        <f t="shared" si="0"/>
        <v>1.9960629921259843E-7</v>
      </c>
      <c r="H12" s="38">
        <f t="shared" si="0"/>
        <v>4.9448818897637797E-7</v>
      </c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AD12" s="1"/>
    </row>
    <row r="13" spans="1:30" x14ac:dyDescent="0.2">
      <c r="A13" s="35">
        <v>140</v>
      </c>
      <c r="B13" s="38">
        <v>4.5500000000000004E-8</v>
      </c>
      <c r="C13" s="38">
        <v>7.0400000000000005E-9</v>
      </c>
      <c r="D13" s="38">
        <v>1.7439999999999999E-8</v>
      </c>
      <c r="E13" s="3"/>
      <c r="F13" s="38">
        <f t="shared" si="0"/>
        <v>1.7913385826771655E-6</v>
      </c>
      <c r="G13" s="38">
        <f t="shared" si="0"/>
        <v>2.7716535433070868E-7</v>
      </c>
      <c r="H13" s="38">
        <f t="shared" si="0"/>
        <v>6.8661417322834651E-7</v>
      </c>
      <c r="J13" s="1"/>
      <c r="K13" s="1"/>
      <c r="L13" s="1"/>
      <c r="M13" s="1"/>
      <c r="N13" s="1"/>
      <c r="O13" s="1"/>
      <c r="P13" s="1"/>
      <c r="Q13" s="1"/>
      <c r="R13" s="17"/>
      <c r="S13" s="9"/>
      <c r="T13" s="9"/>
      <c r="U13" s="9"/>
      <c r="AD13" s="6"/>
    </row>
    <row r="14" spans="1:30" x14ac:dyDescent="0.2">
      <c r="A14" s="35">
        <v>160</v>
      </c>
      <c r="B14" s="38">
        <v>6.2100000000000007E-8</v>
      </c>
      <c r="C14" s="38">
        <v>9.4199999999999993E-9</v>
      </c>
      <c r="D14" s="38">
        <v>2.3300000000000003E-8</v>
      </c>
      <c r="E14" s="3"/>
      <c r="F14" s="38">
        <f t="shared" si="0"/>
        <v>2.4448818897637797E-6</v>
      </c>
      <c r="G14" s="38">
        <f t="shared" si="0"/>
        <v>3.7086614173228345E-7</v>
      </c>
      <c r="H14" s="38">
        <f t="shared" si="0"/>
        <v>9.1732283464566952E-7</v>
      </c>
      <c r="J14" s="1"/>
      <c r="K14" s="1"/>
      <c r="L14" s="1"/>
      <c r="M14" s="1"/>
      <c r="N14" s="1"/>
      <c r="O14" s="1"/>
      <c r="P14" s="1"/>
      <c r="Q14" s="1"/>
      <c r="R14" s="17"/>
      <c r="S14" s="9"/>
      <c r="T14" s="9"/>
      <c r="U14" s="9"/>
      <c r="AD14" s="6"/>
    </row>
    <row r="15" spans="1:30" x14ac:dyDescent="0.2">
      <c r="A15" s="35">
        <v>180</v>
      </c>
      <c r="B15" s="38">
        <v>8.2599999999999998E-8</v>
      </c>
      <c r="C15" s="38">
        <v>1.2250000000000001E-8</v>
      </c>
      <c r="D15" s="38">
        <v>3.0350000000000004E-8</v>
      </c>
      <c r="E15" s="3"/>
      <c r="F15" s="38">
        <f t="shared" si="0"/>
        <v>3.2519685039370083E-6</v>
      </c>
      <c r="G15" s="38">
        <f t="shared" si="0"/>
        <v>4.8228346456692918E-7</v>
      </c>
      <c r="H15" s="38">
        <f t="shared" si="0"/>
        <v>1.1948818897637796E-6</v>
      </c>
      <c r="J15" s="1"/>
      <c r="K15" s="1"/>
      <c r="L15" s="1"/>
      <c r="M15" s="1"/>
      <c r="N15" s="1"/>
      <c r="O15" s="1"/>
      <c r="P15" s="1"/>
      <c r="Q15" s="1"/>
      <c r="R15" s="17"/>
      <c r="S15" s="1"/>
      <c r="T15" s="1"/>
      <c r="U15" s="1"/>
      <c r="AD15" s="6"/>
    </row>
    <row r="16" spans="1:30" x14ac:dyDescent="0.2">
      <c r="A16" s="35">
        <v>200</v>
      </c>
      <c r="B16" s="38">
        <v>1.081E-7</v>
      </c>
      <c r="C16" s="38">
        <v>1.557E-8</v>
      </c>
      <c r="D16" s="38">
        <v>3.8800000000000003E-8</v>
      </c>
      <c r="E16" s="3"/>
      <c r="F16" s="38">
        <f t="shared" si="0"/>
        <v>4.2559055118110234E-6</v>
      </c>
      <c r="G16" s="38">
        <f t="shared" si="0"/>
        <v>6.1299212598425198E-7</v>
      </c>
      <c r="H16" s="38">
        <f t="shared" si="0"/>
        <v>1.5275590551181103E-6</v>
      </c>
      <c r="J16" s="1"/>
      <c r="K16" s="1"/>
      <c r="L16" s="1"/>
      <c r="M16" s="1"/>
      <c r="N16" s="1"/>
      <c r="O16" s="1"/>
      <c r="P16" s="1"/>
      <c r="Q16" s="1"/>
      <c r="R16" s="17"/>
      <c r="S16" s="1"/>
      <c r="T16" s="1"/>
      <c r="U16" s="1"/>
      <c r="AD16" s="6"/>
    </row>
    <row r="17" spans="1:30" x14ac:dyDescent="0.2">
      <c r="A17" s="35">
        <v>220</v>
      </c>
      <c r="B17" s="38">
        <v>1.392E-7</v>
      </c>
      <c r="C17" s="38">
        <v>1.934E-8</v>
      </c>
      <c r="D17" s="38">
        <v>4.9000000000000002E-8</v>
      </c>
      <c r="E17" s="3"/>
      <c r="F17" s="38">
        <f t="shared" si="0"/>
        <v>5.4803149606299214E-6</v>
      </c>
      <c r="G17" s="38">
        <f t="shared" si="0"/>
        <v>7.614173228346458E-7</v>
      </c>
      <c r="H17" s="38">
        <f t="shared" si="0"/>
        <v>1.9291338582677167E-6</v>
      </c>
      <c r="J17" s="1"/>
      <c r="K17" s="1"/>
      <c r="L17" s="1"/>
      <c r="M17" s="1"/>
      <c r="N17" s="1"/>
      <c r="O17" s="1"/>
      <c r="P17" s="1"/>
      <c r="Q17" s="1"/>
      <c r="R17" s="17"/>
      <c r="S17" s="9"/>
      <c r="T17" s="9"/>
      <c r="U17" s="9"/>
      <c r="AD17" s="6"/>
    </row>
    <row r="18" spans="1:30" x14ac:dyDescent="0.2">
      <c r="A18" s="35">
        <v>240</v>
      </c>
      <c r="B18" s="38">
        <v>1.754E-7</v>
      </c>
      <c r="C18" s="38">
        <v>2.353E-8</v>
      </c>
      <c r="D18" s="38">
        <v>6.1000000000000004E-8</v>
      </c>
      <c r="E18" s="3"/>
      <c r="F18" s="38">
        <f t="shared" si="0"/>
        <v>6.9055118110236229E-6</v>
      </c>
      <c r="G18" s="38">
        <f t="shared" si="0"/>
        <v>9.2637795275590554E-7</v>
      </c>
      <c r="H18" s="38">
        <f t="shared" si="0"/>
        <v>2.4015748031496065E-6</v>
      </c>
      <c r="J18" s="1"/>
      <c r="K18" s="1"/>
      <c r="L18" s="1"/>
      <c r="M18" s="1"/>
      <c r="N18" s="1"/>
      <c r="O18" s="1"/>
      <c r="P18" s="1"/>
      <c r="Q18" s="1"/>
      <c r="R18" s="17"/>
      <c r="S18" s="1"/>
      <c r="T18" s="1"/>
      <c r="U18" s="1"/>
      <c r="AD18" s="6"/>
    </row>
    <row r="19" spans="1:30" x14ac:dyDescent="0.2">
      <c r="A19" s="35">
        <v>260</v>
      </c>
      <c r="B19" s="38">
        <v>2.1459999999999998E-7</v>
      </c>
      <c r="C19" s="38">
        <v>2.81E-8</v>
      </c>
      <c r="D19" s="38">
        <v>7.4400000000000004E-8</v>
      </c>
      <c r="E19" s="3"/>
      <c r="F19" s="38">
        <f t="shared" si="0"/>
        <v>8.4488188976377944E-6</v>
      </c>
      <c r="G19" s="38">
        <f t="shared" si="0"/>
        <v>1.1062992125984252E-6</v>
      </c>
      <c r="H19" s="38">
        <f t="shared" si="0"/>
        <v>2.9291338582677169E-6</v>
      </c>
      <c r="J19" s="1"/>
      <c r="K19" s="1"/>
      <c r="L19" s="1"/>
      <c r="M19" s="1"/>
      <c r="N19" s="1"/>
      <c r="O19" s="1"/>
      <c r="P19" s="1"/>
      <c r="Q19" s="1"/>
      <c r="R19" s="17"/>
      <c r="S19" s="1"/>
      <c r="T19" s="1"/>
      <c r="U19" s="1"/>
      <c r="AD19" s="6"/>
    </row>
    <row r="20" spans="1:30" x14ac:dyDescent="0.2">
      <c r="A20" s="35">
        <v>280</v>
      </c>
      <c r="B20" s="38">
        <v>2.508E-7</v>
      </c>
      <c r="C20" s="38">
        <v>3.2600000000000001E-8</v>
      </c>
      <c r="D20" s="38">
        <v>8.7699999999999998E-8</v>
      </c>
      <c r="E20" s="3"/>
      <c r="F20" s="38">
        <f t="shared" si="0"/>
        <v>9.8740157480314958E-6</v>
      </c>
      <c r="G20" s="38">
        <f t="shared" si="0"/>
        <v>1.2834645669291338E-6</v>
      </c>
      <c r="H20" s="38">
        <f t="shared" si="0"/>
        <v>3.4527559055118114E-6</v>
      </c>
      <c r="J20" s="1"/>
      <c r="K20" s="1"/>
      <c r="L20" s="1"/>
      <c r="M20" s="1"/>
      <c r="N20" s="1"/>
      <c r="O20" s="1"/>
      <c r="P20" s="1"/>
      <c r="Q20" s="1"/>
      <c r="R20" s="17"/>
      <c r="S20" s="9"/>
      <c r="T20" s="9"/>
      <c r="U20" s="9"/>
      <c r="AD20" s="6"/>
    </row>
    <row r="21" spans="1:30" x14ac:dyDescent="0.2">
      <c r="A21" s="35">
        <v>300</v>
      </c>
      <c r="B21" s="38">
        <v>2.7500000000000001E-7</v>
      </c>
      <c r="C21" s="38">
        <v>3.7200000000000002E-8</v>
      </c>
      <c r="D21" s="38">
        <v>9.9100000000000007E-8</v>
      </c>
      <c r="E21" s="3"/>
      <c r="F21" s="38">
        <f t="shared" si="0"/>
        <v>1.0826771653543309E-5</v>
      </c>
      <c r="G21" s="38">
        <f t="shared" si="0"/>
        <v>1.4645669291338584E-6</v>
      </c>
      <c r="H21" s="38">
        <f t="shared" si="0"/>
        <v>3.9015748031496066E-6</v>
      </c>
      <c r="J21" s="1"/>
      <c r="K21" s="1"/>
      <c r="L21" s="1"/>
      <c r="M21" s="1"/>
      <c r="N21" s="1"/>
      <c r="O21" s="1"/>
      <c r="P21" s="1"/>
      <c r="Q21" s="1"/>
      <c r="R21" s="17"/>
      <c r="S21" s="1"/>
      <c r="T21" s="1"/>
      <c r="U21" s="1"/>
      <c r="AD21" s="6"/>
    </row>
    <row r="22" spans="1:30" x14ac:dyDescent="0.2">
      <c r="A22" s="35">
        <v>320</v>
      </c>
      <c r="B22" s="38">
        <v>2.9499999999999998E-7</v>
      </c>
      <c r="C22" s="38">
        <v>4.2500000000000003E-8</v>
      </c>
      <c r="D22" s="38">
        <v>1.0949999999999999E-7</v>
      </c>
      <c r="E22" s="3"/>
      <c r="F22" s="38">
        <f t="shared" si="0"/>
        <v>1.1614173228346456E-5</v>
      </c>
      <c r="G22" s="38">
        <f t="shared" si="0"/>
        <v>1.6732283464566931E-6</v>
      </c>
      <c r="H22" s="38">
        <f t="shared" si="0"/>
        <v>4.3110236220472444E-6</v>
      </c>
      <c r="J22" s="1"/>
      <c r="K22" s="1"/>
      <c r="L22" s="1"/>
      <c r="M22" s="1"/>
      <c r="N22" s="1"/>
      <c r="O22" s="1"/>
      <c r="P22" s="1"/>
      <c r="Q22" s="1"/>
      <c r="R22" s="17"/>
      <c r="S22" s="2"/>
      <c r="T22" s="2"/>
      <c r="U22" s="2"/>
      <c r="AD22" s="6"/>
    </row>
    <row r="23" spans="1:30" x14ac:dyDescent="0.2">
      <c r="A23" s="35">
        <v>340</v>
      </c>
      <c r="B23" s="38">
        <v>3.1600000000000002E-7</v>
      </c>
      <c r="C23" s="38">
        <v>4.88E-8</v>
      </c>
      <c r="D23" s="38">
        <v>1.1969999999999999E-7</v>
      </c>
      <c r="E23" s="3"/>
      <c r="F23" s="38">
        <f t="shared" si="0"/>
        <v>1.2440944881889766E-5</v>
      </c>
      <c r="G23" s="38">
        <f t="shared" si="0"/>
        <v>1.9212598425196851E-6</v>
      </c>
      <c r="H23" s="38">
        <f t="shared" si="0"/>
        <v>4.7125984251968506E-6</v>
      </c>
      <c r="J23" s="1"/>
      <c r="K23" s="1"/>
      <c r="L23" s="1"/>
      <c r="M23" s="1"/>
      <c r="N23" s="1"/>
      <c r="O23" s="1"/>
      <c r="P23" s="1"/>
      <c r="Q23" s="1"/>
      <c r="R23" s="17"/>
      <c r="S23" s="3"/>
      <c r="T23" s="3"/>
      <c r="U23" s="3"/>
      <c r="AD23" s="6"/>
    </row>
    <row r="24" spans="1:30" x14ac:dyDescent="0.2">
      <c r="A24" s="35">
        <v>360</v>
      </c>
      <c r="B24" s="38">
        <v>3.4300000000000004E-7</v>
      </c>
      <c r="C24" s="38">
        <v>5.6299999999999995E-8</v>
      </c>
      <c r="D24" s="38">
        <v>1.3050000000000001E-7</v>
      </c>
      <c r="E24" s="3"/>
      <c r="F24" s="38">
        <f t="shared" si="0"/>
        <v>1.3503937007874017E-5</v>
      </c>
      <c r="G24" s="38">
        <f t="shared" si="0"/>
        <v>2.2165354330708661E-6</v>
      </c>
      <c r="H24" s="38">
        <f t="shared" si="0"/>
        <v>5.1377952755905515E-6</v>
      </c>
      <c r="J24" s="1"/>
      <c r="K24" s="1"/>
      <c r="L24" s="1"/>
      <c r="M24" s="1"/>
      <c r="N24" s="1"/>
      <c r="O24" s="1"/>
      <c r="P24" s="1"/>
      <c r="Q24" s="1"/>
      <c r="R24" s="17"/>
      <c r="S24" s="9"/>
      <c r="T24" s="9"/>
      <c r="U24" s="9"/>
      <c r="AD24" s="6"/>
    </row>
    <row r="25" spans="1:30" x14ac:dyDescent="0.2">
      <c r="A25" s="35">
        <v>380</v>
      </c>
      <c r="B25" s="38">
        <v>3.77E-7</v>
      </c>
      <c r="C25" s="38">
        <v>6.4799999999999998E-8</v>
      </c>
      <c r="D25" s="38">
        <v>1.4259999999999999E-7</v>
      </c>
      <c r="E25" s="3"/>
      <c r="F25" s="38">
        <f t="shared" si="0"/>
        <v>1.4842519685039371E-5</v>
      </c>
      <c r="G25" s="38">
        <f t="shared" si="0"/>
        <v>2.5511811023622049E-6</v>
      </c>
      <c r="H25" s="38">
        <f t="shared" si="0"/>
        <v>5.6141732283464571E-6</v>
      </c>
      <c r="J25" s="1"/>
      <c r="K25" s="1"/>
      <c r="L25" s="1"/>
      <c r="M25" s="1"/>
      <c r="N25" s="1"/>
      <c r="O25" s="1"/>
      <c r="P25" s="1"/>
      <c r="Q25" s="1"/>
      <c r="R25" s="17"/>
      <c r="S25" s="9"/>
      <c r="T25" s="9"/>
      <c r="U25" s="9"/>
      <c r="AD25" s="6"/>
    </row>
    <row r="26" spans="1:30" x14ac:dyDescent="0.2">
      <c r="A26" s="35">
        <v>400</v>
      </c>
      <c r="B26" s="38">
        <v>4.2E-7</v>
      </c>
      <c r="C26" s="38">
        <v>7.3599999999999997E-8</v>
      </c>
      <c r="D26" s="38">
        <v>1.5670000000000002E-7</v>
      </c>
      <c r="E26" s="3"/>
      <c r="F26" s="38">
        <f t="shared" si="0"/>
        <v>1.6535433070866142E-5</v>
      </c>
      <c r="G26" s="38">
        <f t="shared" si="0"/>
        <v>2.8976377952755906E-6</v>
      </c>
      <c r="H26" s="38">
        <f t="shared" si="0"/>
        <v>6.1692913385826783E-6</v>
      </c>
      <c r="J26" s="1"/>
      <c r="K26" s="1"/>
      <c r="L26" s="1"/>
      <c r="M26" s="1"/>
      <c r="N26" s="1"/>
      <c r="O26" s="1"/>
      <c r="P26" s="1"/>
      <c r="Q26" s="1"/>
      <c r="R26" s="17"/>
      <c r="S26" s="1"/>
      <c r="T26" s="1"/>
      <c r="U26" s="1"/>
      <c r="AD26" s="6"/>
    </row>
    <row r="27" spans="1:30" x14ac:dyDescent="0.2">
      <c r="A27" s="35">
        <v>420</v>
      </c>
      <c r="B27" s="38">
        <v>4.6899999999999998E-7</v>
      </c>
      <c r="C27" s="38">
        <v>8.2200000000000008E-8</v>
      </c>
      <c r="D27" s="38">
        <v>1.7179999999999999E-7</v>
      </c>
      <c r="E27" s="3"/>
      <c r="F27" s="38">
        <f t="shared" si="0"/>
        <v>1.8464566929133858E-5</v>
      </c>
      <c r="G27" s="38">
        <f t="shared" si="0"/>
        <v>3.2362204724409452E-6</v>
      </c>
      <c r="H27" s="38">
        <f t="shared" si="0"/>
        <v>6.7637795275590556E-6</v>
      </c>
      <c r="J27" s="1"/>
      <c r="K27" s="1"/>
      <c r="L27" s="1"/>
      <c r="M27" s="1"/>
      <c r="N27" s="1"/>
      <c r="O27" s="1"/>
      <c r="P27" s="1"/>
      <c r="Q27" s="1"/>
      <c r="R27" s="17"/>
      <c r="S27" s="1"/>
      <c r="T27" s="1"/>
      <c r="U27" s="1"/>
      <c r="AD27" s="6"/>
    </row>
    <row r="28" spans="1:30" x14ac:dyDescent="0.2">
      <c r="A28" s="35">
        <v>440</v>
      </c>
      <c r="B28" s="38">
        <v>5.2300000000000001E-7</v>
      </c>
      <c r="C28" s="38">
        <v>9.0099999999999993E-8</v>
      </c>
      <c r="D28" s="38">
        <v>1.9010000000000001E-7</v>
      </c>
      <c r="E28" s="3"/>
      <c r="F28" s="38">
        <f t="shared" si="0"/>
        <v>2.0590551181102364E-5</v>
      </c>
      <c r="G28" s="38">
        <f t="shared" si="0"/>
        <v>3.5472440944881889E-6</v>
      </c>
      <c r="H28" s="38">
        <f t="shared" si="0"/>
        <v>7.4842519685039379E-6</v>
      </c>
      <c r="J28" s="1"/>
      <c r="K28" s="1"/>
      <c r="L28" s="1"/>
      <c r="M28" s="1"/>
      <c r="N28" s="1"/>
      <c r="O28" s="1"/>
      <c r="P28" s="1"/>
      <c r="Q28" s="1"/>
      <c r="R28" s="17"/>
      <c r="S28" s="9"/>
      <c r="T28" s="9"/>
      <c r="U28" s="9"/>
      <c r="AD28" s="6"/>
    </row>
    <row r="29" spans="1:30" x14ac:dyDescent="0.2">
      <c r="A29" s="35">
        <v>460</v>
      </c>
      <c r="B29" s="38">
        <v>5.82E-7</v>
      </c>
      <c r="C29" s="38">
        <v>9.7000000000000008E-8</v>
      </c>
      <c r="D29" s="38">
        <v>2.1049999999999999E-7</v>
      </c>
      <c r="E29" s="3"/>
      <c r="F29" s="38">
        <f t="shared" si="0"/>
        <v>2.2913385826771654E-5</v>
      </c>
      <c r="G29" s="38">
        <f t="shared" si="0"/>
        <v>3.8188976377952765E-6</v>
      </c>
      <c r="H29" s="38">
        <f t="shared" si="0"/>
        <v>8.2874015748031503E-6</v>
      </c>
      <c r="J29" s="1"/>
      <c r="K29" s="1"/>
      <c r="L29" s="1"/>
      <c r="M29" s="1"/>
      <c r="N29" s="1"/>
      <c r="O29" s="1"/>
      <c r="P29" s="1"/>
      <c r="Q29" s="1"/>
      <c r="R29" s="17"/>
      <c r="S29" s="1"/>
      <c r="T29" s="1"/>
      <c r="U29" s="1"/>
      <c r="AD29" s="6"/>
    </row>
    <row r="30" spans="1:30" x14ac:dyDescent="0.2">
      <c r="A30" s="35">
        <v>480</v>
      </c>
      <c r="B30" s="38">
        <v>6.4600000000000004E-7</v>
      </c>
      <c r="C30" s="38">
        <v>1.031E-7</v>
      </c>
      <c r="D30" s="38">
        <v>2.3419999999999999E-7</v>
      </c>
      <c r="E30" s="3"/>
      <c r="F30" s="38">
        <f t="shared" si="0"/>
        <v>2.5433070866141736E-5</v>
      </c>
      <c r="G30" s="38">
        <f t="shared" si="0"/>
        <v>4.0590551181102361E-6</v>
      </c>
      <c r="H30" s="38">
        <f t="shared" si="0"/>
        <v>9.2204724409448822E-6</v>
      </c>
      <c r="J30" s="1"/>
      <c r="K30" s="1"/>
      <c r="L30" s="1"/>
      <c r="M30" s="1"/>
      <c r="N30" s="1"/>
      <c r="O30" s="1"/>
      <c r="P30" s="1"/>
      <c r="Q30" s="1"/>
      <c r="R30" s="17"/>
      <c r="S30" s="1"/>
      <c r="T30" s="1"/>
      <c r="U30" s="1"/>
      <c r="AD30" s="6"/>
    </row>
    <row r="31" spans="1:30" x14ac:dyDescent="0.2">
      <c r="A31" s="35">
        <v>500</v>
      </c>
      <c r="B31" s="38">
        <v>7.1700000000000008E-7</v>
      </c>
      <c r="C31" s="38">
        <v>1.087E-7</v>
      </c>
      <c r="D31" s="38">
        <v>2.621E-7</v>
      </c>
      <c r="E31" s="3"/>
      <c r="F31" s="38">
        <f t="shared" si="0"/>
        <v>2.8228346456692919E-5</v>
      </c>
      <c r="G31" s="38">
        <f t="shared" si="0"/>
        <v>4.2795275590551181E-6</v>
      </c>
      <c r="H31" s="38">
        <f t="shared" si="0"/>
        <v>1.0318897637795274E-5</v>
      </c>
      <c r="J31" s="1"/>
      <c r="K31" s="1"/>
      <c r="L31" s="1"/>
      <c r="M31" s="1"/>
      <c r="N31" s="1"/>
      <c r="O31" s="1"/>
      <c r="P31" s="1"/>
      <c r="Q31" s="1"/>
      <c r="R31" s="17"/>
      <c r="S31" s="9"/>
      <c r="T31" s="9"/>
      <c r="U31" s="9"/>
      <c r="AD31" s="6"/>
    </row>
    <row r="32" spans="1:30" x14ac:dyDescent="0.2">
      <c r="A32" s="35">
        <v>520</v>
      </c>
      <c r="B32" s="38">
        <v>7.9699999999999995E-7</v>
      </c>
      <c r="C32" s="38">
        <v>1.1369999999999999E-7</v>
      </c>
      <c r="D32" s="38">
        <v>2.932E-7</v>
      </c>
      <c r="E32" s="3"/>
      <c r="F32" s="38">
        <f t="shared" si="0"/>
        <v>3.1377952755905509E-5</v>
      </c>
      <c r="G32" s="38">
        <f t="shared" si="0"/>
        <v>4.4763779527559054E-6</v>
      </c>
      <c r="H32" s="38">
        <f t="shared" si="0"/>
        <v>1.1543307086614175E-5</v>
      </c>
      <c r="J32" s="1"/>
      <c r="K32" s="1"/>
      <c r="L32" s="1"/>
      <c r="M32" s="1"/>
      <c r="N32" s="1"/>
      <c r="O32" s="1"/>
      <c r="P32" s="1"/>
      <c r="Q32" s="1"/>
      <c r="R32" s="17"/>
      <c r="S32" s="1"/>
      <c r="T32" s="1"/>
      <c r="U32" s="1"/>
      <c r="AD32" s="6"/>
    </row>
    <row r="33" spans="1:30" x14ac:dyDescent="0.2">
      <c r="A33" s="35">
        <v>540</v>
      </c>
      <c r="B33" s="38">
        <v>8.8599999999999997E-7</v>
      </c>
      <c r="C33" s="38">
        <v>1.1829999999999999E-7</v>
      </c>
      <c r="D33" s="38">
        <v>3.2749999999999999E-7</v>
      </c>
      <c r="E33" s="3"/>
      <c r="F33" s="38">
        <f t="shared" si="0"/>
        <v>3.4881889763779528E-5</v>
      </c>
      <c r="G33" s="38">
        <f t="shared" si="0"/>
        <v>4.6574803149606296E-6</v>
      </c>
      <c r="H33" s="38">
        <f t="shared" si="0"/>
        <v>1.2893700787401575E-5</v>
      </c>
      <c r="J33" s="1"/>
      <c r="K33" s="1"/>
      <c r="L33" s="1"/>
      <c r="M33" s="1"/>
      <c r="N33" s="1"/>
      <c r="O33" s="1"/>
      <c r="P33" s="1"/>
      <c r="Q33" s="1"/>
      <c r="R33" s="17"/>
      <c r="S33" s="1"/>
      <c r="T33" s="1"/>
      <c r="U33" s="1"/>
      <c r="AD33" s="6"/>
    </row>
    <row r="34" spans="1:30" x14ac:dyDescent="0.2">
      <c r="A34" s="35">
        <v>560</v>
      </c>
      <c r="B34" s="38">
        <v>9.850000000000001E-7</v>
      </c>
      <c r="C34" s="38">
        <v>1.2240000000000001E-7</v>
      </c>
      <c r="D34" s="38">
        <v>3.6699999999999999E-7</v>
      </c>
      <c r="E34" s="3"/>
      <c r="F34" s="38">
        <f t="shared" si="0"/>
        <v>3.8779527559055126E-5</v>
      </c>
      <c r="G34" s="38">
        <f t="shared" si="0"/>
        <v>4.8188976377952771E-6</v>
      </c>
      <c r="H34" s="38">
        <f t="shared" si="0"/>
        <v>1.4448818897637795E-5</v>
      </c>
      <c r="J34" s="1"/>
      <c r="K34" s="1"/>
      <c r="L34" s="1"/>
      <c r="M34" s="1"/>
      <c r="N34" s="1"/>
      <c r="O34" s="1"/>
      <c r="P34" s="1"/>
      <c r="Q34" s="1"/>
      <c r="R34" s="17"/>
      <c r="S34" s="1"/>
      <c r="T34" s="1"/>
      <c r="U34" s="1"/>
      <c r="AD34" s="6"/>
    </row>
    <row r="35" spans="1:30" x14ac:dyDescent="0.2">
      <c r="A35" s="35">
        <v>580</v>
      </c>
      <c r="B35" s="38">
        <v>1.093E-6</v>
      </c>
      <c r="C35" s="38">
        <v>1.2620000000000001E-7</v>
      </c>
      <c r="D35" s="38">
        <v>4.087E-7</v>
      </c>
      <c r="E35" s="3"/>
      <c r="F35" s="38">
        <f t="shared" si="0"/>
        <v>4.3031496062992131E-5</v>
      </c>
      <c r="G35" s="38">
        <f t="shared" si="0"/>
        <v>4.9685039370078742E-6</v>
      </c>
      <c r="H35" s="38">
        <f t="shared" si="0"/>
        <v>1.6090551181102363E-5</v>
      </c>
      <c r="J35" s="1"/>
      <c r="K35" s="1"/>
      <c r="L35" s="1"/>
      <c r="M35" s="1"/>
      <c r="N35" s="1"/>
      <c r="O35" s="1"/>
      <c r="P35" s="1"/>
      <c r="Q35" s="1"/>
      <c r="R35" s="17"/>
      <c r="S35" s="1"/>
      <c r="T35" s="1"/>
      <c r="U35" s="1"/>
      <c r="AD35" s="6"/>
    </row>
    <row r="36" spans="1:30" x14ac:dyDescent="0.2">
      <c r="A36" s="35">
        <v>600</v>
      </c>
      <c r="B36" s="38">
        <v>1.2080000000000001E-6</v>
      </c>
      <c r="C36" s="38">
        <v>1.297E-7</v>
      </c>
      <c r="D36" s="38">
        <v>4.5469999999999996E-7</v>
      </c>
      <c r="E36" s="3"/>
      <c r="F36" s="38">
        <f t="shared" si="0"/>
        <v>4.7559055118110241E-5</v>
      </c>
      <c r="G36" s="38">
        <f t="shared" si="0"/>
        <v>5.1062992125984261E-6</v>
      </c>
      <c r="H36" s="38">
        <f t="shared" si="0"/>
        <v>1.7901574803149604E-5</v>
      </c>
      <c r="J36" s="1"/>
      <c r="K36" s="1"/>
      <c r="L36" s="1"/>
      <c r="M36" s="1"/>
      <c r="N36" s="1"/>
      <c r="O36" s="1"/>
      <c r="P36" s="1"/>
      <c r="Q36" s="1"/>
      <c r="R36" s="17"/>
      <c r="S36" s="1"/>
      <c r="T36" s="1"/>
      <c r="U36" s="1"/>
      <c r="AD36" s="6"/>
    </row>
    <row r="37" spans="1:30" x14ac:dyDescent="0.2">
      <c r="A37" s="35">
        <v>620</v>
      </c>
      <c r="B37" s="38">
        <v>1.3260000000000001E-6</v>
      </c>
      <c r="C37" s="38">
        <v>1.3309999999999999E-7</v>
      </c>
      <c r="D37" s="38">
        <v>5.0100000000000005E-7</v>
      </c>
      <c r="E37" s="3"/>
      <c r="F37" s="38">
        <f t="shared" si="0"/>
        <v>5.2204724409448826E-5</v>
      </c>
      <c r="G37" s="38">
        <f t="shared" si="0"/>
        <v>5.24015748031496E-6</v>
      </c>
      <c r="H37" s="38">
        <f t="shared" si="0"/>
        <v>1.9724409448818901E-5</v>
      </c>
      <c r="J37" s="1"/>
      <c r="K37" s="1"/>
      <c r="L37" s="1"/>
      <c r="M37" s="1"/>
      <c r="N37" s="1"/>
      <c r="O37" s="1"/>
      <c r="P37" s="1"/>
      <c r="Q37" s="1"/>
      <c r="R37" s="17"/>
      <c r="S37" s="1"/>
      <c r="T37" s="1"/>
      <c r="U37" s="1"/>
      <c r="AD37" s="6"/>
    </row>
    <row r="38" spans="1:30" x14ac:dyDescent="0.2">
      <c r="A38" s="35">
        <v>640</v>
      </c>
      <c r="B38" s="38">
        <v>1.4439999999999999E-6</v>
      </c>
      <c r="C38" s="38">
        <v>1.3680000000000001E-7</v>
      </c>
      <c r="D38" s="38">
        <v>5.4759999999999995E-7</v>
      </c>
      <c r="E38" s="3"/>
      <c r="F38" s="38">
        <f t="shared" si="0"/>
        <v>5.6850393700787398E-5</v>
      </c>
      <c r="G38" s="38">
        <f t="shared" si="0"/>
        <v>5.3858267716535443E-6</v>
      </c>
      <c r="H38" s="38">
        <f t="shared" si="0"/>
        <v>2.1559055118110235E-5</v>
      </c>
      <c r="J38" s="1"/>
      <c r="K38" s="1"/>
      <c r="L38" s="1"/>
      <c r="M38" s="1"/>
      <c r="N38" s="1"/>
      <c r="O38" s="1"/>
      <c r="P38" s="1"/>
      <c r="Q38" s="1"/>
      <c r="R38" s="17"/>
      <c r="S38" s="1"/>
      <c r="T38" s="1"/>
      <c r="U38" s="1"/>
      <c r="AD38" s="6"/>
    </row>
    <row r="39" spans="1:30" x14ac:dyDescent="0.2">
      <c r="A39" s="35">
        <v>660</v>
      </c>
      <c r="B39" s="38">
        <v>1.553E-6</v>
      </c>
      <c r="C39" s="38">
        <v>1.4140000000000001E-7</v>
      </c>
      <c r="D39" s="38">
        <v>5.904000000000001E-7</v>
      </c>
      <c r="E39" s="3"/>
      <c r="F39" s="38">
        <f t="shared" si="0"/>
        <v>6.1141732283464569E-5</v>
      </c>
      <c r="G39" s="38">
        <f t="shared" si="0"/>
        <v>5.5669291338582685E-6</v>
      </c>
      <c r="H39" s="38">
        <f t="shared" si="0"/>
        <v>2.3244094488188984E-5</v>
      </c>
      <c r="J39" s="1"/>
      <c r="K39" s="1"/>
      <c r="L39" s="1"/>
      <c r="M39" s="1"/>
      <c r="N39" s="1"/>
      <c r="O39" s="1"/>
      <c r="P39" s="1"/>
      <c r="Q39" s="1"/>
      <c r="R39" s="17"/>
      <c r="S39" s="1"/>
      <c r="T39" s="1"/>
      <c r="U39" s="1"/>
      <c r="AD39" s="6"/>
    </row>
    <row r="40" spans="1:30" x14ac:dyDescent="0.2">
      <c r="A40" s="35">
        <v>680</v>
      </c>
      <c r="B40" s="38">
        <v>1.6509999999999999E-6</v>
      </c>
      <c r="C40" s="38">
        <v>1.4789999999999999E-7</v>
      </c>
      <c r="D40" s="38">
        <v>6.2839999999999999E-7</v>
      </c>
      <c r="E40" s="3"/>
      <c r="F40" s="38">
        <f t="shared" si="0"/>
        <v>6.4999999999999994E-5</v>
      </c>
      <c r="G40" s="38">
        <f t="shared" si="0"/>
        <v>5.8228346456692913E-6</v>
      </c>
      <c r="H40" s="38">
        <f t="shared" si="0"/>
        <v>2.4740157480314962E-5</v>
      </c>
      <c r="J40" s="1"/>
      <c r="K40" s="1"/>
      <c r="L40" s="1"/>
      <c r="M40" s="1"/>
      <c r="N40" s="1"/>
      <c r="O40" s="1"/>
      <c r="P40" s="1"/>
      <c r="Q40" s="1"/>
      <c r="R40" s="17"/>
      <c r="S40" s="1"/>
      <c r="T40" s="1"/>
      <c r="U40" s="1"/>
      <c r="AD40" s="6"/>
    </row>
    <row r="41" spans="1:30" x14ac:dyDescent="0.2">
      <c r="A41" s="35">
        <v>700</v>
      </c>
      <c r="B41" s="38">
        <v>1.7300000000000002E-6</v>
      </c>
      <c r="C41" s="38">
        <v>1.5549999999999998E-7</v>
      </c>
      <c r="D41" s="38">
        <v>6.595E-7</v>
      </c>
      <c r="E41" s="3"/>
      <c r="F41" s="38">
        <f t="shared" si="0"/>
        <v>6.8110236220472446E-5</v>
      </c>
      <c r="G41" s="38">
        <f t="shared" si="0"/>
        <v>6.1220472440944881E-6</v>
      </c>
      <c r="H41" s="38">
        <f t="shared" si="0"/>
        <v>2.5964566929133861E-5</v>
      </c>
      <c r="J41" s="1"/>
      <c r="K41" s="1"/>
      <c r="L41" s="1"/>
      <c r="M41" s="1"/>
      <c r="N41" s="1"/>
      <c r="O41" s="1"/>
      <c r="P41" s="1"/>
      <c r="Q41" s="1"/>
      <c r="R41" s="17"/>
      <c r="S41" s="1"/>
      <c r="T41" s="1"/>
      <c r="U41" s="1"/>
      <c r="AD41" s="6"/>
    </row>
    <row r="42" spans="1:30" x14ac:dyDescent="0.2">
      <c r="A42" s="35">
        <v>720</v>
      </c>
      <c r="B42" s="38">
        <v>1.7689999999999999E-6</v>
      </c>
      <c r="C42" s="38">
        <v>1.7010000000000002E-7</v>
      </c>
      <c r="D42" s="38">
        <v>6.7980000000000004E-7</v>
      </c>
      <c r="E42" s="3"/>
      <c r="F42" s="38">
        <f t="shared" si="0"/>
        <v>6.964566929133858E-5</v>
      </c>
      <c r="G42" s="38">
        <f t="shared" si="0"/>
        <v>6.6968503937007886E-6</v>
      </c>
      <c r="H42" s="38">
        <f t="shared" si="0"/>
        <v>2.6763779527559057E-5</v>
      </c>
      <c r="J42" s="1"/>
      <c r="K42" s="1"/>
      <c r="L42" s="1"/>
      <c r="M42" s="1"/>
      <c r="N42" s="1"/>
      <c r="O42" s="1"/>
      <c r="P42" s="1"/>
      <c r="Q42" s="1"/>
      <c r="R42" s="17"/>
      <c r="S42" s="2"/>
      <c r="T42" s="2"/>
      <c r="U42" s="2"/>
      <c r="AD42" s="6"/>
    </row>
    <row r="43" spans="1:30" x14ac:dyDescent="0.2">
      <c r="A43" s="35">
        <v>740</v>
      </c>
      <c r="B43" s="38">
        <v>1.8079999999999999E-6</v>
      </c>
      <c r="C43" s="38">
        <v>1.8370000000000001E-7</v>
      </c>
      <c r="D43" s="38">
        <v>6.9910000000000001E-7</v>
      </c>
      <c r="E43" s="3"/>
      <c r="F43" s="38">
        <f t="shared" si="0"/>
        <v>7.1181102362204726E-5</v>
      </c>
      <c r="G43" s="38">
        <f t="shared" si="0"/>
        <v>7.2322834645669305E-6</v>
      </c>
      <c r="H43" s="38">
        <f t="shared" si="0"/>
        <v>2.7523622047244098E-5</v>
      </c>
      <c r="J43" s="1"/>
      <c r="K43" s="1"/>
      <c r="L43" s="1"/>
      <c r="M43" s="1"/>
      <c r="N43" s="1"/>
      <c r="O43" s="1"/>
      <c r="P43" s="1"/>
      <c r="Q43" s="1"/>
      <c r="R43" s="17"/>
      <c r="S43" s="3"/>
      <c r="T43" s="3"/>
      <c r="U43" s="3"/>
      <c r="AD43" s="6"/>
    </row>
    <row r="44" spans="1:30" x14ac:dyDescent="0.2">
      <c r="A44" s="35">
        <v>760</v>
      </c>
      <c r="B44" s="38">
        <v>1.8370000000000002E-6</v>
      </c>
      <c r="C44" s="38">
        <v>2.0130000000000001E-7</v>
      </c>
      <c r="D44" s="38">
        <v>7.1429999999999998E-7</v>
      </c>
      <c r="E44" s="3"/>
      <c r="F44" s="38">
        <f t="shared" si="0"/>
        <v>7.23228346456693E-5</v>
      </c>
      <c r="G44" s="38">
        <f t="shared" si="0"/>
        <v>7.9251968503937019E-6</v>
      </c>
      <c r="H44" s="38">
        <f t="shared" si="0"/>
        <v>2.8122047244094487E-5</v>
      </c>
      <c r="J44" s="1"/>
      <c r="K44" s="1"/>
      <c r="L44" s="1"/>
      <c r="M44" s="1"/>
      <c r="N44" s="1"/>
      <c r="O44" s="1"/>
      <c r="P44" s="1"/>
      <c r="Q44" s="1"/>
      <c r="R44" s="17"/>
      <c r="S44" s="1"/>
      <c r="T44" s="1"/>
      <c r="U44" s="1"/>
      <c r="AD44" s="6"/>
    </row>
    <row r="45" spans="1:30" x14ac:dyDescent="0.2">
      <c r="A45" s="35">
        <v>780</v>
      </c>
      <c r="B45" s="38">
        <v>1.8559999999999999E-6</v>
      </c>
      <c r="C45" s="38">
        <v>2.209E-7</v>
      </c>
      <c r="D45" s="38">
        <v>7.2550000000000008E-7</v>
      </c>
      <c r="E45" s="3"/>
      <c r="F45" s="38">
        <f t="shared" si="0"/>
        <v>7.3070866141732274E-5</v>
      </c>
      <c r="G45" s="38">
        <f t="shared" si="0"/>
        <v>8.6968503937007881E-6</v>
      </c>
      <c r="H45" s="38">
        <f t="shared" si="0"/>
        <v>2.8562992125984257E-5</v>
      </c>
      <c r="J45" s="1"/>
      <c r="K45" s="1"/>
      <c r="L45" s="1"/>
      <c r="M45" s="1"/>
      <c r="N45" s="1"/>
      <c r="O45" s="1"/>
      <c r="P45" s="1"/>
      <c r="Q45" s="1"/>
      <c r="R45" s="17"/>
      <c r="S45" s="1"/>
      <c r="T45" s="1"/>
      <c r="U45" s="1"/>
      <c r="AD45" s="6"/>
    </row>
    <row r="46" spans="1:30" x14ac:dyDescent="0.2">
      <c r="A46" s="35">
        <v>800</v>
      </c>
      <c r="B46" s="38">
        <v>1.8649999999999999E-6</v>
      </c>
      <c r="C46" s="38">
        <v>2.4260000000000002E-7</v>
      </c>
      <c r="D46" s="38">
        <v>7.3470000000000003E-7</v>
      </c>
      <c r="E46" s="3"/>
      <c r="F46" s="38">
        <f t="shared" si="0"/>
        <v>7.3425196850393702E-5</v>
      </c>
      <c r="G46" s="38">
        <f t="shared" si="0"/>
        <v>9.5511811023622061E-6</v>
      </c>
      <c r="H46" s="38">
        <f t="shared" si="0"/>
        <v>2.8925196850393704E-5</v>
      </c>
      <c r="J46" s="1"/>
      <c r="K46" s="1"/>
      <c r="L46" s="1"/>
      <c r="M46" s="1"/>
      <c r="N46" s="1"/>
      <c r="O46" s="1"/>
      <c r="P46" s="1"/>
      <c r="Q46" s="1"/>
      <c r="R46" s="17"/>
      <c r="S46" s="1"/>
      <c r="T46" s="1"/>
      <c r="U46" s="1"/>
      <c r="AD46" s="5"/>
    </row>
    <row r="47" spans="1:30" x14ac:dyDescent="0.2">
      <c r="A47" s="35">
        <v>820</v>
      </c>
      <c r="B47" s="38">
        <v>1.8640000000000001E-6</v>
      </c>
      <c r="C47" s="38">
        <v>2.663E-7</v>
      </c>
      <c r="D47" s="38">
        <v>7.4389999999999998E-7</v>
      </c>
      <c r="E47" s="3"/>
      <c r="F47" s="38">
        <f t="shared" si="0"/>
        <v>7.3385826771653543E-5</v>
      </c>
      <c r="G47" s="38">
        <f t="shared" si="0"/>
        <v>1.0484251968503938E-5</v>
      </c>
      <c r="H47" s="38">
        <f t="shared" si="0"/>
        <v>2.9287401574803151E-5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D47" s="6"/>
    </row>
    <row r="48" spans="1:30" x14ac:dyDescent="0.2">
      <c r="A48" s="35">
        <v>840</v>
      </c>
      <c r="B48" s="38">
        <v>1.8640000000000001E-6</v>
      </c>
      <c r="C48" s="38">
        <v>2.91E-7</v>
      </c>
      <c r="D48" s="38">
        <v>7.5099999999999999E-7</v>
      </c>
      <c r="E48" s="3"/>
      <c r="F48" s="38">
        <f t="shared" si="0"/>
        <v>7.3385826771653543E-5</v>
      </c>
      <c r="G48" s="38">
        <f t="shared" si="0"/>
        <v>1.1456692913385827E-5</v>
      </c>
      <c r="H48" s="38">
        <f t="shared" si="0"/>
        <v>2.9566929133858273E-5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D48" s="3"/>
    </row>
    <row r="49" spans="1:30" x14ac:dyDescent="0.2">
      <c r="A49" s="35">
        <v>860</v>
      </c>
      <c r="B49" s="38">
        <v>1.863E-6</v>
      </c>
      <c r="C49" s="38">
        <v>3.178E-7</v>
      </c>
      <c r="D49" s="38">
        <v>7.5909999999999996E-7</v>
      </c>
      <c r="E49" s="3"/>
      <c r="F49" s="38">
        <f t="shared" si="0"/>
        <v>7.3346456692913398E-5</v>
      </c>
      <c r="G49" s="38">
        <f t="shared" si="0"/>
        <v>1.2511811023622049E-5</v>
      </c>
      <c r="H49" s="38">
        <f t="shared" si="0"/>
        <v>2.9885826771653543E-5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D49" s="3"/>
    </row>
    <row r="50" spans="1:30" x14ac:dyDescent="0.2">
      <c r="A50" s="35">
        <v>880</v>
      </c>
      <c r="B50" s="38">
        <v>1.8519999999999998E-6</v>
      </c>
      <c r="C50" s="38">
        <v>3.446E-7</v>
      </c>
      <c r="D50" s="38">
        <v>7.681999999999999E-7</v>
      </c>
      <c r="E50" s="3"/>
      <c r="F50" s="38">
        <f t="shared" si="0"/>
        <v>7.2913385826771639E-5</v>
      </c>
      <c r="G50" s="38">
        <f t="shared" si="0"/>
        <v>1.356692913385827E-5</v>
      </c>
      <c r="H50" s="38">
        <f t="shared" si="0"/>
        <v>3.0244094488188975E-5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D50" s="3"/>
    </row>
    <row r="51" spans="1:30" x14ac:dyDescent="0.2">
      <c r="A51" s="35">
        <v>900</v>
      </c>
      <c r="B51" s="38">
        <v>1.8419999999999999E-6</v>
      </c>
      <c r="C51" s="38">
        <v>3.7230000000000002E-7</v>
      </c>
      <c r="D51" s="38">
        <v>7.7730000000000006E-7</v>
      </c>
      <c r="E51" s="3"/>
      <c r="F51" s="38">
        <f t="shared" si="0"/>
        <v>7.251968503937008E-5</v>
      </c>
      <c r="G51" s="38">
        <f t="shared" si="0"/>
        <v>1.4657480314960631E-5</v>
      </c>
      <c r="H51" s="38">
        <f t="shared" si="0"/>
        <v>3.0602362204724414E-5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D51" s="4"/>
    </row>
    <row r="52" spans="1:30" x14ac:dyDescent="0.2">
      <c r="A52" s="35">
        <v>920</v>
      </c>
      <c r="B52" s="38">
        <v>1.8220000000000001E-6</v>
      </c>
      <c r="C52" s="38">
        <v>3.9900000000000001E-7</v>
      </c>
      <c r="D52" s="38">
        <v>7.8749999999999998E-7</v>
      </c>
      <c r="E52" s="3"/>
      <c r="F52" s="38">
        <f t="shared" si="0"/>
        <v>7.1732283464566934E-5</v>
      </c>
      <c r="G52" s="38">
        <f t="shared" si="0"/>
        <v>1.5708661417322834E-5</v>
      </c>
      <c r="H52" s="38">
        <f t="shared" si="0"/>
        <v>3.1003937007874016E-5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D52" s="4"/>
    </row>
    <row r="53" spans="1:30" x14ac:dyDescent="0.2">
      <c r="A53" s="35">
        <v>940</v>
      </c>
      <c r="B53" s="38">
        <v>1.801E-6</v>
      </c>
      <c r="C53" s="38">
        <v>4.2470000000000004E-7</v>
      </c>
      <c r="D53" s="38">
        <v>7.9869999999999997E-7</v>
      </c>
      <c r="E53" s="3"/>
      <c r="F53" s="38">
        <f t="shared" si="0"/>
        <v>7.0905511811023629E-5</v>
      </c>
      <c r="G53" s="38">
        <f t="shared" si="0"/>
        <v>1.6720472440944885E-5</v>
      </c>
      <c r="H53" s="38">
        <f t="shared" si="0"/>
        <v>3.1444881889763776E-5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  <c r="AD53" s="4"/>
    </row>
    <row r="54" spans="1:30" x14ac:dyDescent="0.2">
      <c r="A54" s="35">
        <v>960</v>
      </c>
      <c r="B54" s="38">
        <v>1.77E-6</v>
      </c>
      <c r="C54" s="38">
        <v>4.5040000000000001E-7</v>
      </c>
      <c r="D54" s="38">
        <v>8.1110000000000006E-7</v>
      </c>
      <c r="E54" s="3"/>
      <c r="F54" s="38">
        <f t="shared" si="0"/>
        <v>6.9685039370078752E-5</v>
      </c>
      <c r="G54" s="38">
        <f t="shared" si="0"/>
        <v>1.7732283464566929E-5</v>
      </c>
      <c r="H54" s="38">
        <f t="shared" si="0"/>
        <v>3.1933070866141738E-5</v>
      </c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AD54" s="4"/>
    </row>
    <row r="55" spans="1:30" x14ac:dyDescent="0.2">
      <c r="A55" s="8">
        <v>980</v>
      </c>
      <c r="B55" s="38">
        <v>1.73E-6</v>
      </c>
      <c r="C55" s="38">
        <v>4.7300000000000001E-7</v>
      </c>
      <c r="D55" s="38">
        <v>8.245E-7</v>
      </c>
      <c r="E55" s="3"/>
      <c r="F55" s="38">
        <f t="shared" si="0"/>
        <v>6.8110236220472446E-5</v>
      </c>
      <c r="G55" s="38">
        <f t="shared" si="0"/>
        <v>1.862204724409449E-5</v>
      </c>
      <c r="H55" s="38">
        <f t="shared" si="0"/>
        <v>3.2460629921259845E-5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D55" s="4"/>
    </row>
    <row r="56" spans="1:30" x14ac:dyDescent="0.2">
      <c r="A56" s="8">
        <v>1000</v>
      </c>
      <c r="B56" s="38">
        <v>1.6990000000000002E-6</v>
      </c>
      <c r="C56" s="38">
        <v>4.9250000000000005E-7</v>
      </c>
      <c r="D56" s="38">
        <v>8.3910000000000004E-7</v>
      </c>
      <c r="E56" s="3"/>
      <c r="F56" s="38">
        <f t="shared" si="0"/>
        <v>6.6889763779527569E-5</v>
      </c>
      <c r="G56" s="38">
        <f t="shared" si="0"/>
        <v>1.9389763779527563E-5</v>
      </c>
      <c r="H56" s="38">
        <f t="shared" si="0"/>
        <v>3.3035433070866147E-5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D56" s="4"/>
    </row>
    <row r="57" spans="1:30" x14ac:dyDescent="0.2">
      <c r="A57" s="8">
        <v>1020</v>
      </c>
      <c r="B57" s="38">
        <v>1.6479999999999999E-6</v>
      </c>
      <c r="C57" s="38">
        <v>5.0999999999999999E-7</v>
      </c>
      <c r="D57" s="38">
        <v>8.5290000000000002E-7</v>
      </c>
      <c r="E57" s="3"/>
      <c r="F57" s="38">
        <f t="shared" si="0"/>
        <v>6.4881889763779532E-5</v>
      </c>
      <c r="G57" s="38">
        <f t="shared" si="0"/>
        <v>2.0078740157480319E-5</v>
      </c>
      <c r="H57" s="38">
        <f t="shared" si="0"/>
        <v>3.3578740157480318E-5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D57" s="4"/>
    </row>
    <row r="58" spans="1:30" x14ac:dyDescent="0.2">
      <c r="A58" s="8">
        <v>1040</v>
      </c>
      <c r="B58" s="38">
        <v>1.607E-6</v>
      </c>
      <c r="C58" s="38">
        <v>5.2530000000000008E-7</v>
      </c>
      <c r="D58" s="38">
        <v>8.6899999999999996E-7</v>
      </c>
      <c r="E58" s="3"/>
      <c r="F58" s="38">
        <f t="shared" si="0"/>
        <v>6.3267716535433068E-5</v>
      </c>
      <c r="G58" s="38">
        <f t="shared" si="0"/>
        <v>2.0681102362204725E-5</v>
      </c>
      <c r="H58" s="38">
        <f t="shared" si="0"/>
        <v>3.4212598425196851E-5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D58" s="4"/>
    </row>
    <row r="59" spans="1:30" x14ac:dyDescent="0.2">
      <c r="A59" s="8">
        <v>1060</v>
      </c>
      <c r="B59" s="38">
        <v>1.5549999999999999E-6</v>
      </c>
      <c r="C59" s="39">
        <v>5.3760000000000005E-7</v>
      </c>
      <c r="D59" s="38">
        <v>8.8549999999999993E-7</v>
      </c>
      <c r="E59" s="3"/>
      <c r="F59" s="38">
        <f t="shared" si="0"/>
        <v>6.1220472440944886E-5</v>
      </c>
      <c r="G59" s="38">
        <f t="shared" si="0"/>
        <v>2.1165354330708666E-5</v>
      </c>
      <c r="H59" s="38">
        <f t="shared" si="0"/>
        <v>3.4862204724409448E-5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D59" s="4"/>
    </row>
    <row r="60" spans="1:30" x14ac:dyDescent="0.2">
      <c r="A60" s="8">
        <v>1080</v>
      </c>
      <c r="B60" s="38">
        <v>1.5039999999999999E-6</v>
      </c>
      <c r="C60" s="38">
        <v>5.4690000000000001E-7</v>
      </c>
      <c r="D60" s="38">
        <v>9.0259999999999994E-7</v>
      </c>
      <c r="E60" s="3"/>
      <c r="F60" s="38">
        <f t="shared" si="0"/>
        <v>5.9212598425196849E-5</v>
      </c>
      <c r="G60" s="38">
        <f t="shared" si="0"/>
        <v>2.1531496062992127E-5</v>
      </c>
      <c r="H60" s="38">
        <f t="shared" si="0"/>
        <v>3.553543307086614E-5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D60" s="3"/>
    </row>
    <row r="61" spans="1:30" x14ac:dyDescent="0.2">
      <c r="A61" s="8">
        <v>1100</v>
      </c>
      <c r="B61" s="38">
        <v>1.452E-6</v>
      </c>
      <c r="C61" s="38">
        <v>5.5410000000000002E-7</v>
      </c>
      <c r="D61" s="38">
        <v>9.2030000000000011E-7</v>
      </c>
      <c r="E61" s="3"/>
      <c r="F61" s="38">
        <f t="shared" si="0"/>
        <v>5.716535433070866E-5</v>
      </c>
      <c r="G61" s="38">
        <f t="shared" si="0"/>
        <v>2.181496062992126E-5</v>
      </c>
      <c r="H61" s="38">
        <f t="shared" si="0"/>
        <v>3.6232283464566932E-5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D61" s="3"/>
    </row>
    <row r="62" spans="1:30" x14ac:dyDescent="0.2">
      <c r="A62" s="8">
        <v>1120</v>
      </c>
      <c r="B62" s="38">
        <v>1.4000000000000001E-6</v>
      </c>
      <c r="C62" s="38">
        <v>5.5930000000000009E-7</v>
      </c>
      <c r="D62" s="38">
        <v>9.386E-7</v>
      </c>
      <c r="E62" s="3"/>
      <c r="F62" s="38">
        <f t="shared" si="0"/>
        <v>5.5118110236220485E-5</v>
      </c>
      <c r="G62" s="38">
        <f t="shared" si="0"/>
        <v>2.2019685039370082E-5</v>
      </c>
      <c r="H62" s="38">
        <f t="shared" si="0"/>
        <v>3.6952755905511817E-5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D62" s="3"/>
    </row>
    <row r="63" spans="1:30" x14ac:dyDescent="0.2">
      <c r="A63" s="8">
        <v>1140</v>
      </c>
      <c r="B63" s="38">
        <v>1.3489999999999999E-6</v>
      </c>
      <c r="C63" s="38">
        <v>5.6250000000000001E-7</v>
      </c>
      <c r="D63" s="38">
        <v>9.5840000000000001E-7</v>
      </c>
      <c r="E63" s="3"/>
      <c r="F63" s="38">
        <f t="shared" si="0"/>
        <v>5.3110236220472441E-5</v>
      </c>
      <c r="G63" s="38">
        <f t="shared" si="0"/>
        <v>2.2145669291338587E-5</v>
      </c>
      <c r="H63" s="38">
        <f t="shared" si="0"/>
        <v>3.7732283464566927E-5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D63" s="3"/>
    </row>
    <row r="64" spans="1:30" x14ac:dyDescent="0.2">
      <c r="A64" s="8">
        <v>1160</v>
      </c>
      <c r="B64" s="38">
        <v>1.297E-6</v>
      </c>
      <c r="C64" s="38">
        <v>5.6380000000000001E-7</v>
      </c>
      <c r="D64" s="38">
        <v>9.7890000000000006E-7</v>
      </c>
      <c r="E64" s="3"/>
      <c r="F64" s="38">
        <f t="shared" si="0"/>
        <v>5.1062992125984252E-5</v>
      </c>
      <c r="G64" s="38">
        <f t="shared" si="0"/>
        <v>2.2196850393700789E-5</v>
      </c>
      <c r="H64" s="38">
        <f t="shared" si="0"/>
        <v>3.8539370078740159E-5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D64" s="3"/>
    </row>
    <row r="65" spans="1:30" x14ac:dyDescent="0.2">
      <c r="A65" s="8">
        <v>1180</v>
      </c>
      <c r="B65" s="38">
        <v>1.2549999999999998E-6</v>
      </c>
      <c r="C65" s="38">
        <v>5.6430000000000004E-7</v>
      </c>
      <c r="D65" s="38">
        <v>9.9869999999999986E-7</v>
      </c>
      <c r="E65" s="3"/>
      <c r="F65" s="38">
        <f t="shared" si="0"/>
        <v>4.9409448818897636E-5</v>
      </c>
      <c r="G65" s="38">
        <f t="shared" si="0"/>
        <v>2.2216535433070869E-5</v>
      </c>
      <c r="H65" s="38">
        <f t="shared" si="0"/>
        <v>3.9318897637795276E-5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D65" s="3"/>
    </row>
    <row r="66" spans="1:30" x14ac:dyDescent="0.2">
      <c r="A66" s="8">
        <v>1200</v>
      </c>
      <c r="B66" s="38">
        <v>1.203E-6</v>
      </c>
      <c r="C66" s="38">
        <v>5.6479999999999998E-7</v>
      </c>
      <c r="D66" s="38">
        <v>1.0187000000000001E-6</v>
      </c>
      <c r="E66" s="3"/>
      <c r="F66" s="38">
        <f t="shared" si="0"/>
        <v>4.7362204724409447E-5</v>
      </c>
      <c r="G66" s="38">
        <f t="shared" si="0"/>
        <v>2.2236220472440945E-5</v>
      </c>
      <c r="H66" s="38">
        <f t="shared" si="0"/>
        <v>4.0106299212598429E-5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D66" s="3"/>
    </row>
    <row r="67" spans="1:30" x14ac:dyDescent="0.2">
      <c r="A67" s="8">
        <v>1220</v>
      </c>
      <c r="B67" s="38">
        <v>1.1620000000000001E-6</v>
      </c>
      <c r="C67" s="38">
        <v>5.6350000000000009E-7</v>
      </c>
      <c r="D67" s="38">
        <v>1.037E-6</v>
      </c>
      <c r="E67" s="3"/>
      <c r="F67" s="38">
        <f t="shared" si="0"/>
        <v>4.5748031496062997E-5</v>
      </c>
      <c r="G67" s="38">
        <f t="shared" si="0"/>
        <v>2.2185039370078746E-5</v>
      </c>
      <c r="H67" s="38">
        <f t="shared" si="0"/>
        <v>4.0826771653543308E-5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D67" s="1"/>
    </row>
    <row r="68" spans="1:30" x14ac:dyDescent="0.2">
      <c r="A68" s="8">
        <v>1240</v>
      </c>
      <c r="B68" s="38">
        <v>1.125E-6</v>
      </c>
      <c r="C68" s="38">
        <v>5.6219999999999999E-7</v>
      </c>
      <c r="D68" s="38">
        <v>1.0512E-6</v>
      </c>
      <c r="E68" s="3"/>
      <c r="F68" s="38">
        <f t="shared" si="0"/>
        <v>4.4291338582677174E-5</v>
      </c>
      <c r="G68" s="38">
        <f t="shared" si="0"/>
        <v>2.2133858267716537E-5</v>
      </c>
      <c r="H68" s="38">
        <f t="shared" si="0"/>
        <v>4.1385826771653544E-5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D68" s="1"/>
    </row>
    <row r="69" spans="1:30" x14ac:dyDescent="0.2">
      <c r="A69" s="8">
        <v>1260</v>
      </c>
      <c r="B69" s="38">
        <v>1.0869999999999999E-6</v>
      </c>
      <c r="C69" s="38">
        <v>5.6000000000000004E-7</v>
      </c>
      <c r="D69" s="38">
        <v>1.0612999999999999E-6</v>
      </c>
      <c r="E69" s="3"/>
      <c r="F69" s="38">
        <f t="shared" si="0"/>
        <v>4.2795275590551179E-5</v>
      </c>
      <c r="G69" s="38">
        <f t="shared" si="0"/>
        <v>2.2047244094488194E-5</v>
      </c>
      <c r="H69" s="38">
        <f t="shared" si="0"/>
        <v>4.1783464566929132E-5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D69" s="1"/>
    </row>
    <row r="70" spans="1:30" x14ac:dyDescent="0.2">
      <c r="A70" s="8">
        <v>1280</v>
      </c>
      <c r="B70" s="38">
        <v>1.051E-6</v>
      </c>
      <c r="C70" s="38">
        <v>5.5759999999999996E-7</v>
      </c>
      <c r="D70" s="38">
        <v>1.0618999999999999E-6</v>
      </c>
      <c r="E70" s="3"/>
      <c r="F70" s="38">
        <f t="shared" si="0"/>
        <v>4.1377952755905515E-5</v>
      </c>
      <c r="G70" s="38">
        <f t="shared" si="0"/>
        <v>2.1952755905511812E-5</v>
      </c>
      <c r="H70" s="38">
        <f t="shared" si="0"/>
        <v>4.1807086614173226E-5</v>
      </c>
      <c r="J70" s="1"/>
      <c r="K70" s="1"/>
      <c r="L70" s="5"/>
      <c r="M70" s="1"/>
      <c r="N70" s="1"/>
      <c r="O70" s="1"/>
      <c r="P70" s="1"/>
      <c r="Q70" s="1"/>
      <c r="R70" s="17"/>
      <c r="S70" s="1"/>
      <c r="T70" s="1"/>
      <c r="U70" s="1"/>
      <c r="AD70" s="1"/>
    </row>
    <row r="71" spans="1:30" x14ac:dyDescent="0.2">
      <c r="A71" s="8">
        <v>1300</v>
      </c>
      <c r="B71" s="38">
        <v>1.017E-6</v>
      </c>
      <c r="C71" s="38">
        <v>5.5500000000000009E-7</v>
      </c>
      <c r="D71" s="38">
        <v>1.0601E-6</v>
      </c>
      <c r="E71" s="3"/>
      <c r="F71" s="38">
        <f t="shared" ref="F71:H126" si="1">B71*1000/25.4</f>
        <v>4.0039370078740155E-5</v>
      </c>
      <c r="G71" s="38">
        <f t="shared" si="1"/>
        <v>2.1850393700787404E-5</v>
      </c>
      <c r="H71" s="38">
        <f t="shared" si="1"/>
        <v>4.1736220472440951E-5</v>
      </c>
      <c r="J71" s="1"/>
      <c r="K71" s="3"/>
      <c r="L71" s="20"/>
      <c r="M71" s="1"/>
      <c r="N71" s="1"/>
      <c r="O71" s="1"/>
      <c r="P71" s="1"/>
      <c r="Q71" s="1"/>
      <c r="R71" s="1"/>
      <c r="S71" s="1"/>
      <c r="T71" s="1"/>
      <c r="U71" s="1"/>
      <c r="AD71" s="1"/>
    </row>
    <row r="72" spans="1:30" x14ac:dyDescent="0.2">
      <c r="A72" s="8">
        <v>1320</v>
      </c>
      <c r="B72" s="38">
        <v>9.8499999999999989E-7</v>
      </c>
      <c r="C72" s="38">
        <v>5.5209999999999997E-7</v>
      </c>
      <c r="D72" s="38">
        <v>1.0431E-6</v>
      </c>
      <c r="E72" s="3"/>
      <c r="F72" s="38">
        <f t="shared" si="1"/>
        <v>3.8779527559055119E-5</v>
      </c>
      <c r="G72" s="38">
        <f t="shared" si="1"/>
        <v>2.1736220472440943E-5</v>
      </c>
      <c r="H72" s="38">
        <f t="shared" si="1"/>
        <v>4.1066929133858267E-5</v>
      </c>
      <c r="J72" s="1"/>
      <c r="K72" s="1"/>
      <c r="L72" s="20"/>
      <c r="M72" s="1"/>
      <c r="N72" s="1"/>
      <c r="O72" s="1"/>
      <c r="P72" s="1"/>
      <c r="Q72" s="1"/>
      <c r="R72" s="1"/>
      <c r="S72" s="1"/>
      <c r="T72" s="1"/>
      <c r="U72" s="1"/>
      <c r="AD72" s="1"/>
    </row>
    <row r="73" spans="1:30" x14ac:dyDescent="0.2">
      <c r="A73" s="8">
        <v>1340</v>
      </c>
      <c r="B73" s="38">
        <v>9.5700000000000011E-7</v>
      </c>
      <c r="C73" s="38">
        <v>5.4899999999999995E-7</v>
      </c>
      <c r="D73" s="38">
        <v>1.0779999999999999E-6</v>
      </c>
      <c r="E73" s="3"/>
      <c r="F73" s="38">
        <f t="shared" si="1"/>
        <v>3.7677165354330711E-5</v>
      </c>
      <c r="G73" s="38">
        <f t="shared" si="1"/>
        <v>2.1614173228346455E-5</v>
      </c>
      <c r="H73" s="38">
        <f t="shared" si="1"/>
        <v>4.2440944881889765E-5</v>
      </c>
      <c r="J73" s="1"/>
      <c r="K73" s="1"/>
      <c r="L73" s="20"/>
      <c r="M73" s="1"/>
      <c r="N73" s="1"/>
      <c r="O73" s="1"/>
      <c r="P73" s="1"/>
      <c r="Q73" s="1"/>
      <c r="R73" s="1"/>
      <c r="S73" s="1"/>
      <c r="T73" s="1"/>
      <c r="U73" s="1"/>
      <c r="AD73" s="1"/>
    </row>
    <row r="74" spans="1:30" x14ac:dyDescent="0.2">
      <c r="A74" s="8">
        <v>1360</v>
      </c>
      <c r="B74" s="38">
        <v>9.2999999999999999E-7</v>
      </c>
      <c r="C74" s="38">
        <v>5.4509999999999998E-7</v>
      </c>
      <c r="D74" s="38">
        <v>1.1332E-6</v>
      </c>
      <c r="E74" s="3"/>
      <c r="F74" s="38">
        <f t="shared" si="1"/>
        <v>3.6614173228346454E-5</v>
      </c>
      <c r="G74" s="38">
        <f t="shared" si="1"/>
        <v>2.1460629921259842E-5</v>
      </c>
      <c r="H74" s="38">
        <f t="shared" si="1"/>
        <v>4.4614173228346459E-5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D74" s="1"/>
    </row>
    <row r="75" spans="1:30" x14ac:dyDescent="0.2">
      <c r="A75" s="8">
        <v>1380</v>
      </c>
      <c r="B75" s="38">
        <v>9.0400000000000005E-7</v>
      </c>
      <c r="C75" s="38">
        <v>5.4290000000000002E-7</v>
      </c>
      <c r="D75" s="38">
        <v>1.1866E-6</v>
      </c>
      <c r="E75" s="3"/>
      <c r="F75" s="38">
        <f t="shared" si="1"/>
        <v>3.559055118110237E-5</v>
      </c>
      <c r="G75" s="38">
        <f t="shared" si="1"/>
        <v>2.1374015748031499E-5</v>
      </c>
      <c r="H75" s="38">
        <f t="shared" si="1"/>
        <v>4.6716535433070864E-5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D75" s="1"/>
    </row>
    <row r="76" spans="1:30" x14ac:dyDescent="0.2">
      <c r="A76" s="8">
        <v>1400</v>
      </c>
      <c r="B76" s="38">
        <v>8.8099999999999991E-7</v>
      </c>
      <c r="C76" s="38">
        <v>5.4140000000000002E-7</v>
      </c>
      <c r="D76" s="38">
        <v>1.2240000000000001E-6</v>
      </c>
      <c r="E76" s="3"/>
      <c r="F76" s="38">
        <f t="shared" si="1"/>
        <v>3.4685039370078741E-5</v>
      </c>
      <c r="G76" s="38">
        <f t="shared" si="1"/>
        <v>2.1314960629921261E-5</v>
      </c>
      <c r="H76" s="38">
        <f t="shared" si="1"/>
        <v>4.8188976377952759E-5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D76" s="1"/>
    </row>
    <row r="77" spans="1:30" x14ac:dyDescent="0.2">
      <c r="A77" s="8">
        <v>1420</v>
      </c>
      <c r="B77" s="38">
        <v>8.5700000000000001E-7</v>
      </c>
      <c r="C77" s="38">
        <v>5.3949999999999998E-7</v>
      </c>
      <c r="D77" s="38">
        <v>1.2650000000000002E-6</v>
      </c>
      <c r="E77" s="3"/>
      <c r="F77" s="38">
        <f t="shared" si="1"/>
        <v>3.3740157480314961E-5</v>
      </c>
      <c r="G77" s="38">
        <f t="shared" si="1"/>
        <v>2.1240157480314958E-5</v>
      </c>
      <c r="H77" s="38">
        <f t="shared" si="1"/>
        <v>4.9803149606299216E-5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D77" s="1"/>
    </row>
    <row r="78" spans="1:30" x14ac:dyDescent="0.2">
      <c r="A78" s="8">
        <v>1440</v>
      </c>
      <c r="B78" s="38">
        <v>8.3200000000000004E-7</v>
      </c>
      <c r="C78" s="38">
        <v>5.3800000000000008E-7</v>
      </c>
      <c r="D78" s="38">
        <v>1.2980000000000001E-6</v>
      </c>
      <c r="E78" s="3"/>
      <c r="F78" s="38">
        <f t="shared" si="1"/>
        <v>3.2755905511811028E-5</v>
      </c>
      <c r="G78" s="38">
        <f t="shared" si="1"/>
        <v>2.1181102362204727E-5</v>
      </c>
      <c r="H78" s="38">
        <f t="shared" si="1"/>
        <v>5.1102362204724418E-5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D78" s="1"/>
    </row>
    <row r="79" spans="1:30" x14ac:dyDescent="0.2">
      <c r="A79" s="8">
        <v>1460</v>
      </c>
      <c r="B79" s="38">
        <v>8.0999999999999997E-7</v>
      </c>
      <c r="C79" s="38">
        <v>5.3750000000000004E-7</v>
      </c>
      <c r="D79" s="38">
        <v>1.3259999999999999E-6</v>
      </c>
      <c r="E79" s="3"/>
      <c r="F79" s="38">
        <f t="shared" si="1"/>
        <v>3.1889763779527558E-5</v>
      </c>
      <c r="G79" s="38">
        <f t="shared" si="1"/>
        <v>2.1161417322834648E-5</v>
      </c>
      <c r="H79" s="38">
        <f t="shared" si="1"/>
        <v>5.2204724409448819E-5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D79" s="1"/>
    </row>
    <row r="80" spans="1:30" x14ac:dyDescent="0.2">
      <c r="A80" s="8">
        <v>1480</v>
      </c>
      <c r="B80" s="38">
        <v>7.8699999999999994E-7</v>
      </c>
      <c r="C80" s="38">
        <v>5.3580000000000002E-7</v>
      </c>
      <c r="D80" s="38">
        <v>1.3489999999999999E-6</v>
      </c>
      <c r="E80" s="3"/>
      <c r="F80" s="38">
        <f t="shared" si="1"/>
        <v>3.0984251968503937E-5</v>
      </c>
      <c r="G80" s="38">
        <f t="shared" si="1"/>
        <v>2.1094488188976381E-5</v>
      </c>
      <c r="H80" s="38">
        <f t="shared" si="1"/>
        <v>5.3110236220472441E-5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D80" s="1"/>
    </row>
    <row r="81" spans="1:30" x14ac:dyDescent="0.2">
      <c r="A81" s="8">
        <v>1500</v>
      </c>
      <c r="B81" s="38">
        <v>7.6700000000000003E-7</v>
      </c>
      <c r="C81" s="38">
        <v>5.3480000000000005E-7</v>
      </c>
      <c r="D81" s="38">
        <v>1.359E-6</v>
      </c>
      <c r="E81" s="3"/>
      <c r="F81" s="38">
        <f t="shared" si="1"/>
        <v>3.0196850393700787E-5</v>
      </c>
      <c r="G81" s="38">
        <f t="shared" si="1"/>
        <v>2.1055118110236226E-5</v>
      </c>
      <c r="H81" s="38">
        <f t="shared" si="1"/>
        <v>5.3503937007874021E-5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</row>
    <row r="82" spans="1:30" x14ac:dyDescent="0.2">
      <c r="A82" s="8">
        <v>1520</v>
      </c>
      <c r="B82" s="38">
        <v>7.4700000000000001E-7</v>
      </c>
      <c r="C82" s="38">
        <v>5.3369999999999997E-7</v>
      </c>
      <c r="D82" s="38">
        <v>1.3790000000000001E-6</v>
      </c>
      <c r="E82" s="3"/>
      <c r="F82" s="38">
        <f t="shared" si="1"/>
        <v>2.9409448818897641E-5</v>
      </c>
      <c r="G82" s="38">
        <f t="shared" si="1"/>
        <v>2.1011811023622049E-5</v>
      </c>
      <c r="H82" s="38">
        <f t="shared" si="1"/>
        <v>5.4291338582677167E-5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D82" s="1"/>
    </row>
    <row r="83" spans="1:30" x14ac:dyDescent="0.2">
      <c r="A83" s="8">
        <v>1540</v>
      </c>
      <c r="B83" s="38">
        <v>7.2800000000000006E-7</v>
      </c>
      <c r="C83" s="38">
        <v>5.3249999999999998E-7</v>
      </c>
      <c r="D83" s="38">
        <v>1.3970000000000001E-6</v>
      </c>
      <c r="E83" s="3"/>
      <c r="F83" s="38">
        <f t="shared" si="1"/>
        <v>2.8661417322834647E-5</v>
      </c>
      <c r="G83" s="38">
        <f t="shared" si="1"/>
        <v>2.0964566929133858E-5</v>
      </c>
      <c r="H83" s="38">
        <f t="shared" si="1"/>
        <v>5.5000000000000016E-5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D83" s="1"/>
    </row>
    <row r="84" spans="1:30" x14ac:dyDescent="0.2">
      <c r="A84" s="8">
        <v>1560</v>
      </c>
      <c r="B84" s="38">
        <v>7.1100000000000005E-7</v>
      </c>
      <c r="C84" s="38">
        <v>5.3109999999999998E-7</v>
      </c>
      <c r="D84" s="38">
        <v>1.415E-6</v>
      </c>
      <c r="E84" s="3"/>
      <c r="F84" s="38">
        <f t="shared" si="1"/>
        <v>2.7992125984251971E-5</v>
      </c>
      <c r="G84" s="38">
        <f t="shared" si="1"/>
        <v>2.0909448818897638E-5</v>
      </c>
      <c r="H84" s="38">
        <f t="shared" si="1"/>
        <v>5.5708661417322837E-5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D84" s="1"/>
    </row>
    <row r="85" spans="1:30" x14ac:dyDescent="0.2">
      <c r="A85" s="8">
        <v>1580</v>
      </c>
      <c r="B85" s="38">
        <v>6.9500000000000002E-7</v>
      </c>
      <c r="C85" s="38">
        <v>5.2959999999999998E-7</v>
      </c>
      <c r="D85" s="38">
        <v>1.432E-6</v>
      </c>
      <c r="E85" s="3"/>
      <c r="F85" s="38">
        <f t="shared" si="1"/>
        <v>2.7362204724409449E-5</v>
      </c>
      <c r="G85" s="38">
        <f t="shared" si="1"/>
        <v>2.08503937007874E-5</v>
      </c>
      <c r="H85" s="38">
        <f t="shared" si="1"/>
        <v>5.6377952755905521E-5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D85" s="1"/>
    </row>
    <row r="86" spans="1:30" x14ac:dyDescent="0.2">
      <c r="A86" s="8">
        <v>1600</v>
      </c>
      <c r="B86" s="38">
        <v>6.7900000000000008E-7</v>
      </c>
      <c r="C86" s="38">
        <v>5.2900000000000004E-7</v>
      </c>
      <c r="D86" s="38">
        <v>1.4499999999999999E-6</v>
      </c>
      <c r="E86" s="3"/>
      <c r="F86" s="38">
        <f t="shared" si="1"/>
        <v>2.6732283464566934E-5</v>
      </c>
      <c r="G86" s="38">
        <f t="shared" si="1"/>
        <v>2.082677165354331E-5</v>
      </c>
      <c r="H86" s="38">
        <f t="shared" si="1"/>
        <v>5.7086614173228343E-5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D86" s="1"/>
    </row>
    <row r="87" spans="1:30" x14ac:dyDescent="0.2">
      <c r="A87" s="8">
        <v>1620</v>
      </c>
      <c r="B87" s="38">
        <v>6.6300000000000005E-7</v>
      </c>
      <c r="C87" s="38">
        <v>5.2739999999999992E-7</v>
      </c>
      <c r="D87" s="38">
        <v>1.468E-6</v>
      </c>
      <c r="E87" s="3"/>
      <c r="F87" s="38">
        <f t="shared" si="1"/>
        <v>2.6102362204724413E-5</v>
      </c>
      <c r="G87" s="38">
        <f t="shared" si="1"/>
        <v>2.0763779527559054E-5</v>
      </c>
      <c r="H87" s="38">
        <f t="shared" si="1"/>
        <v>5.7795275590551178E-5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D87" s="1"/>
    </row>
    <row r="88" spans="1:30" x14ac:dyDescent="0.2">
      <c r="A88" s="8">
        <v>1640</v>
      </c>
      <c r="B88" s="38">
        <v>6.4700000000000001E-7</v>
      </c>
      <c r="C88" s="38">
        <v>5.257E-7</v>
      </c>
      <c r="D88" s="38">
        <v>1.486E-6</v>
      </c>
      <c r="E88" s="3"/>
      <c r="F88" s="38">
        <f t="shared" si="1"/>
        <v>2.5472440944881891E-5</v>
      </c>
      <c r="G88" s="38">
        <f t="shared" si="1"/>
        <v>2.069685039370079E-5</v>
      </c>
      <c r="H88" s="38">
        <f t="shared" si="1"/>
        <v>5.8503937007874027E-5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D88" s="1"/>
    </row>
    <row r="89" spans="1:30" x14ac:dyDescent="0.2">
      <c r="A89" s="8">
        <v>1660</v>
      </c>
      <c r="B89" s="38">
        <v>6.3300000000000002E-7</v>
      </c>
      <c r="C89" s="38">
        <v>5.2489999999999994E-7</v>
      </c>
      <c r="D89" s="38">
        <v>1.5039999999999999E-6</v>
      </c>
      <c r="E89" s="3"/>
      <c r="F89" s="38">
        <f t="shared" si="1"/>
        <v>2.4921259842519687E-5</v>
      </c>
      <c r="G89" s="38">
        <f t="shared" si="1"/>
        <v>2.066535433070866E-5</v>
      </c>
      <c r="H89" s="38">
        <f t="shared" si="1"/>
        <v>5.9212598425196849E-5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D89" s="1"/>
    </row>
    <row r="90" spans="1:30" x14ac:dyDescent="0.2">
      <c r="A90" s="8">
        <v>1680</v>
      </c>
      <c r="B90" s="38">
        <v>6.1900000000000002E-7</v>
      </c>
      <c r="C90" s="38">
        <v>5.2300000000000001E-7</v>
      </c>
      <c r="D90" s="38">
        <v>1.522E-6</v>
      </c>
      <c r="E90" s="3"/>
      <c r="F90" s="38">
        <f t="shared" si="1"/>
        <v>2.437007874015748E-5</v>
      </c>
      <c r="G90" s="38">
        <f t="shared" si="1"/>
        <v>2.0590551181102364E-5</v>
      </c>
      <c r="H90" s="38">
        <f t="shared" si="1"/>
        <v>5.9921259842519684E-5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D90" s="1"/>
    </row>
    <row r="91" spans="1:30" x14ac:dyDescent="0.2">
      <c r="A91" s="8">
        <v>1700</v>
      </c>
      <c r="B91" s="38">
        <v>6.0400000000000006E-7</v>
      </c>
      <c r="C91" s="38">
        <v>5.2200000000000004E-7</v>
      </c>
      <c r="D91" s="38">
        <v>1.53E-6</v>
      </c>
      <c r="E91" s="3"/>
      <c r="F91" s="38">
        <f t="shared" si="1"/>
        <v>2.377952755905512E-5</v>
      </c>
      <c r="G91" s="38">
        <f t="shared" si="1"/>
        <v>2.0551181102362206E-5</v>
      </c>
      <c r="H91" s="38">
        <f t="shared" si="1"/>
        <v>6.0236220472440947E-5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D91" s="1"/>
    </row>
    <row r="92" spans="1:30" x14ac:dyDescent="0.2">
      <c r="A92" s="8">
        <v>1720</v>
      </c>
      <c r="B92" s="38">
        <v>5.9099999999999993E-7</v>
      </c>
      <c r="C92" s="38">
        <v>5.2010000000000001E-7</v>
      </c>
      <c r="D92" s="38">
        <v>1.5479999999999998E-6</v>
      </c>
      <c r="E92" s="3"/>
      <c r="F92" s="38">
        <f t="shared" si="1"/>
        <v>2.3267716535433071E-5</v>
      </c>
      <c r="G92" s="38">
        <f t="shared" si="1"/>
        <v>2.0476377952755906E-5</v>
      </c>
      <c r="H92" s="38">
        <f t="shared" si="1"/>
        <v>6.0944881889763782E-5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D92" s="1"/>
    </row>
    <row r="93" spans="1:30" x14ac:dyDescent="0.2">
      <c r="A93" s="8">
        <v>1740</v>
      </c>
      <c r="B93" s="38">
        <v>5.7699999999999994E-7</v>
      </c>
      <c r="C93" s="38">
        <v>5.1809999999999996E-7</v>
      </c>
      <c r="D93" s="38">
        <v>1.567E-6</v>
      </c>
      <c r="E93" s="3"/>
      <c r="F93" s="38">
        <f t="shared" si="1"/>
        <v>2.2716535433070864E-5</v>
      </c>
      <c r="G93" s="38">
        <f t="shared" si="1"/>
        <v>2.0397637795275589E-5</v>
      </c>
      <c r="H93" s="38">
        <f t="shared" si="1"/>
        <v>6.1692913385826776E-5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D93" s="1"/>
    </row>
    <row r="94" spans="1:30" x14ac:dyDescent="0.2">
      <c r="A94" s="8">
        <v>1760</v>
      </c>
      <c r="B94" s="38">
        <v>5.6599999999999996E-7</v>
      </c>
      <c r="C94" s="38">
        <v>5.1699999999999998E-7</v>
      </c>
      <c r="D94" s="38">
        <v>1.5859999999999999E-6</v>
      </c>
      <c r="E94" s="3"/>
      <c r="F94" s="38">
        <f t="shared" si="1"/>
        <v>2.2283464566929136E-5</v>
      </c>
      <c r="G94" s="38">
        <f t="shared" si="1"/>
        <v>2.0354330708661419E-5</v>
      </c>
      <c r="H94" s="38">
        <f t="shared" si="1"/>
        <v>6.2440944881889763E-5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D94" s="1"/>
    </row>
    <row r="95" spans="1:30" x14ac:dyDescent="0.2">
      <c r="A95" s="8">
        <v>1780</v>
      </c>
      <c r="B95" s="38">
        <v>5.5300000000000004E-7</v>
      </c>
      <c r="C95" s="38">
        <v>5.1500000000000005E-7</v>
      </c>
      <c r="D95" s="38">
        <v>1.604E-6</v>
      </c>
      <c r="E95" s="3"/>
      <c r="F95" s="38">
        <f t="shared" si="1"/>
        <v>2.1771653543307087E-5</v>
      </c>
      <c r="G95" s="38">
        <f t="shared" si="1"/>
        <v>2.0275590551181105E-5</v>
      </c>
      <c r="H95" s="38">
        <f t="shared" si="1"/>
        <v>6.3149606299212605E-5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D95" s="1"/>
    </row>
    <row r="96" spans="1:30" x14ac:dyDescent="0.2">
      <c r="A96" s="8">
        <v>1800</v>
      </c>
      <c r="B96" s="38">
        <v>5.4199999999999996E-7</v>
      </c>
      <c r="C96" s="38">
        <v>5.1389999999999996E-7</v>
      </c>
      <c r="D96" s="38">
        <v>1.623E-6</v>
      </c>
      <c r="E96" s="3"/>
      <c r="F96" s="38">
        <f t="shared" si="1"/>
        <v>2.1338582677165355E-5</v>
      </c>
      <c r="G96" s="38">
        <f t="shared" si="1"/>
        <v>2.0232283464566929E-5</v>
      </c>
      <c r="H96" s="38">
        <f t="shared" si="1"/>
        <v>6.3897637795275593E-5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D96" s="1"/>
    </row>
    <row r="97" spans="1:30" x14ac:dyDescent="0.2">
      <c r="A97" s="8">
        <v>1820</v>
      </c>
      <c r="B97" s="38">
        <v>5.3099999999999998E-7</v>
      </c>
      <c r="C97" s="38">
        <v>5.1190000000000002E-7</v>
      </c>
      <c r="D97" s="38">
        <v>1.6420000000000001E-6</v>
      </c>
      <c r="E97" s="3"/>
      <c r="F97" s="38">
        <f t="shared" si="1"/>
        <v>2.0905511811023623E-5</v>
      </c>
      <c r="G97" s="38">
        <f t="shared" si="1"/>
        <v>2.0153543307086615E-5</v>
      </c>
      <c r="H97" s="38">
        <f t="shared" si="1"/>
        <v>6.4645669291338594E-5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D97" s="1"/>
    </row>
    <row r="98" spans="1:30" x14ac:dyDescent="0.2">
      <c r="A98" s="8">
        <v>1840</v>
      </c>
      <c r="B98" s="38">
        <v>5.2099999999999997E-7</v>
      </c>
      <c r="C98" s="38">
        <v>5.1079999999999994E-7</v>
      </c>
      <c r="D98" s="38">
        <v>1.6509999999999999E-6</v>
      </c>
      <c r="E98" s="3"/>
      <c r="F98" s="38">
        <f t="shared" si="1"/>
        <v>2.0511811023622047E-5</v>
      </c>
      <c r="G98" s="38">
        <f t="shared" si="1"/>
        <v>2.0110236220472438E-5</v>
      </c>
      <c r="H98" s="38">
        <f t="shared" si="1"/>
        <v>6.4999999999999994E-5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D98" s="1"/>
    </row>
    <row r="99" spans="1:30" x14ac:dyDescent="0.2">
      <c r="A99" s="8">
        <v>1860</v>
      </c>
      <c r="B99" s="38">
        <v>5.1099999999999996E-7</v>
      </c>
      <c r="C99" s="38">
        <v>5.0979999999999997E-7</v>
      </c>
      <c r="D99" s="38">
        <v>1.6699999999999999E-6</v>
      </c>
      <c r="E99" s="3"/>
      <c r="F99" s="38">
        <f t="shared" si="1"/>
        <v>2.0118110236220471E-5</v>
      </c>
      <c r="G99" s="38">
        <f t="shared" si="1"/>
        <v>2.0070866141732283E-5</v>
      </c>
      <c r="H99" s="38">
        <f t="shared" si="1"/>
        <v>6.5748031496062995E-5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D99" s="1"/>
    </row>
    <row r="100" spans="1:30" x14ac:dyDescent="0.2">
      <c r="A100" s="8">
        <v>1880</v>
      </c>
      <c r="B100" s="38">
        <v>5.0200000000000002E-7</v>
      </c>
      <c r="C100" s="38">
        <v>5.087E-7</v>
      </c>
      <c r="D100" s="38">
        <v>1.689E-6</v>
      </c>
      <c r="E100" s="3"/>
      <c r="F100" s="38">
        <f t="shared" si="1"/>
        <v>1.976377952755906E-5</v>
      </c>
      <c r="G100" s="38">
        <f t="shared" si="1"/>
        <v>2.002755905511811E-5</v>
      </c>
      <c r="H100" s="38">
        <f t="shared" si="1"/>
        <v>6.6496062992125982E-5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D100" s="1"/>
    </row>
    <row r="101" spans="1:30" x14ac:dyDescent="0.2">
      <c r="A101" s="8">
        <v>1900</v>
      </c>
      <c r="B101" s="38">
        <v>4.9299999999999998E-7</v>
      </c>
      <c r="C101" s="38">
        <v>5.0770000000000003E-7</v>
      </c>
      <c r="D101" s="38">
        <v>1.708E-6</v>
      </c>
      <c r="E101" s="3"/>
      <c r="F101" s="38">
        <f t="shared" si="1"/>
        <v>1.9409448818897635E-5</v>
      </c>
      <c r="G101" s="38">
        <f t="shared" si="1"/>
        <v>1.9988188976377955E-5</v>
      </c>
      <c r="H101" s="38">
        <f t="shared" si="1"/>
        <v>6.7244094488188983E-5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D101" s="1"/>
    </row>
    <row r="102" spans="1:30" x14ac:dyDescent="0.2">
      <c r="A102" s="8">
        <v>1920</v>
      </c>
      <c r="B102" s="38">
        <v>4.8500000000000002E-7</v>
      </c>
      <c r="C102" s="38">
        <v>5.0669999999999995E-7</v>
      </c>
      <c r="D102" s="38">
        <v>1.7269999999999999E-6</v>
      </c>
      <c r="E102" s="3"/>
      <c r="F102" s="38">
        <f t="shared" si="1"/>
        <v>1.909448818897638E-5</v>
      </c>
      <c r="G102" s="38">
        <f t="shared" si="1"/>
        <v>1.9948818897637793E-5</v>
      </c>
      <c r="H102" s="38">
        <f t="shared" si="1"/>
        <v>6.799212598425197E-5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D102" s="1"/>
    </row>
    <row r="103" spans="1:30" x14ac:dyDescent="0.2">
      <c r="A103" s="8">
        <v>1940</v>
      </c>
      <c r="B103" s="38">
        <v>4.7700000000000005E-7</v>
      </c>
      <c r="C103" s="38">
        <v>5.0559999999999997E-7</v>
      </c>
      <c r="D103" s="38">
        <v>1.7460000000000001E-6</v>
      </c>
      <c r="E103" s="3"/>
      <c r="F103" s="38">
        <f t="shared" si="1"/>
        <v>1.8779527559055121E-5</v>
      </c>
      <c r="G103" s="38">
        <f t="shared" si="1"/>
        <v>1.990551181102362E-5</v>
      </c>
      <c r="H103" s="38">
        <f t="shared" si="1"/>
        <v>6.8740157480314971E-5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D103" s="1"/>
    </row>
    <row r="104" spans="1:30" x14ac:dyDescent="0.2">
      <c r="A104" s="8">
        <v>1960</v>
      </c>
      <c r="B104" s="38">
        <v>4.7000000000000005E-7</v>
      </c>
      <c r="C104" s="38">
        <v>5.0460000000000001E-7</v>
      </c>
      <c r="D104" s="38">
        <v>1.764E-6</v>
      </c>
      <c r="E104" s="3"/>
      <c r="F104" s="38">
        <f t="shared" si="1"/>
        <v>1.8503937007874017E-5</v>
      </c>
      <c r="G104" s="38">
        <f t="shared" si="1"/>
        <v>1.9866141732283468E-5</v>
      </c>
      <c r="H104" s="38">
        <f t="shared" si="1"/>
        <v>6.94488188976378E-5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D104" s="1"/>
    </row>
    <row r="105" spans="1:30" x14ac:dyDescent="0.2">
      <c r="A105" s="8">
        <v>1980</v>
      </c>
      <c r="B105" s="38">
        <v>4.6299999999999995E-7</v>
      </c>
      <c r="C105" s="38">
        <v>5.0460000000000001E-7</v>
      </c>
      <c r="D105" s="38">
        <v>1.773E-6</v>
      </c>
      <c r="E105" s="3"/>
      <c r="F105" s="38">
        <f t="shared" si="1"/>
        <v>1.822834645669291E-5</v>
      </c>
      <c r="G105" s="38">
        <f t="shared" si="1"/>
        <v>1.9866141732283468E-5</v>
      </c>
      <c r="H105" s="38">
        <f t="shared" si="1"/>
        <v>6.9803149606299214E-5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D105" s="1"/>
    </row>
    <row r="106" spans="1:30" x14ac:dyDescent="0.2">
      <c r="A106" s="8">
        <v>2000</v>
      </c>
      <c r="B106" s="38">
        <v>4.5700000000000003E-7</v>
      </c>
      <c r="C106" s="38">
        <v>5.0360000000000004E-7</v>
      </c>
      <c r="D106" s="38">
        <v>1.7909999999999999E-6</v>
      </c>
      <c r="E106" s="3"/>
      <c r="F106" s="38">
        <f t="shared" si="1"/>
        <v>1.7992125984251971E-5</v>
      </c>
      <c r="G106" s="38">
        <f t="shared" si="1"/>
        <v>1.9826771653543309E-5</v>
      </c>
      <c r="H106" s="38">
        <f t="shared" si="1"/>
        <v>7.0511811023622043E-5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D106" s="1"/>
    </row>
    <row r="107" spans="1:30" x14ac:dyDescent="0.2">
      <c r="A107" s="8">
        <v>2020</v>
      </c>
      <c r="B107" s="38">
        <v>4.51E-7</v>
      </c>
      <c r="C107" s="38">
        <v>5.0249999999999995E-7</v>
      </c>
      <c r="D107" s="38">
        <v>1.81E-6</v>
      </c>
      <c r="E107" s="3"/>
      <c r="F107" s="38">
        <f t="shared" si="1"/>
        <v>1.7755905511811026E-5</v>
      </c>
      <c r="G107" s="38">
        <f t="shared" si="1"/>
        <v>1.9783464566929132E-5</v>
      </c>
      <c r="H107" s="38">
        <f t="shared" si="1"/>
        <v>7.1259842519685044E-5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D107" s="1"/>
    </row>
    <row r="108" spans="1:30" x14ac:dyDescent="0.2">
      <c r="A108" s="8">
        <v>2040</v>
      </c>
      <c r="B108" s="38">
        <v>4.4499999999999997E-7</v>
      </c>
      <c r="C108" s="38">
        <v>5.0249999999999995E-7</v>
      </c>
      <c r="D108" s="38">
        <v>1.8280000000000001E-6</v>
      </c>
      <c r="E108" s="3"/>
      <c r="F108" s="38">
        <f t="shared" si="1"/>
        <v>1.7519685039370078E-5</v>
      </c>
      <c r="G108" s="38">
        <f t="shared" si="1"/>
        <v>1.9783464566929132E-5</v>
      </c>
      <c r="H108" s="38">
        <f t="shared" si="1"/>
        <v>7.1968503937007886E-5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D108" s="1"/>
    </row>
    <row r="109" spans="1:30" x14ac:dyDescent="0.2">
      <c r="A109" s="8">
        <v>2060</v>
      </c>
      <c r="B109" s="38">
        <v>4.3999999999999997E-7</v>
      </c>
      <c r="C109" s="38">
        <v>5.0139999999999998E-7</v>
      </c>
      <c r="D109" s="38">
        <v>1.846E-6</v>
      </c>
      <c r="E109" s="3"/>
      <c r="F109" s="38">
        <f t="shared" si="1"/>
        <v>1.7322834645669291E-5</v>
      </c>
      <c r="G109" s="38">
        <f t="shared" si="1"/>
        <v>1.9740157480314959E-5</v>
      </c>
      <c r="H109" s="38">
        <f t="shared" si="1"/>
        <v>7.2677165354330714E-5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D109" s="1"/>
    </row>
    <row r="110" spans="1:30" x14ac:dyDescent="0.2">
      <c r="A110" s="8">
        <v>2080</v>
      </c>
      <c r="B110" s="38">
        <v>4.3500000000000002E-7</v>
      </c>
      <c r="C110" s="38">
        <v>5.0139999999999998E-7</v>
      </c>
      <c r="D110" s="38">
        <v>1.8650000000000001E-6</v>
      </c>
      <c r="E110" s="3"/>
      <c r="F110" s="38">
        <f t="shared" si="1"/>
        <v>1.7125984251968505E-5</v>
      </c>
      <c r="G110" s="38">
        <f t="shared" si="1"/>
        <v>1.9740157480314959E-5</v>
      </c>
      <c r="H110" s="38">
        <f t="shared" si="1"/>
        <v>7.3425196850393715E-5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D110" s="1"/>
    </row>
    <row r="111" spans="1:30" x14ac:dyDescent="0.2">
      <c r="A111" s="8">
        <v>2100</v>
      </c>
      <c r="B111" s="38">
        <v>4.3099999999999998E-7</v>
      </c>
      <c r="C111" s="38">
        <v>5.0139999999999998E-7</v>
      </c>
      <c r="D111" s="38">
        <v>1.883E-6</v>
      </c>
      <c r="E111" s="3"/>
      <c r="F111" s="38">
        <f t="shared" si="1"/>
        <v>1.6968503937007874E-5</v>
      </c>
      <c r="G111" s="38">
        <f t="shared" si="1"/>
        <v>1.9740157480314959E-5</v>
      </c>
      <c r="H111" s="38">
        <f t="shared" si="1"/>
        <v>7.413385826771653E-5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D111" s="1"/>
    </row>
    <row r="112" spans="1:30" x14ac:dyDescent="0.2">
      <c r="A112" s="8">
        <v>2120</v>
      </c>
      <c r="B112" s="38">
        <v>4.2600000000000003E-7</v>
      </c>
      <c r="C112" s="38">
        <v>5.003E-7</v>
      </c>
      <c r="D112" s="38">
        <v>1.9009999999999999E-6</v>
      </c>
      <c r="E112" s="3"/>
      <c r="F112" s="38">
        <f t="shared" si="1"/>
        <v>1.6771653543307091E-5</v>
      </c>
      <c r="G112" s="38">
        <f t="shared" si="1"/>
        <v>1.9696850393700786E-5</v>
      </c>
      <c r="H112" s="38">
        <f t="shared" si="1"/>
        <v>7.4842519685039372E-5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D112" s="1"/>
    </row>
    <row r="113" spans="1:30" x14ac:dyDescent="0.2">
      <c r="A113" s="8">
        <v>2140</v>
      </c>
      <c r="B113" s="38">
        <v>4.2200000000000005E-7</v>
      </c>
      <c r="C113" s="38">
        <v>5.0019999999999999E-7</v>
      </c>
      <c r="D113" s="38">
        <v>1.9189999999999998E-6</v>
      </c>
      <c r="E113" s="3"/>
      <c r="F113" s="38">
        <f t="shared" si="1"/>
        <v>1.6614173228346459E-5</v>
      </c>
      <c r="G113" s="38">
        <f t="shared" si="1"/>
        <v>1.9692913385826775E-5</v>
      </c>
      <c r="H113" s="38">
        <f t="shared" si="1"/>
        <v>7.5551181102362201E-5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D113" s="1"/>
    </row>
    <row r="114" spans="1:30" x14ac:dyDescent="0.2">
      <c r="A114" s="8">
        <v>2160</v>
      </c>
      <c r="B114" s="38">
        <v>4.1799999999999996E-7</v>
      </c>
      <c r="C114" s="38">
        <v>5.0019999999999999E-7</v>
      </c>
      <c r="D114" s="38">
        <v>1.9480000000000002E-6</v>
      </c>
      <c r="E114" s="3"/>
      <c r="F114" s="38">
        <f t="shared" si="1"/>
        <v>1.6456692913385828E-5</v>
      </c>
      <c r="G114" s="38">
        <f t="shared" si="1"/>
        <v>1.9692913385826775E-5</v>
      </c>
      <c r="H114" s="38">
        <f t="shared" si="1"/>
        <v>7.6692913385826788E-5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D114" s="1"/>
    </row>
    <row r="115" spans="1:30" x14ac:dyDescent="0.2">
      <c r="A115" s="8">
        <v>2180</v>
      </c>
      <c r="B115" s="38">
        <v>4.1300000000000001E-7</v>
      </c>
      <c r="C115" s="38">
        <v>4.9910000000000002E-7</v>
      </c>
      <c r="D115" s="38">
        <v>1.9659999999999999E-6</v>
      </c>
      <c r="E115" s="3"/>
      <c r="F115" s="38">
        <f t="shared" si="1"/>
        <v>1.6259842519685042E-5</v>
      </c>
      <c r="G115" s="38">
        <f t="shared" si="1"/>
        <v>1.9649606299212602E-5</v>
      </c>
      <c r="H115" s="38">
        <f t="shared" si="1"/>
        <v>7.7401574803149603E-5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D115" s="1"/>
    </row>
    <row r="116" spans="1:30" x14ac:dyDescent="0.2">
      <c r="A116" s="8">
        <v>2200</v>
      </c>
      <c r="B116" s="38">
        <v>4.0900000000000002E-7</v>
      </c>
      <c r="C116" s="38">
        <v>4.9900000000000001E-7</v>
      </c>
      <c r="D116" s="38">
        <v>1.9850000000000001E-6</v>
      </c>
      <c r="E116" s="3"/>
      <c r="F116" s="38">
        <f t="shared" si="1"/>
        <v>1.610236220472441E-5</v>
      </c>
      <c r="G116" s="38">
        <f t="shared" si="1"/>
        <v>1.9645669291338584E-5</v>
      </c>
      <c r="H116" s="38">
        <f t="shared" si="1"/>
        <v>7.8149606299212618E-5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D116" s="1"/>
    </row>
    <row r="117" spans="1:30" x14ac:dyDescent="0.2">
      <c r="A117" s="8">
        <v>2220</v>
      </c>
      <c r="B117" s="38">
        <v>4.0600000000000001E-7</v>
      </c>
      <c r="C117" s="38">
        <v>4.9800000000000004E-7</v>
      </c>
      <c r="D117" s="38">
        <v>2.013E-6</v>
      </c>
      <c r="E117" s="3"/>
      <c r="F117" s="38">
        <f t="shared" si="1"/>
        <v>1.5984251968503938E-5</v>
      </c>
      <c r="G117" s="38">
        <f t="shared" si="1"/>
        <v>1.9606299212598429E-5</v>
      </c>
      <c r="H117" s="38">
        <f t="shared" si="1"/>
        <v>7.9251968503937019E-5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D117" s="1"/>
    </row>
    <row r="118" spans="1:30" x14ac:dyDescent="0.2">
      <c r="A118" s="8">
        <v>2240</v>
      </c>
      <c r="B118" s="38">
        <v>4.0200000000000003E-7</v>
      </c>
      <c r="C118" s="38">
        <v>4.9790000000000003E-7</v>
      </c>
      <c r="D118" s="38">
        <v>2.0319999999999998E-6</v>
      </c>
      <c r="E118" s="3"/>
      <c r="F118" s="38">
        <f t="shared" si="1"/>
        <v>1.582677165354331E-5</v>
      </c>
      <c r="G118" s="38">
        <f t="shared" si="1"/>
        <v>1.9602362204724411E-5</v>
      </c>
      <c r="H118" s="38">
        <f t="shared" si="1"/>
        <v>8.0000000000000007E-5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D118" s="1"/>
    </row>
    <row r="119" spans="1:30" x14ac:dyDescent="0.2">
      <c r="A119" s="8">
        <v>2260</v>
      </c>
      <c r="B119" s="38">
        <v>3.9699999999999997E-7</v>
      </c>
      <c r="C119" s="38">
        <v>4.9679999999999995E-7</v>
      </c>
      <c r="D119" s="38">
        <v>2.0609999999999998E-6</v>
      </c>
      <c r="E119" s="3"/>
      <c r="F119" s="38">
        <f t="shared" si="1"/>
        <v>1.5629921259842517E-5</v>
      </c>
      <c r="G119" s="38">
        <f t="shared" si="1"/>
        <v>1.9559055118110234E-5</v>
      </c>
      <c r="H119" s="38">
        <f t="shared" si="1"/>
        <v>8.1141732283464567E-5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D119" s="1"/>
    </row>
    <row r="120" spans="1:30" x14ac:dyDescent="0.2">
      <c r="A120" s="8">
        <v>2280</v>
      </c>
      <c r="B120" s="38">
        <v>3.9299999999999999E-7</v>
      </c>
      <c r="C120" s="38">
        <v>4.9669999999999994E-7</v>
      </c>
      <c r="D120" s="38">
        <v>2.0890000000000002E-6</v>
      </c>
      <c r="E120" s="3"/>
      <c r="F120" s="38">
        <f t="shared" si="1"/>
        <v>1.5472440944881892E-5</v>
      </c>
      <c r="G120" s="38">
        <f t="shared" si="1"/>
        <v>1.955511811023622E-5</v>
      </c>
      <c r="H120" s="38">
        <f t="shared" si="1"/>
        <v>8.2244094488188982E-5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D120" s="1"/>
    </row>
    <row r="121" spans="1:30" x14ac:dyDescent="0.2">
      <c r="A121" s="8">
        <v>2300</v>
      </c>
      <c r="B121" s="38">
        <v>3.89E-7</v>
      </c>
      <c r="C121" s="38">
        <v>4.9559999999999996E-7</v>
      </c>
      <c r="D121" s="38">
        <v>2.108E-6</v>
      </c>
      <c r="E121" s="3"/>
      <c r="F121" s="38">
        <f t="shared" si="1"/>
        <v>1.5314960629921261E-5</v>
      </c>
      <c r="G121" s="38">
        <f t="shared" si="1"/>
        <v>1.951181102362205E-5</v>
      </c>
      <c r="H121" s="38">
        <f t="shared" si="1"/>
        <v>8.2992125984251969E-5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D121" s="1"/>
    </row>
    <row r="122" spans="1:30" x14ac:dyDescent="0.2">
      <c r="A122" s="8">
        <v>2320</v>
      </c>
      <c r="B122" s="38">
        <v>3.84E-7</v>
      </c>
      <c r="C122" s="38">
        <v>4.9449999999999999E-7</v>
      </c>
      <c r="D122" s="38">
        <v>2.1469999999999999E-6</v>
      </c>
      <c r="E122" s="3"/>
      <c r="F122" s="38">
        <f t="shared" si="1"/>
        <v>1.5118110236220473E-5</v>
      </c>
      <c r="G122" s="38">
        <f t="shared" si="1"/>
        <v>1.9468503937007877E-5</v>
      </c>
      <c r="H122" s="38">
        <f t="shared" si="1"/>
        <v>8.4527559055118116E-5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D122" s="1"/>
    </row>
    <row r="123" spans="1:30" x14ac:dyDescent="0.2">
      <c r="A123" s="8">
        <v>2340</v>
      </c>
      <c r="B123" s="38">
        <v>3.7899999999999999E-7</v>
      </c>
      <c r="C123" s="38">
        <v>4.9340000000000001E-7</v>
      </c>
      <c r="D123" s="38">
        <v>2.176E-6</v>
      </c>
      <c r="E123" s="3"/>
      <c r="F123" s="38">
        <f t="shared" si="1"/>
        <v>1.4921259842519686E-5</v>
      </c>
      <c r="G123" s="38">
        <f t="shared" si="1"/>
        <v>1.94251968503937E-5</v>
      </c>
      <c r="H123" s="38">
        <f t="shared" si="1"/>
        <v>8.5669291338582676E-5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D123" s="1"/>
    </row>
    <row r="124" spans="1:30" x14ac:dyDescent="0.2">
      <c r="A124" s="8">
        <v>2360</v>
      </c>
      <c r="B124" s="38">
        <v>3.7500000000000001E-7</v>
      </c>
      <c r="C124" s="38">
        <v>4.9240000000000004E-7</v>
      </c>
      <c r="D124" s="38">
        <v>2.2059999999999997E-6</v>
      </c>
      <c r="E124" s="3"/>
      <c r="F124" s="38">
        <f t="shared" si="1"/>
        <v>1.4763779527559057E-5</v>
      </c>
      <c r="G124" s="38">
        <f t="shared" si="1"/>
        <v>1.9385826771653545E-5</v>
      </c>
      <c r="H124" s="38">
        <f t="shared" si="1"/>
        <v>8.6850393700787395E-5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D124" s="1"/>
    </row>
    <row r="125" spans="1:30" x14ac:dyDescent="0.2">
      <c r="A125" s="8">
        <v>2380</v>
      </c>
      <c r="B125" s="38">
        <v>3.6899999999999998E-7</v>
      </c>
      <c r="C125" s="38">
        <v>4.9129999999999996E-7</v>
      </c>
      <c r="D125" s="38">
        <v>2.2449999999999997E-6</v>
      </c>
      <c r="E125" s="3"/>
      <c r="F125" s="38">
        <f t="shared" si="1"/>
        <v>1.452755905511811E-5</v>
      </c>
      <c r="G125" s="38">
        <f t="shared" si="1"/>
        <v>1.9342519685039368E-5</v>
      </c>
      <c r="H125" s="38">
        <f t="shared" si="1"/>
        <v>8.8385826771653528E-5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D125" s="1"/>
    </row>
    <row r="126" spans="1:30" x14ac:dyDescent="0.2">
      <c r="A126" s="8">
        <v>2400</v>
      </c>
      <c r="B126" s="38">
        <v>3.6400000000000003E-7</v>
      </c>
      <c r="C126" s="38">
        <v>4.8920000000000001E-7</v>
      </c>
      <c r="D126" s="38">
        <v>2.2840000000000001E-6</v>
      </c>
      <c r="E126" s="3"/>
      <c r="F126" s="38">
        <f t="shared" si="1"/>
        <v>1.4330708661417324E-5</v>
      </c>
      <c r="G126" s="38">
        <f t="shared" si="1"/>
        <v>1.925984251968504E-5</v>
      </c>
      <c r="H126" s="38">
        <f t="shared" si="1"/>
        <v>8.9921259842519688E-5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D126" s="1"/>
    </row>
    <row r="127" spans="1:30" x14ac:dyDescent="0.2">
      <c r="A127" s="3"/>
      <c r="B127" s="3"/>
      <c r="C127" s="3"/>
      <c r="D127" s="3"/>
      <c r="E127" s="3"/>
      <c r="F127" s="3"/>
      <c r="G127" s="3"/>
      <c r="H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D127" s="1"/>
    </row>
    <row r="128" spans="1:30" x14ac:dyDescent="0.2">
      <c r="A128" s="8" t="s">
        <v>21</v>
      </c>
      <c r="B128" s="38">
        <f>MAX(B6:B126)</f>
        <v>1.8649999999999999E-6</v>
      </c>
      <c r="C128" s="38">
        <f>MAX(C6:C126)</f>
        <v>5.6479999999999998E-7</v>
      </c>
      <c r="D128" s="38">
        <f>MAX(D6:D126)</f>
        <v>2.2840000000000001E-6</v>
      </c>
      <c r="E128" s="4"/>
      <c r="F128" s="38">
        <f>MAX(F20:F126)</f>
        <v>7.3425196850393702E-5</v>
      </c>
      <c r="G128" s="38">
        <f>MAX(G20:G126)</f>
        <v>2.2236220472440945E-5</v>
      </c>
      <c r="H128" s="38">
        <f>MAX(H20:H126)</f>
        <v>8.9921259842519688E-5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D128" s="1"/>
    </row>
    <row r="129" spans="1:30" x14ac:dyDescent="0.2">
      <c r="A129" s="8" t="s">
        <v>22</v>
      </c>
      <c r="B129" s="38">
        <f>B128*limits!$E29</f>
        <v>3.4763817107073456E-4</v>
      </c>
      <c r="C129" s="38">
        <f>C128*limits!$E29</f>
        <v>1.0527937749101923E-4</v>
      </c>
      <c r="D129" s="38">
        <f>D128*limits!$E29</f>
        <v>4.257402588340792E-4</v>
      </c>
      <c r="E129" s="4"/>
      <c r="F129" s="38">
        <f>F128*limits!$E29</f>
        <v>1.3686542168139155E-2</v>
      </c>
      <c r="G129" s="38">
        <f>G128*limits!$E29</f>
        <v>4.1448573815361898E-3</v>
      </c>
      <c r="H129" s="38">
        <f>H128*limits!$E29</f>
        <v>1.6761427513152724E-2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D129" s="1"/>
    </row>
    <row r="130" spans="1:30" x14ac:dyDescent="0.2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D130" s="1"/>
    </row>
    <row r="131" spans="1:30" x14ac:dyDescent="0.2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D131" s="1"/>
    </row>
    <row r="132" spans="1:30" x14ac:dyDescent="0.2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D132" s="1"/>
    </row>
    <row r="133" spans="1:30" x14ac:dyDescent="0.2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D133" s="1"/>
    </row>
    <row r="134" spans="1:30" x14ac:dyDescent="0.2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D134" s="1"/>
    </row>
    <row r="135" spans="1:30" x14ac:dyDescent="0.2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D135" s="1"/>
    </row>
    <row r="136" spans="1:30" x14ac:dyDescent="0.2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D136" s="1"/>
    </row>
    <row r="137" spans="1:30" x14ac:dyDescent="0.2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</row>
    <row r="138" spans="1:30" x14ac:dyDescent="0.2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1"/>
    </row>
    <row r="139" spans="1:30" x14ac:dyDescent="0.2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1"/>
    </row>
    <row r="140" spans="1:30" x14ac:dyDescent="0.2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1"/>
    </row>
  </sheetData>
  <mergeCells count="4">
    <mergeCell ref="F2:H2"/>
    <mergeCell ref="A4:A5"/>
    <mergeCell ref="B4:D4"/>
    <mergeCell ref="F4:H4"/>
  </mergeCells>
  <printOptions horizontalCentered="1"/>
  <pageMargins left="0.75" right="0.75" top="1.5" bottom="0.5" header="0.75" footer="0.75"/>
  <pageSetup orientation="portrait" r:id="rId1"/>
  <headerFooter alignWithMargins="0">
    <oddHeader>&amp;L&amp;8&amp;F&amp;R&amp;8&amp;D
By: SS
Chkd:___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A34E-D584-416D-9765-D07C5FA77705}">
  <dimension ref="A1:AD140"/>
  <sheetViews>
    <sheetView showGridLines="0" zoomScale="130" zoomScaleNormal="130" workbookViewId="0">
      <selection activeCell="B6" sqref="B6:D126"/>
    </sheetView>
  </sheetViews>
  <sheetFormatPr defaultRowHeight="12.75" x14ac:dyDescent="0.2"/>
  <cols>
    <col min="1" max="1" width="12" customWidth="1"/>
    <col min="2" max="4" width="10.42578125" bestFit="1" customWidth="1"/>
    <col min="5" max="5" width="5.5703125" customWidth="1"/>
    <col min="19" max="19" width="9.28515625" bestFit="1" customWidth="1"/>
    <col min="20" max="21" width="9.28515625" customWidth="1"/>
    <col min="22" max="22" width="12.140625" style="36" customWidth="1"/>
    <col min="23" max="25" width="9.5703125" style="36" bestFit="1" customWidth="1"/>
    <col min="26" max="26" width="9.140625" style="36"/>
    <col min="27" max="27" width="10.85546875" style="36" bestFit="1" customWidth="1"/>
    <col min="28" max="28" width="9.28515625" style="36" customWidth="1"/>
    <col min="29" max="29" width="10.85546875" style="36" bestFit="1" customWidth="1"/>
    <col min="31" max="31" width="9.28515625" bestFit="1" customWidth="1"/>
    <col min="32" max="32" width="13" bestFit="1" customWidth="1"/>
    <col min="33" max="33" width="9.28515625" bestFit="1" customWidth="1"/>
    <col min="35" max="38" width="9.28515625" bestFit="1" customWidth="1"/>
    <col min="39" max="40" width="10.5703125" bestFit="1" customWidth="1"/>
    <col min="41" max="41" width="9.28515625" bestFit="1" customWidth="1"/>
    <col min="42" max="43" width="10.5703125" bestFit="1" customWidth="1"/>
    <col min="49" max="50" width="10.5703125" bestFit="1" customWidth="1"/>
    <col min="51" max="51" width="9.28515625" bestFit="1" customWidth="1"/>
    <col min="52" max="53" width="10.5703125" bestFit="1" customWidth="1"/>
  </cols>
  <sheetData>
    <row r="1" spans="1:30" x14ac:dyDescent="0.2">
      <c r="A1" s="37" t="s">
        <v>34</v>
      </c>
      <c r="B1" s="3"/>
      <c r="C1" s="3"/>
      <c r="D1" s="3"/>
      <c r="E1" s="3"/>
      <c r="F1" s="3"/>
      <c r="G1" s="3"/>
      <c r="H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</row>
    <row r="2" spans="1:30" x14ac:dyDescent="0.2">
      <c r="A2" s="22" t="s">
        <v>40</v>
      </c>
      <c r="B2" s="1"/>
      <c r="C2" s="1"/>
      <c r="D2" s="1"/>
      <c r="E2" s="3"/>
      <c r="F2" s="40"/>
      <c r="G2" s="40"/>
      <c r="H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1"/>
    </row>
    <row r="3" spans="1:30" x14ac:dyDescent="0.2">
      <c r="A3" s="22" t="s">
        <v>39</v>
      </c>
      <c r="B3" s="36"/>
      <c r="C3" s="36"/>
      <c r="D3" s="36"/>
      <c r="E3" s="36"/>
      <c r="F3" s="36"/>
      <c r="G3" s="36"/>
      <c r="H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1"/>
    </row>
    <row r="4" spans="1:30" x14ac:dyDescent="0.2">
      <c r="A4" s="41" t="s">
        <v>35</v>
      </c>
      <c r="B4" s="43" t="s">
        <v>36</v>
      </c>
      <c r="C4" s="43"/>
      <c r="D4" s="43"/>
      <c r="E4" s="3"/>
      <c r="F4" s="43" t="s">
        <v>37</v>
      </c>
      <c r="G4" s="43"/>
      <c r="H4" s="4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1"/>
    </row>
    <row r="5" spans="1:30" x14ac:dyDescent="0.2">
      <c r="A5" s="42"/>
      <c r="B5" s="8" t="s">
        <v>0</v>
      </c>
      <c r="C5" s="8" t="s">
        <v>1</v>
      </c>
      <c r="D5" s="8" t="s">
        <v>2</v>
      </c>
      <c r="E5" s="3"/>
      <c r="F5" s="8" t="s">
        <v>0</v>
      </c>
      <c r="G5" s="8" t="s">
        <v>1</v>
      </c>
      <c r="H5" s="8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1"/>
    </row>
    <row r="6" spans="1:30" x14ac:dyDescent="0.2">
      <c r="A6" s="35">
        <v>0</v>
      </c>
      <c r="B6" s="38">
        <v>1.1619999999999999E-16</v>
      </c>
      <c r="C6" s="38">
        <v>1.5849999999999998E-17</v>
      </c>
      <c r="D6" s="38">
        <v>6.4040000000000001E-17</v>
      </c>
      <c r="E6" s="3"/>
      <c r="F6" s="38">
        <f>B6*1000/25.4</f>
        <v>4.5748031496062996E-15</v>
      </c>
      <c r="G6" s="38">
        <f>C6*1000/25.4</f>
        <v>6.2401574803149593E-16</v>
      </c>
      <c r="H6" s="38">
        <f>D6*1000/25.4</f>
        <v>2.5212598425196851E-15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1"/>
    </row>
    <row r="7" spans="1:30" x14ac:dyDescent="0.2">
      <c r="A7" s="35">
        <v>20</v>
      </c>
      <c r="B7" s="38">
        <v>8.1299999999999998E-10</v>
      </c>
      <c r="C7" s="38">
        <v>1.367E-10</v>
      </c>
      <c r="D7" s="38">
        <v>3.423E-10</v>
      </c>
      <c r="E7" s="3"/>
      <c r="F7" s="38">
        <f t="shared" ref="F7:H70" si="0">B7*1000/25.4</f>
        <v>3.2007874015748034E-8</v>
      </c>
      <c r="G7" s="38">
        <f t="shared" si="0"/>
        <v>5.3818897637795281E-9</v>
      </c>
      <c r="H7" s="38">
        <f t="shared" si="0"/>
        <v>1.3476377952755906E-8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3"/>
      <c r="AC7" s="3"/>
      <c r="AD7" s="1"/>
    </row>
    <row r="8" spans="1:30" x14ac:dyDescent="0.2">
      <c r="A8" s="35">
        <v>40</v>
      </c>
      <c r="B8" s="38">
        <v>3.3099999999999999E-9</v>
      </c>
      <c r="C8" s="38">
        <v>5.3100000000000003E-10</v>
      </c>
      <c r="D8" s="38">
        <v>1.3849999999999999E-9</v>
      </c>
      <c r="E8" s="3"/>
      <c r="F8" s="38">
        <f t="shared" si="0"/>
        <v>1.3031496062992128E-7</v>
      </c>
      <c r="G8" s="38">
        <f t="shared" si="0"/>
        <v>2.0905511811023623E-8</v>
      </c>
      <c r="H8" s="38">
        <f t="shared" si="0"/>
        <v>5.4527559055118107E-8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1"/>
    </row>
    <row r="9" spans="1:30" x14ac:dyDescent="0.2">
      <c r="A9" s="35">
        <v>60</v>
      </c>
      <c r="B9" s="38">
        <v>7.5300000000000003E-9</v>
      </c>
      <c r="C9" s="38">
        <v>1.1929999999999999E-9</v>
      </c>
      <c r="D9" s="38">
        <v>3.1640000000000002E-9</v>
      </c>
      <c r="E9" s="3"/>
      <c r="F9" s="38">
        <f t="shared" si="0"/>
        <v>2.9645669291338582E-7</v>
      </c>
      <c r="G9" s="38">
        <f t="shared" si="0"/>
        <v>4.696850393700787E-8</v>
      </c>
      <c r="H9" s="38">
        <f t="shared" si="0"/>
        <v>1.2456692913385827E-7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D9" s="3"/>
    </row>
    <row r="10" spans="1:30" x14ac:dyDescent="0.2">
      <c r="A10" s="35">
        <v>80</v>
      </c>
      <c r="B10" s="38">
        <v>1.3599999999999999E-8</v>
      </c>
      <c r="C10" s="38">
        <v>2.1900000000000001E-9</v>
      </c>
      <c r="D10" s="38">
        <v>5.6999999999999998E-9</v>
      </c>
      <c r="E10" s="3"/>
      <c r="F10" s="38">
        <f t="shared" si="0"/>
        <v>5.3543307086614168E-7</v>
      </c>
      <c r="G10" s="38">
        <f t="shared" si="0"/>
        <v>8.6220472440944897E-8</v>
      </c>
      <c r="H10" s="38">
        <f t="shared" si="0"/>
        <v>2.2440944881889763E-7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D10" s="3"/>
    </row>
    <row r="11" spans="1:30" x14ac:dyDescent="0.2">
      <c r="A11" s="35">
        <v>100</v>
      </c>
      <c r="B11" s="38">
        <v>2.18E-8</v>
      </c>
      <c r="C11" s="38">
        <v>3.4699999999999998E-9</v>
      </c>
      <c r="D11" s="38">
        <v>9.0699999999999995E-9</v>
      </c>
      <c r="E11" s="3"/>
      <c r="F11" s="38">
        <f t="shared" si="0"/>
        <v>8.5826771653543313E-7</v>
      </c>
      <c r="G11" s="38">
        <f t="shared" si="0"/>
        <v>1.3661417322834645E-7</v>
      </c>
      <c r="H11" s="38">
        <f t="shared" si="0"/>
        <v>3.5708661417322833E-7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AD11" s="3"/>
    </row>
    <row r="12" spans="1:30" x14ac:dyDescent="0.2">
      <c r="A12" s="35">
        <v>120</v>
      </c>
      <c r="B12" s="38">
        <v>3.2300000000000005E-8</v>
      </c>
      <c r="C12" s="38">
        <v>5.1300000000000003E-9</v>
      </c>
      <c r="D12" s="38">
        <v>1.3349999999999999E-8</v>
      </c>
      <c r="E12" s="3"/>
      <c r="F12" s="38">
        <f t="shared" si="0"/>
        <v>1.2716535433070869E-6</v>
      </c>
      <c r="G12" s="38">
        <f t="shared" si="0"/>
        <v>2.0196850393700788E-7</v>
      </c>
      <c r="H12" s="38">
        <f t="shared" si="0"/>
        <v>5.2559055118110234E-7</v>
      </c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AD12" s="1"/>
    </row>
    <row r="13" spans="1:30" x14ac:dyDescent="0.2">
      <c r="A13" s="35">
        <v>140</v>
      </c>
      <c r="B13" s="38">
        <v>4.5500000000000004E-8</v>
      </c>
      <c r="C13" s="38">
        <v>7.1600000000000001E-9</v>
      </c>
      <c r="D13" s="38">
        <v>1.8600000000000001E-8</v>
      </c>
      <c r="E13" s="3"/>
      <c r="F13" s="38">
        <f t="shared" si="0"/>
        <v>1.7913385826771655E-6</v>
      </c>
      <c r="G13" s="38">
        <f t="shared" si="0"/>
        <v>2.8188976377952758E-7</v>
      </c>
      <c r="H13" s="38">
        <f t="shared" si="0"/>
        <v>7.3228346456692922E-7</v>
      </c>
      <c r="J13" s="1"/>
      <c r="K13" s="1"/>
      <c r="L13" s="1"/>
      <c r="M13" s="1"/>
      <c r="N13" s="1"/>
      <c r="O13" s="1"/>
      <c r="P13" s="1"/>
      <c r="Q13" s="1"/>
      <c r="R13" s="17"/>
      <c r="S13" s="9"/>
      <c r="T13" s="9"/>
      <c r="U13" s="9"/>
      <c r="AD13" s="6"/>
    </row>
    <row r="14" spans="1:30" x14ac:dyDescent="0.2">
      <c r="A14" s="35">
        <v>160</v>
      </c>
      <c r="B14" s="38">
        <v>6.2100000000000007E-8</v>
      </c>
      <c r="C14" s="38">
        <v>9.639999999999999E-9</v>
      </c>
      <c r="D14" s="38">
        <v>2.5069999999999999E-8</v>
      </c>
      <c r="E14" s="3"/>
      <c r="F14" s="38">
        <f t="shared" si="0"/>
        <v>2.4448818897637797E-6</v>
      </c>
      <c r="G14" s="38">
        <f t="shared" si="0"/>
        <v>3.7952755905511813E-7</v>
      </c>
      <c r="H14" s="38">
        <f t="shared" si="0"/>
        <v>9.8700787401574805E-7</v>
      </c>
      <c r="J14" s="1"/>
      <c r="K14" s="1"/>
      <c r="L14" s="1"/>
      <c r="M14" s="1"/>
      <c r="N14" s="1"/>
      <c r="O14" s="1"/>
      <c r="P14" s="1"/>
      <c r="Q14" s="1"/>
      <c r="R14" s="17"/>
      <c r="S14" s="9"/>
      <c r="T14" s="9"/>
      <c r="U14" s="9"/>
      <c r="AD14" s="6"/>
    </row>
    <row r="15" spans="1:30" x14ac:dyDescent="0.2">
      <c r="A15" s="35">
        <v>180</v>
      </c>
      <c r="B15" s="38">
        <v>8.2599999999999998E-8</v>
      </c>
      <c r="C15" s="38">
        <v>1.267E-8</v>
      </c>
      <c r="D15" s="38">
        <v>3.2700000000000002E-8</v>
      </c>
      <c r="E15" s="3"/>
      <c r="F15" s="38">
        <f t="shared" si="0"/>
        <v>3.2519685039370083E-6</v>
      </c>
      <c r="G15" s="38">
        <f t="shared" si="0"/>
        <v>4.9881889763779531E-7</v>
      </c>
      <c r="H15" s="38">
        <f t="shared" si="0"/>
        <v>1.2874015748031498E-6</v>
      </c>
      <c r="J15" s="1"/>
      <c r="K15" s="1"/>
      <c r="L15" s="1"/>
      <c r="M15" s="1"/>
      <c r="N15" s="1"/>
      <c r="O15" s="1"/>
      <c r="P15" s="1"/>
      <c r="Q15" s="1"/>
      <c r="R15" s="17"/>
      <c r="S15" s="1"/>
      <c r="T15" s="1"/>
      <c r="U15" s="1"/>
      <c r="AD15" s="6"/>
    </row>
    <row r="16" spans="1:30" x14ac:dyDescent="0.2">
      <c r="A16" s="35">
        <v>200</v>
      </c>
      <c r="B16" s="38">
        <v>1.081E-7</v>
      </c>
      <c r="C16" s="38">
        <v>1.6330000000000001E-8</v>
      </c>
      <c r="D16" s="38">
        <v>4.1899999999999998E-8</v>
      </c>
      <c r="E16" s="3"/>
      <c r="F16" s="38">
        <f t="shared" si="0"/>
        <v>4.2559055118110234E-6</v>
      </c>
      <c r="G16" s="38">
        <f t="shared" si="0"/>
        <v>6.4291338582677179E-7</v>
      </c>
      <c r="H16" s="38">
        <f t="shared" si="0"/>
        <v>1.6496062992125984E-6</v>
      </c>
      <c r="J16" s="1"/>
      <c r="K16" s="1"/>
      <c r="L16" s="1"/>
      <c r="M16" s="1"/>
      <c r="N16" s="1"/>
      <c r="O16" s="1"/>
      <c r="P16" s="1"/>
      <c r="Q16" s="1"/>
      <c r="R16" s="17"/>
      <c r="S16" s="1"/>
      <c r="T16" s="1"/>
      <c r="U16" s="1"/>
      <c r="AD16" s="6"/>
    </row>
    <row r="17" spans="1:30" x14ac:dyDescent="0.2">
      <c r="A17" s="35">
        <v>220</v>
      </c>
      <c r="B17" s="38">
        <v>1.392E-7</v>
      </c>
      <c r="C17" s="38">
        <v>2.0709999999999998E-8</v>
      </c>
      <c r="D17" s="38">
        <v>5.2700000000000002E-8</v>
      </c>
      <c r="E17" s="3"/>
      <c r="F17" s="38">
        <f t="shared" si="0"/>
        <v>5.4803149606299214E-6</v>
      </c>
      <c r="G17" s="38">
        <f t="shared" si="0"/>
        <v>8.1535433070866132E-7</v>
      </c>
      <c r="H17" s="38">
        <f t="shared" si="0"/>
        <v>2.0748031496062993E-6</v>
      </c>
      <c r="J17" s="1"/>
      <c r="K17" s="1"/>
      <c r="L17" s="1"/>
      <c r="M17" s="1"/>
      <c r="N17" s="1"/>
      <c r="O17" s="1"/>
      <c r="P17" s="1"/>
      <c r="Q17" s="1"/>
      <c r="R17" s="17"/>
      <c r="S17" s="9"/>
      <c r="T17" s="9"/>
      <c r="U17" s="9"/>
      <c r="AD17" s="6"/>
    </row>
    <row r="18" spans="1:30" x14ac:dyDescent="0.2">
      <c r="A18" s="35">
        <v>240</v>
      </c>
      <c r="B18" s="38">
        <v>1.754E-7</v>
      </c>
      <c r="C18" s="38">
        <v>2.59E-8</v>
      </c>
      <c r="D18" s="38">
        <v>6.5299999999999996E-8</v>
      </c>
      <c r="E18" s="3"/>
      <c r="F18" s="38">
        <f t="shared" si="0"/>
        <v>6.9055118110236229E-6</v>
      </c>
      <c r="G18" s="38">
        <f t="shared" si="0"/>
        <v>1.0196850393700789E-6</v>
      </c>
      <c r="H18" s="38">
        <f t="shared" si="0"/>
        <v>2.5708661417322838E-6</v>
      </c>
      <c r="J18" s="1"/>
      <c r="K18" s="1"/>
      <c r="L18" s="1"/>
      <c r="M18" s="1"/>
      <c r="N18" s="1"/>
      <c r="O18" s="1"/>
      <c r="P18" s="1"/>
      <c r="Q18" s="1"/>
      <c r="R18" s="17"/>
      <c r="S18" s="1"/>
      <c r="T18" s="1"/>
      <c r="U18" s="1"/>
      <c r="AD18" s="6"/>
    </row>
    <row r="19" spans="1:30" x14ac:dyDescent="0.2">
      <c r="A19" s="35">
        <v>260</v>
      </c>
      <c r="B19" s="38">
        <v>2.1459999999999998E-7</v>
      </c>
      <c r="C19" s="38">
        <v>3.18E-8</v>
      </c>
      <c r="D19" s="38">
        <v>7.9000000000000006E-8</v>
      </c>
      <c r="E19" s="3"/>
      <c r="F19" s="38">
        <f t="shared" si="0"/>
        <v>8.4488188976377944E-6</v>
      </c>
      <c r="G19" s="38">
        <f t="shared" si="0"/>
        <v>1.251968503937008E-6</v>
      </c>
      <c r="H19" s="38">
        <f t="shared" si="0"/>
        <v>3.1102362204724415E-6</v>
      </c>
      <c r="J19" s="1"/>
      <c r="K19" s="1"/>
      <c r="L19" s="1"/>
      <c r="M19" s="1"/>
      <c r="N19" s="1"/>
      <c r="O19" s="1"/>
      <c r="P19" s="1"/>
      <c r="Q19" s="1"/>
      <c r="R19" s="17"/>
      <c r="S19" s="1"/>
      <c r="T19" s="1"/>
      <c r="U19" s="1"/>
      <c r="AD19" s="6"/>
    </row>
    <row r="20" spans="1:30" x14ac:dyDescent="0.2">
      <c r="A20" s="35">
        <v>280</v>
      </c>
      <c r="B20" s="38">
        <v>2.508E-7</v>
      </c>
      <c r="C20" s="38">
        <v>3.8199999999999998E-8</v>
      </c>
      <c r="D20" s="38">
        <v>9.2100000000000011E-8</v>
      </c>
      <c r="E20" s="3"/>
      <c r="F20" s="38">
        <f t="shared" si="0"/>
        <v>9.8740157480314958E-6</v>
      </c>
      <c r="G20" s="38">
        <f t="shared" si="0"/>
        <v>1.5039370078740158E-6</v>
      </c>
      <c r="H20" s="38">
        <f t="shared" si="0"/>
        <v>3.6259842519685049E-6</v>
      </c>
      <c r="J20" s="1"/>
      <c r="K20" s="1"/>
      <c r="L20" s="1"/>
      <c r="M20" s="1"/>
      <c r="N20" s="1"/>
      <c r="O20" s="1"/>
      <c r="P20" s="1"/>
      <c r="Q20" s="1"/>
      <c r="R20" s="17"/>
      <c r="S20" s="9"/>
      <c r="T20" s="9"/>
      <c r="U20" s="9"/>
      <c r="AD20" s="6"/>
    </row>
    <row r="21" spans="1:30" x14ac:dyDescent="0.2">
      <c r="A21" s="35">
        <v>300</v>
      </c>
      <c r="B21" s="38">
        <v>2.7500000000000001E-7</v>
      </c>
      <c r="C21" s="38">
        <v>4.5300000000000002E-8</v>
      </c>
      <c r="D21" s="38">
        <v>1.031E-7</v>
      </c>
      <c r="E21" s="3"/>
      <c r="F21" s="38">
        <f t="shared" si="0"/>
        <v>1.0826771653543309E-5</v>
      </c>
      <c r="G21" s="38">
        <f t="shared" si="0"/>
        <v>1.7834645669291341E-6</v>
      </c>
      <c r="H21" s="38">
        <f t="shared" si="0"/>
        <v>4.0590551181102361E-6</v>
      </c>
      <c r="J21" s="1"/>
      <c r="K21" s="1"/>
      <c r="L21" s="1"/>
      <c r="M21" s="1"/>
      <c r="N21" s="1"/>
      <c r="O21" s="1"/>
      <c r="P21" s="1"/>
      <c r="Q21" s="1"/>
      <c r="R21" s="17"/>
      <c r="S21" s="1"/>
      <c r="T21" s="1"/>
      <c r="U21" s="1"/>
      <c r="AD21" s="6"/>
    </row>
    <row r="22" spans="1:30" x14ac:dyDescent="0.2">
      <c r="A22" s="35">
        <v>320</v>
      </c>
      <c r="B22" s="38">
        <v>2.9499999999999998E-7</v>
      </c>
      <c r="C22" s="38">
        <v>5.2900000000000004E-8</v>
      </c>
      <c r="D22" s="38">
        <v>1.131E-7</v>
      </c>
      <c r="E22" s="3"/>
      <c r="F22" s="38">
        <f t="shared" si="0"/>
        <v>1.1614173228346456E-5</v>
      </c>
      <c r="G22" s="38">
        <f t="shared" si="0"/>
        <v>2.0826771653543309E-6</v>
      </c>
      <c r="H22" s="38">
        <f t="shared" si="0"/>
        <v>4.4527559055118116E-6</v>
      </c>
      <c r="J22" s="1"/>
      <c r="K22" s="1"/>
      <c r="L22" s="1"/>
      <c r="M22" s="1"/>
      <c r="N22" s="1"/>
      <c r="O22" s="1"/>
      <c r="P22" s="1"/>
      <c r="Q22" s="1"/>
      <c r="R22" s="17"/>
      <c r="S22" s="2"/>
      <c r="T22" s="2"/>
      <c r="U22" s="2"/>
      <c r="AD22" s="6"/>
    </row>
    <row r="23" spans="1:30" x14ac:dyDescent="0.2">
      <c r="A23" s="35">
        <v>340</v>
      </c>
      <c r="B23" s="38">
        <v>3.1600000000000002E-7</v>
      </c>
      <c r="C23" s="38">
        <v>6.13E-8</v>
      </c>
      <c r="D23" s="38">
        <v>1.23E-7</v>
      </c>
      <c r="E23" s="3"/>
      <c r="F23" s="38">
        <f t="shared" si="0"/>
        <v>1.2440944881889766E-5</v>
      </c>
      <c r="G23" s="38">
        <f t="shared" si="0"/>
        <v>2.4133858267716535E-6</v>
      </c>
      <c r="H23" s="38">
        <f t="shared" si="0"/>
        <v>4.8425196850393709E-6</v>
      </c>
      <c r="J23" s="1"/>
      <c r="K23" s="1"/>
      <c r="L23" s="1"/>
      <c r="M23" s="1"/>
      <c r="N23" s="1"/>
      <c r="O23" s="1"/>
      <c r="P23" s="1"/>
      <c r="Q23" s="1"/>
      <c r="R23" s="17"/>
      <c r="S23" s="3"/>
      <c r="T23" s="3"/>
      <c r="U23" s="3"/>
      <c r="AD23" s="6"/>
    </row>
    <row r="24" spans="1:30" x14ac:dyDescent="0.2">
      <c r="A24" s="35">
        <v>360</v>
      </c>
      <c r="B24" s="38">
        <v>3.4300000000000004E-7</v>
      </c>
      <c r="C24" s="38">
        <v>7.0399999999999995E-8</v>
      </c>
      <c r="D24" s="38">
        <v>1.3379999999999999E-7</v>
      </c>
      <c r="E24" s="3"/>
      <c r="F24" s="38">
        <f t="shared" si="0"/>
        <v>1.3503937007874017E-5</v>
      </c>
      <c r="G24" s="38">
        <f t="shared" si="0"/>
        <v>2.7716535433070865E-6</v>
      </c>
      <c r="H24" s="38">
        <f t="shared" si="0"/>
        <v>5.2677165354330709E-6</v>
      </c>
      <c r="J24" s="1"/>
      <c r="K24" s="1"/>
      <c r="L24" s="1"/>
      <c r="M24" s="1"/>
      <c r="N24" s="1"/>
      <c r="O24" s="1"/>
      <c r="P24" s="1"/>
      <c r="Q24" s="1"/>
      <c r="R24" s="17"/>
      <c r="S24" s="9"/>
      <c r="T24" s="9"/>
      <c r="U24" s="9"/>
      <c r="AD24" s="6"/>
    </row>
    <row r="25" spans="1:30" x14ac:dyDescent="0.2">
      <c r="A25" s="35">
        <v>380</v>
      </c>
      <c r="B25" s="38">
        <v>3.77E-7</v>
      </c>
      <c r="C25" s="38">
        <v>8.0000000000000002E-8</v>
      </c>
      <c r="D25" s="38">
        <v>1.4470000000000002E-7</v>
      </c>
      <c r="E25" s="3"/>
      <c r="F25" s="38">
        <f t="shared" si="0"/>
        <v>1.4842519685039371E-5</v>
      </c>
      <c r="G25" s="38">
        <f t="shared" si="0"/>
        <v>3.1496062992125989E-6</v>
      </c>
      <c r="H25" s="38">
        <f t="shared" si="0"/>
        <v>5.6968503937007889E-6</v>
      </c>
      <c r="J25" s="1"/>
      <c r="K25" s="1"/>
      <c r="L25" s="1"/>
      <c r="M25" s="1"/>
      <c r="N25" s="1"/>
      <c r="O25" s="1"/>
      <c r="P25" s="1"/>
      <c r="Q25" s="1"/>
      <c r="R25" s="17"/>
      <c r="S25" s="9"/>
      <c r="T25" s="9"/>
      <c r="U25" s="9"/>
      <c r="AD25" s="6"/>
    </row>
    <row r="26" spans="1:30" x14ac:dyDescent="0.2">
      <c r="A26" s="35">
        <v>400</v>
      </c>
      <c r="B26" s="38">
        <v>4.2E-7</v>
      </c>
      <c r="C26" s="38">
        <v>8.9799999999999997E-8</v>
      </c>
      <c r="D26" s="38">
        <v>1.5879999999999999E-7</v>
      </c>
      <c r="E26" s="3"/>
      <c r="F26" s="38">
        <f t="shared" si="0"/>
        <v>1.6535433070866142E-5</v>
      </c>
      <c r="G26" s="38">
        <f t="shared" si="0"/>
        <v>3.535433070866142E-6</v>
      </c>
      <c r="H26" s="38">
        <f t="shared" si="0"/>
        <v>6.2519685039370076E-6</v>
      </c>
      <c r="J26" s="1"/>
      <c r="K26" s="1"/>
      <c r="L26" s="1"/>
      <c r="M26" s="1"/>
      <c r="N26" s="1"/>
      <c r="O26" s="1"/>
      <c r="P26" s="1"/>
      <c r="Q26" s="1"/>
      <c r="R26" s="17"/>
      <c r="S26" s="1"/>
      <c r="T26" s="1"/>
      <c r="U26" s="1"/>
      <c r="AD26" s="6"/>
    </row>
    <row r="27" spans="1:30" x14ac:dyDescent="0.2">
      <c r="A27" s="35">
        <v>420</v>
      </c>
      <c r="B27" s="38">
        <v>4.6899999999999998E-7</v>
      </c>
      <c r="C27" s="38">
        <v>9.9299999999999996E-8</v>
      </c>
      <c r="D27" s="38">
        <v>1.7319999999999999E-7</v>
      </c>
      <c r="E27" s="3"/>
      <c r="F27" s="38">
        <f t="shared" si="0"/>
        <v>1.8464566929133858E-5</v>
      </c>
      <c r="G27" s="38">
        <f t="shared" si="0"/>
        <v>3.9094488188976381E-6</v>
      </c>
      <c r="H27" s="38">
        <f t="shared" si="0"/>
        <v>6.8188976377952748E-6</v>
      </c>
      <c r="J27" s="1"/>
      <c r="K27" s="1"/>
      <c r="L27" s="1"/>
      <c r="M27" s="1"/>
      <c r="N27" s="1"/>
      <c r="O27" s="1"/>
      <c r="P27" s="1"/>
      <c r="Q27" s="1"/>
      <c r="R27" s="17"/>
      <c r="S27" s="1"/>
      <c r="T27" s="1"/>
      <c r="U27" s="1"/>
      <c r="AD27" s="6"/>
    </row>
    <row r="28" spans="1:30" x14ac:dyDescent="0.2">
      <c r="A28" s="35">
        <v>440</v>
      </c>
      <c r="B28" s="38">
        <v>5.2300000000000001E-7</v>
      </c>
      <c r="C28" s="38">
        <v>1.084E-7</v>
      </c>
      <c r="D28" s="38">
        <v>1.9000000000000001E-7</v>
      </c>
      <c r="E28" s="3"/>
      <c r="F28" s="38">
        <f t="shared" si="0"/>
        <v>2.0590551181102364E-5</v>
      </c>
      <c r="G28" s="38">
        <f t="shared" si="0"/>
        <v>4.2677165354330712E-6</v>
      </c>
      <c r="H28" s="38">
        <f t="shared" si="0"/>
        <v>7.4803149606299217E-6</v>
      </c>
      <c r="J28" s="1"/>
      <c r="K28" s="1"/>
      <c r="L28" s="1"/>
      <c r="M28" s="1"/>
      <c r="N28" s="1"/>
      <c r="O28" s="1"/>
      <c r="P28" s="1"/>
      <c r="Q28" s="1"/>
      <c r="R28" s="17"/>
      <c r="S28" s="9"/>
      <c r="T28" s="9"/>
      <c r="U28" s="9"/>
      <c r="AD28" s="6"/>
    </row>
    <row r="29" spans="1:30" x14ac:dyDescent="0.2">
      <c r="A29" s="35">
        <v>460</v>
      </c>
      <c r="B29" s="38">
        <v>5.82E-7</v>
      </c>
      <c r="C29" s="38">
        <v>1.173E-7</v>
      </c>
      <c r="D29" s="38">
        <v>2.082E-7</v>
      </c>
      <c r="E29" s="3"/>
      <c r="F29" s="38">
        <f t="shared" si="0"/>
        <v>2.2913385826771654E-5</v>
      </c>
      <c r="G29" s="38">
        <f t="shared" si="0"/>
        <v>4.6181102362204727E-6</v>
      </c>
      <c r="H29" s="38">
        <f t="shared" si="0"/>
        <v>8.1968503937007878E-6</v>
      </c>
      <c r="J29" s="1"/>
      <c r="K29" s="1"/>
      <c r="L29" s="1"/>
      <c r="M29" s="1"/>
      <c r="N29" s="1"/>
      <c r="O29" s="1"/>
      <c r="P29" s="1"/>
      <c r="Q29" s="1"/>
      <c r="R29" s="17"/>
      <c r="S29" s="1"/>
      <c r="T29" s="1"/>
      <c r="U29" s="1"/>
      <c r="AD29" s="6"/>
    </row>
    <row r="30" spans="1:30" x14ac:dyDescent="0.2">
      <c r="A30" s="35">
        <v>480</v>
      </c>
      <c r="B30" s="38">
        <v>6.4600000000000004E-7</v>
      </c>
      <c r="C30" s="38">
        <v>1.2639999999999999E-7</v>
      </c>
      <c r="D30" s="38">
        <v>2.279E-7</v>
      </c>
      <c r="E30" s="3"/>
      <c r="F30" s="38">
        <f t="shared" si="0"/>
        <v>2.5433070866141736E-5</v>
      </c>
      <c r="G30" s="38">
        <f t="shared" si="0"/>
        <v>4.9763779527559049E-6</v>
      </c>
      <c r="H30" s="38">
        <f t="shared" si="0"/>
        <v>8.9724409448818902E-6</v>
      </c>
      <c r="J30" s="1"/>
      <c r="K30" s="1"/>
      <c r="L30" s="1"/>
      <c r="M30" s="1"/>
      <c r="N30" s="1"/>
      <c r="O30" s="1"/>
      <c r="P30" s="1"/>
      <c r="Q30" s="1"/>
      <c r="R30" s="17"/>
      <c r="S30" s="1"/>
      <c r="T30" s="1"/>
      <c r="U30" s="1"/>
      <c r="AD30" s="6"/>
    </row>
    <row r="31" spans="1:30" x14ac:dyDescent="0.2">
      <c r="A31" s="35">
        <v>500</v>
      </c>
      <c r="B31" s="38">
        <v>7.1700000000000008E-7</v>
      </c>
      <c r="C31" s="38">
        <v>1.3620000000000002E-7</v>
      </c>
      <c r="D31" s="38">
        <v>2.4890000000000001E-7</v>
      </c>
      <c r="E31" s="3"/>
      <c r="F31" s="38">
        <f t="shared" si="0"/>
        <v>2.8228346456692919E-5</v>
      </c>
      <c r="G31" s="38">
        <f t="shared" si="0"/>
        <v>5.3622047244094497E-6</v>
      </c>
      <c r="H31" s="38">
        <f t="shared" si="0"/>
        <v>9.7992125984251981E-6</v>
      </c>
      <c r="J31" s="1"/>
      <c r="K31" s="1"/>
      <c r="L31" s="1"/>
      <c r="M31" s="1"/>
      <c r="N31" s="1"/>
      <c r="O31" s="1"/>
      <c r="P31" s="1"/>
      <c r="Q31" s="1"/>
      <c r="R31" s="17"/>
      <c r="S31" s="9"/>
      <c r="T31" s="9"/>
      <c r="U31" s="9"/>
      <c r="AD31" s="6"/>
    </row>
    <row r="32" spans="1:30" x14ac:dyDescent="0.2">
      <c r="A32" s="35">
        <v>520</v>
      </c>
      <c r="B32" s="38">
        <v>7.9699999999999995E-7</v>
      </c>
      <c r="C32" s="38">
        <v>1.4710000000000001E-7</v>
      </c>
      <c r="D32" s="38">
        <v>2.7230000000000002E-7</v>
      </c>
      <c r="E32" s="3"/>
      <c r="F32" s="38">
        <f t="shared" si="0"/>
        <v>3.1377952755905509E-5</v>
      </c>
      <c r="G32" s="38">
        <f t="shared" si="0"/>
        <v>5.7913385826771668E-6</v>
      </c>
      <c r="H32" s="38">
        <f t="shared" si="0"/>
        <v>1.0720472440944883E-5</v>
      </c>
      <c r="J32" s="1"/>
      <c r="K32" s="1"/>
      <c r="L32" s="1"/>
      <c r="M32" s="1"/>
      <c r="N32" s="1"/>
      <c r="O32" s="1"/>
      <c r="P32" s="1"/>
      <c r="Q32" s="1"/>
      <c r="R32" s="17"/>
      <c r="S32" s="1"/>
      <c r="T32" s="1"/>
      <c r="U32" s="1"/>
      <c r="AD32" s="6"/>
    </row>
    <row r="33" spans="1:30" x14ac:dyDescent="0.2">
      <c r="A33" s="35">
        <v>540</v>
      </c>
      <c r="B33" s="38">
        <v>8.8599999999999997E-7</v>
      </c>
      <c r="C33" s="38">
        <v>1.596E-7</v>
      </c>
      <c r="D33" s="38">
        <v>2.959E-7</v>
      </c>
      <c r="E33" s="3"/>
      <c r="F33" s="38">
        <f t="shared" si="0"/>
        <v>3.4881889763779528E-5</v>
      </c>
      <c r="G33" s="38">
        <f t="shared" si="0"/>
        <v>6.2834645669291346E-6</v>
      </c>
      <c r="H33" s="38">
        <f t="shared" si="0"/>
        <v>1.1649606299212599E-5</v>
      </c>
      <c r="J33" s="1"/>
      <c r="K33" s="1"/>
      <c r="L33" s="1"/>
      <c r="M33" s="1"/>
      <c r="N33" s="1"/>
      <c r="O33" s="1"/>
      <c r="P33" s="1"/>
      <c r="Q33" s="1"/>
      <c r="R33" s="17"/>
      <c r="S33" s="1"/>
      <c r="T33" s="1"/>
      <c r="U33" s="1"/>
      <c r="AD33" s="6"/>
    </row>
    <row r="34" spans="1:30" x14ac:dyDescent="0.2">
      <c r="A34" s="35">
        <v>560</v>
      </c>
      <c r="B34" s="38">
        <v>9.850000000000001E-7</v>
      </c>
      <c r="C34" s="38">
        <v>1.737E-7</v>
      </c>
      <c r="D34" s="38">
        <v>3.1880000000000002E-7</v>
      </c>
      <c r="E34" s="3"/>
      <c r="F34" s="38">
        <f t="shared" si="0"/>
        <v>3.8779527559055126E-5</v>
      </c>
      <c r="G34" s="38">
        <f t="shared" si="0"/>
        <v>6.8385826771653542E-6</v>
      </c>
      <c r="H34" s="38">
        <f t="shared" si="0"/>
        <v>1.2551181102362204E-5</v>
      </c>
      <c r="J34" s="1"/>
      <c r="K34" s="1"/>
      <c r="L34" s="1"/>
      <c r="M34" s="1"/>
      <c r="N34" s="1"/>
      <c r="O34" s="1"/>
      <c r="P34" s="1"/>
      <c r="Q34" s="1"/>
      <c r="R34" s="17"/>
      <c r="S34" s="1"/>
      <c r="T34" s="1"/>
      <c r="U34" s="1"/>
      <c r="AD34" s="6"/>
    </row>
    <row r="35" spans="1:30" x14ac:dyDescent="0.2">
      <c r="A35" s="35">
        <v>580</v>
      </c>
      <c r="B35" s="38">
        <v>1.093E-6</v>
      </c>
      <c r="C35" s="38">
        <v>1.8969999999999998E-7</v>
      </c>
      <c r="D35" s="38">
        <v>3.4170000000000005E-7</v>
      </c>
      <c r="E35" s="3"/>
      <c r="F35" s="38">
        <f t="shared" si="0"/>
        <v>4.3031496062992131E-5</v>
      </c>
      <c r="G35" s="38">
        <f t="shared" si="0"/>
        <v>7.4685039370078731E-6</v>
      </c>
      <c r="H35" s="38">
        <f t="shared" si="0"/>
        <v>1.3452755905511814E-5</v>
      </c>
      <c r="J35" s="1"/>
      <c r="K35" s="1"/>
      <c r="L35" s="1"/>
      <c r="M35" s="1"/>
      <c r="N35" s="1"/>
      <c r="O35" s="1"/>
      <c r="P35" s="1"/>
      <c r="Q35" s="1"/>
      <c r="R35" s="17"/>
      <c r="S35" s="1"/>
      <c r="T35" s="1"/>
      <c r="U35" s="1"/>
      <c r="AD35" s="6"/>
    </row>
    <row r="36" spans="1:30" x14ac:dyDescent="0.2">
      <c r="A36" s="35">
        <v>600</v>
      </c>
      <c r="B36" s="38">
        <v>1.2080000000000001E-6</v>
      </c>
      <c r="C36" s="38">
        <v>2.0780000000000002E-7</v>
      </c>
      <c r="D36" s="38">
        <v>3.6180000000000002E-7</v>
      </c>
      <c r="E36" s="3"/>
      <c r="F36" s="38">
        <f t="shared" si="0"/>
        <v>4.7559055118110241E-5</v>
      </c>
      <c r="G36" s="38">
        <f t="shared" si="0"/>
        <v>8.1811023622047247E-6</v>
      </c>
      <c r="H36" s="38">
        <f t="shared" si="0"/>
        <v>1.4244094488188977E-5</v>
      </c>
      <c r="J36" s="1"/>
      <c r="K36" s="1"/>
      <c r="L36" s="1"/>
      <c r="M36" s="1"/>
      <c r="N36" s="1"/>
      <c r="O36" s="1"/>
      <c r="P36" s="1"/>
      <c r="Q36" s="1"/>
      <c r="R36" s="17"/>
      <c r="S36" s="1"/>
      <c r="T36" s="1"/>
      <c r="U36" s="1"/>
      <c r="AD36" s="6"/>
    </row>
    <row r="37" spans="1:30" x14ac:dyDescent="0.2">
      <c r="A37" s="35">
        <v>620</v>
      </c>
      <c r="B37" s="38">
        <v>1.3260000000000001E-6</v>
      </c>
      <c r="C37" s="38">
        <v>2.279E-7</v>
      </c>
      <c r="D37" s="38">
        <v>3.7789999999999996E-7</v>
      </c>
      <c r="E37" s="3"/>
      <c r="F37" s="38">
        <f t="shared" si="0"/>
        <v>5.2204724409448826E-5</v>
      </c>
      <c r="G37" s="38">
        <f t="shared" si="0"/>
        <v>8.9724409448818902E-6</v>
      </c>
      <c r="H37" s="38">
        <f t="shared" si="0"/>
        <v>1.4877952755905512E-5</v>
      </c>
      <c r="J37" s="1"/>
      <c r="K37" s="1"/>
      <c r="L37" s="1"/>
      <c r="M37" s="1"/>
      <c r="N37" s="1"/>
      <c r="O37" s="1"/>
      <c r="P37" s="1"/>
      <c r="Q37" s="1"/>
      <c r="R37" s="17"/>
      <c r="S37" s="1"/>
      <c r="T37" s="1"/>
      <c r="U37" s="1"/>
      <c r="AD37" s="6"/>
    </row>
    <row r="38" spans="1:30" x14ac:dyDescent="0.2">
      <c r="A38" s="35">
        <v>640</v>
      </c>
      <c r="B38" s="38">
        <v>1.4439999999999999E-6</v>
      </c>
      <c r="C38" s="38">
        <v>2.4990000000000003E-7</v>
      </c>
      <c r="D38" s="38">
        <v>3.8810000000000004E-7</v>
      </c>
      <c r="E38" s="3"/>
      <c r="F38" s="38">
        <f t="shared" si="0"/>
        <v>5.6850393700787398E-5</v>
      </c>
      <c r="G38" s="38">
        <f t="shared" si="0"/>
        <v>9.8385826771653568E-6</v>
      </c>
      <c r="H38" s="38">
        <f t="shared" si="0"/>
        <v>1.527952755905512E-5</v>
      </c>
      <c r="J38" s="1"/>
      <c r="K38" s="1"/>
      <c r="L38" s="1"/>
      <c r="M38" s="1"/>
      <c r="N38" s="1"/>
      <c r="O38" s="1"/>
      <c r="P38" s="1"/>
      <c r="Q38" s="1"/>
      <c r="R38" s="17"/>
      <c r="S38" s="1"/>
      <c r="T38" s="1"/>
      <c r="U38" s="1"/>
      <c r="AD38" s="6"/>
    </row>
    <row r="39" spans="1:30" x14ac:dyDescent="0.2">
      <c r="A39" s="35">
        <v>660</v>
      </c>
      <c r="B39" s="38">
        <v>1.553E-6</v>
      </c>
      <c r="C39" s="38">
        <v>2.7310000000000003E-7</v>
      </c>
      <c r="D39" s="38">
        <v>3.9099999999999999E-7</v>
      </c>
      <c r="E39" s="3"/>
      <c r="F39" s="38">
        <f t="shared" si="0"/>
        <v>6.1141732283464569E-5</v>
      </c>
      <c r="G39" s="38">
        <f t="shared" si="0"/>
        <v>1.0751968503937009E-5</v>
      </c>
      <c r="H39" s="38">
        <f t="shared" si="0"/>
        <v>1.5393700787401575E-5</v>
      </c>
      <c r="J39" s="1"/>
      <c r="K39" s="1"/>
      <c r="L39" s="1"/>
      <c r="M39" s="1"/>
      <c r="N39" s="1"/>
      <c r="O39" s="1"/>
      <c r="P39" s="1"/>
      <c r="Q39" s="1"/>
      <c r="R39" s="17"/>
      <c r="S39" s="1"/>
      <c r="T39" s="1"/>
      <c r="U39" s="1"/>
      <c r="AD39" s="6"/>
    </row>
    <row r="40" spans="1:30" x14ac:dyDescent="0.2">
      <c r="A40" s="35">
        <v>680</v>
      </c>
      <c r="B40" s="38">
        <v>1.6509999999999999E-6</v>
      </c>
      <c r="C40" s="38">
        <v>2.9929999999999999E-7</v>
      </c>
      <c r="D40" s="38">
        <v>3.869E-7</v>
      </c>
      <c r="E40" s="3"/>
      <c r="F40" s="38">
        <f t="shared" si="0"/>
        <v>6.4999999999999994E-5</v>
      </c>
      <c r="G40" s="38">
        <f t="shared" si="0"/>
        <v>1.1783464566929135E-5</v>
      </c>
      <c r="H40" s="38">
        <f t="shared" si="0"/>
        <v>1.5232283464566931E-5</v>
      </c>
      <c r="J40" s="1"/>
      <c r="K40" s="1"/>
      <c r="L40" s="1"/>
      <c r="M40" s="1"/>
      <c r="N40" s="1"/>
      <c r="O40" s="1"/>
      <c r="P40" s="1"/>
      <c r="Q40" s="1"/>
      <c r="R40" s="17"/>
      <c r="S40" s="1"/>
      <c r="T40" s="1"/>
      <c r="U40" s="1"/>
      <c r="AD40" s="6"/>
    </row>
    <row r="41" spans="1:30" x14ac:dyDescent="0.2">
      <c r="A41" s="35">
        <v>700</v>
      </c>
      <c r="B41" s="38">
        <v>1.7300000000000002E-6</v>
      </c>
      <c r="C41" s="38">
        <v>3.255E-7</v>
      </c>
      <c r="D41" s="38">
        <v>3.7570000000000001E-7</v>
      </c>
      <c r="E41" s="3"/>
      <c r="F41" s="38">
        <f t="shared" si="0"/>
        <v>6.8110236220472446E-5</v>
      </c>
      <c r="G41" s="38">
        <f t="shared" si="0"/>
        <v>1.281496062992126E-5</v>
      </c>
      <c r="H41" s="38">
        <f t="shared" si="0"/>
        <v>1.4791338582677167E-5</v>
      </c>
      <c r="J41" s="1"/>
      <c r="K41" s="1"/>
      <c r="L41" s="1"/>
      <c r="M41" s="1"/>
      <c r="N41" s="1"/>
      <c r="O41" s="1"/>
      <c r="P41" s="1"/>
      <c r="Q41" s="1"/>
      <c r="R41" s="17"/>
      <c r="S41" s="1"/>
      <c r="T41" s="1"/>
      <c r="U41" s="1"/>
      <c r="AD41" s="6"/>
    </row>
    <row r="42" spans="1:30" x14ac:dyDescent="0.2">
      <c r="A42" s="35">
        <v>720</v>
      </c>
      <c r="B42" s="38">
        <v>1.7689999999999999E-6</v>
      </c>
      <c r="C42" s="38">
        <v>3.538E-7</v>
      </c>
      <c r="D42" s="38">
        <v>3.5740000000000001E-7</v>
      </c>
      <c r="E42" s="3"/>
      <c r="F42" s="38">
        <f t="shared" si="0"/>
        <v>6.964566929133858E-5</v>
      </c>
      <c r="G42" s="38">
        <f t="shared" si="0"/>
        <v>1.3929133858267717E-5</v>
      </c>
      <c r="H42" s="38">
        <f t="shared" si="0"/>
        <v>1.4070866141732285E-5</v>
      </c>
      <c r="J42" s="1"/>
      <c r="K42" s="1"/>
      <c r="L42" s="1"/>
      <c r="M42" s="1"/>
      <c r="N42" s="1"/>
      <c r="O42" s="1"/>
      <c r="P42" s="1"/>
      <c r="Q42" s="1"/>
      <c r="R42" s="17"/>
      <c r="S42" s="2"/>
      <c r="T42" s="2"/>
      <c r="U42" s="2"/>
      <c r="AD42" s="6"/>
    </row>
    <row r="43" spans="1:30" x14ac:dyDescent="0.2">
      <c r="A43" s="35">
        <v>740</v>
      </c>
      <c r="B43" s="38">
        <v>1.8079999999999999E-6</v>
      </c>
      <c r="C43" s="38">
        <v>3.8220000000000002E-7</v>
      </c>
      <c r="D43" s="38">
        <v>3.3880000000000004E-7</v>
      </c>
      <c r="E43" s="3"/>
      <c r="F43" s="38">
        <f t="shared" si="0"/>
        <v>7.1181102362204726E-5</v>
      </c>
      <c r="G43" s="38">
        <f t="shared" si="0"/>
        <v>1.5047244094488191E-5</v>
      </c>
      <c r="H43" s="38">
        <f t="shared" si="0"/>
        <v>1.3338582677165357E-5</v>
      </c>
      <c r="J43" s="1"/>
      <c r="K43" s="1"/>
      <c r="L43" s="1"/>
      <c r="M43" s="1"/>
      <c r="N43" s="1"/>
      <c r="O43" s="1"/>
      <c r="P43" s="1"/>
      <c r="Q43" s="1"/>
      <c r="R43" s="17"/>
      <c r="S43" s="3"/>
      <c r="T43" s="3"/>
      <c r="U43" s="3"/>
      <c r="AD43" s="6"/>
    </row>
    <row r="44" spans="1:30" x14ac:dyDescent="0.2">
      <c r="A44" s="35">
        <v>760</v>
      </c>
      <c r="B44" s="38">
        <v>1.8370000000000002E-6</v>
      </c>
      <c r="C44" s="38">
        <v>4.0960000000000001E-7</v>
      </c>
      <c r="D44" s="38">
        <v>3.1810000000000002E-7</v>
      </c>
      <c r="E44" s="3"/>
      <c r="F44" s="38">
        <f t="shared" si="0"/>
        <v>7.23228346456693E-5</v>
      </c>
      <c r="G44" s="38">
        <f t="shared" si="0"/>
        <v>1.6125984251968508E-5</v>
      </c>
      <c r="H44" s="38">
        <f t="shared" si="0"/>
        <v>1.2523622047244096E-5</v>
      </c>
      <c r="J44" s="1"/>
      <c r="K44" s="1"/>
      <c r="L44" s="1"/>
      <c r="M44" s="1"/>
      <c r="N44" s="1"/>
      <c r="O44" s="1"/>
      <c r="P44" s="1"/>
      <c r="Q44" s="1"/>
      <c r="R44" s="17"/>
      <c r="S44" s="1"/>
      <c r="T44" s="1"/>
      <c r="U44" s="1"/>
      <c r="AD44" s="6"/>
    </row>
    <row r="45" spans="1:30" x14ac:dyDescent="0.2">
      <c r="A45" s="35">
        <v>780</v>
      </c>
      <c r="B45" s="38">
        <v>1.8559999999999999E-6</v>
      </c>
      <c r="C45" s="38">
        <v>4.3799999999999998E-7</v>
      </c>
      <c r="D45" s="38">
        <v>2.9719999999999999E-7</v>
      </c>
      <c r="E45" s="3"/>
      <c r="F45" s="38">
        <f t="shared" si="0"/>
        <v>7.3070866141732274E-5</v>
      </c>
      <c r="G45" s="38">
        <f t="shared" si="0"/>
        <v>1.7244094488188977E-5</v>
      </c>
      <c r="H45" s="38">
        <f t="shared" si="0"/>
        <v>1.1700787401574804E-5</v>
      </c>
      <c r="J45" s="1"/>
      <c r="K45" s="1"/>
      <c r="L45" s="1"/>
      <c r="M45" s="1"/>
      <c r="N45" s="1"/>
      <c r="O45" s="1"/>
      <c r="P45" s="1"/>
      <c r="Q45" s="1"/>
      <c r="R45" s="17"/>
      <c r="S45" s="1"/>
      <c r="T45" s="1"/>
      <c r="U45" s="1"/>
      <c r="AD45" s="6"/>
    </row>
    <row r="46" spans="1:30" x14ac:dyDescent="0.2">
      <c r="A46" s="35">
        <v>800</v>
      </c>
      <c r="B46" s="38">
        <v>1.8649999999999999E-6</v>
      </c>
      <c r="C46" s="38">
        <v>4.665E-7</v>
      </c>
      <c r="D46" s="38">
        <v>2.7819999999999999E-7</v>
      </c>
      <c r="E46" s="3"/>
      <c r="F46" s="38">
        <f t="shared" si="0"/>
        <v>7.3425196850393702E-5</v>
      </c>
      <c r="G46" s="38">
        <f t="shared" si="0"/>
        <v>1.8366141732283465E-5</v>
      </c>
      <c r="H46" s="38">
        <f t="shared" si="0"/>
        <v>1.095275590551181E-5</v>
      </c>
      <c r="J46" s="1"/>
      <c r="K46" s="1"/>
      <c r="L46" s="1"/>
      <c r="M46" s="1"/>
      <c r="N46" s="1"/>
      <c r="O46" s="1"/>
      <c r="P46" s="1"/>
      <c r="Q46" s="1"/>
      <c r="R46" s="17"/>
      <c r="S46" s="1"/>
      <c r="T46" s="1"/>
      <c r="U46" s="1"/>
      <c r="AD46" s="5"/>
    </row>
    <row r="47" spans="1:30" x14ac:dyDescent="0.2">
      <c r="A47" s="35">
        <v>820</v>
      </c>
      <c r="B47" s="38">
        <v>1.8640000000000001E-6</v>
      </c>
      <c r="C47" s="38">
        <v>4.9510000000000003E-7</v>
      </c>
      <c r="D47" s="38">
        <v>2.6110000000000003E-7</v>
      </c>
      <c r="E47" s="3"/>
      <c r="F47" s="38">
        <f t="shared" si="0"/>
        <v>7.3385826771653543E-5</v>
      </c>
      <c r="G47" s="38">
        <f t="shared" si="0"/>
        <v>1.9492125984251971E-5</v>
      </c>
      <c r="H47" s="38">
        <f t="shared" si="0"/>
        <v>1.0279527559055119E-5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D47" s="6"/>
    </row>
    <row r="48" spans="1:30" x14ac:dyDescent="0.2">
      <c r="A48" s="35">
        <v>840</v>
      </c>
      <c r="B48" s="38">
        <v>1.8640000000000001E-6</v>
      </c>
      <c r="C48" s="38">
        <v>5.228E-7</v>
      </c>
      <c r="D48" s="38">
        <v>2.4690000000000002E-7</v>
      </c>
      <c r="E48" s="3"/>
      <c r="F48" s="38">
        <f t="shared" si="0"/>
        <v>7.3385826771653543E-5</v>
      </c>
      <c r="G48" s="38">
        <f t="shared" si="0"/>
        <v>2.0582677165354332E-5</v>
      </c>
      <c r="H48" s="38">
        <f t="shared" si="0"/>
        <v>9.7204724409448842E-6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D48" s="3"/>
    </row>
    <row r="49" spans="1:30" x14ac:dyDescent="0.2">
      <c r="A49" s="35">
        <v>860</v>
      </c>
      <c r="B49" s="38">
        <v>1.863E-6</v>
      </c>
      <c r="C49" s="38">
        <v>5.5050000000000007E-7</v>
      </c>
      <c r="D49" s="38">
        <v>2.3550000000000001E-7</v>
      </c>
      <c r="E49" s="3"/>
      <c r="F49" s="38">
        <f t="shared" si="0"/>
        <v>7.3346456692913398E-5</v>
      </c>
      <c r="G49" s="38">
        <f t="shared" si="0"/>
        <v>2.1673228346456697E-5</v>
      </c>
      <c r="H49" s="38">
        <f t="shared" si="0"/>
        <v>9.2716535433070878E-6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D49" s="3"/>
    </row>
    <row r="50" spans="1:30" x14ac:dyDescent="0.2">
      <c r="A50" s="35">
        <v>880</v>
      </c>
      <c r="B50" s="38">
        <v>1.8519999999999998E-6</v>
      </c>
      <c r="C50" s="38">
        <v>5.7830000000000004E-7</v>
      </c>
      <c r="D50" s="38">
        <v>2.2819999999999999E-7</v>
      </c>
      <c r="E50" s="3"/>
      <c r="F50" s="38">
        <f t="shared" si="0"/>
        <v>7.2913385826771639E-5</v>
      </c>
      <c r="G50" s="38">
        <f t="shared" si="0"/>
        <v>2.2767716535433073E-5</v>
      </c>
      <c r="H50" s="38">
        <f t="shared" si="0"/>
        <v>8.9842519685039371E-6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D50" s="3"/>
    </row>
    <row r="51" spans="1:30" x14ac:dyDescent="0.2">
      <c r="A51" s="35">
        <v>900</v>
      </c>
      <c r="B51" s="38">
        <v>1.8419999999999999E-6</v>
      </c>
      <c r="C51" s="38">
        <v>6.0419999999999997E-7</v>
      </c>
      <c r="D51" s="38">
        <v>2.248E-7</v>
      </c>
      <c r="E51" s="3"/>
      <c r="F51" s="38">
        <f t="shared" si="0"/>
        <v>7.251968503937008E-5</v>
      </c>
      <c r="G51" s="38">
        <f t="shared" si="0"/>
        <v>2.3787401574803149E-5</v>
      </c>
      <c r="H51" s="38">
        <f t="shared" si="0"/>
        <v>8.8503937007874014E-6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D51" s="4"/>
    </row>
    <row r="52" spans="1:30" x14ac:dyDescent="0.2">
      <c r="A52" s="35">
        <v>920</v>
      </c>
      <c r="B52" s="38">
        <v>1.8220000000000001E-6</v>
      </c>
      <c r="C52" s="38">
        <v>6.2920000000000005E-7</v>
      </c>
      <c r="D52" s="38">
        <v>2.2459999999999999E-7</v>
      </c>
      <c r="E52" s="3"/>
      <c r="F52" s="38">
        <f t="shared" si="0"/>
        <v>7.1732283464566934E-5</v>
      </c>
      <c r="G52" s="38">
        <f t="shared" si="0"/>
        <v>2.4771653543307088E-5</v>
      </c>
      <c r="H52" s="38">
        <f t="shared" si="0"/>
        <v>8.8425196850393707E-6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D52" s="4"/>
    </row>
    <row r="53" spans="1:30" x14ac:dyDescent="0.2">
      <c r="A53" s="35">
        <v>940</v>
      </c>
      <c r="B53" s="38">
        <v>1.801E-6</v>
      </c>
      <c r="C53" s="38">
        <v>6.5209999999999997E-7</v>
      </c>
      <c r="D53" s="38">
        <v>2.266E-7</v>
      </c>
      <c r="E53" s="3"/>
      <c r="F53" s="38">
        <f t="shared" si="0"/>
        <v>7.0905511811023629E-5</v>
      </c>
      <c r="G53" s="38">
        <f t="shared" si="0"/>
        <v>2.5673228346456692E-5</v>
      </c>
      <c r="H53" s="38">
        <f t="shared" si="0"/>
        <v>8.9212598425196863E-6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  <c r="AD53" s="4"/>
    </row>
    <row r="54" spans="1:30" x14ac:dyDescent="0.2">
      <c r="A54" s="35">
        <v>960</v>
      </c>
      <c r="B54" s="38">
        <v>1.77E-6</v>
      </c>
      <c r="C54" s="38">
        <v>6.7309999999999996E-7</v>
      </c>
      <c r="D54" s="38">
        <v>2.3199999999999999E-7</v>
      </c>
      <c r="E54" s="3"/>
      <c r="F54" s="38">
        <f t="shared" si="0"/>
        <v>6.9685039370078752E-5</v>
      </c>
      <c r="G54" s="38">
        <f t="shared" si="0"/>
        <v>2.65E-5</v>
      </c>
      <c r="H54" s="38">
        <f t="shared" si="0"/>
        <v>9.1338582677165342E-6</v>
      </c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AD54" s="4"/>
    </row>
    <row r="55" spans="1:30" x14ac:dyDescent="0.2">
      <c r="A55" s="8">
        <v>980</v>
      </c>
      <c r="B55" s="38">
        <v>1.73E-6</v>
      </c>
      <c r="C55" s="38">
        <v>6.9110000000000004E-7</v>
      </c>
      <c r="D55" s="38">
        <v>2.3989999999999997E-7</v>
      </c>
      <c r="E55" s="3"/>
      <c r="F55" s="38">
        <f t="shared" si="0"/>
        <v>6.8110236220472446E-5</v>
      </c>
      <c r="G55" s="38">
        <f t="shared" si="0"/>
        <v>2.7208661417322839E-5</v>
      </c>
      <c r="H55" s="38">
        <f t="shared" si="0"/>
        <v>9.4448818897637788E-6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D55" s="4"/>
    </row>
    <row r="56" spans="1:30" x14ac:dyDescent="0.2">
      <c r="A56" s="8">
        <v>1000</v>
      </c>
      <c r="B56" s="38">
        <v>1.6990000000000002E-6</v>
      </c>
      <c r="C56" s="38">
        <v>7.0500000000000003E-7</v>
      </c>
      <c r="D56" s="38">
        <v>2.4970000000000002E-7</v>
      </c>
      <c r="E56" s="3"/>
      <c r="F56" s="38">
        <f t="shared" si="0"/>
        <v>6.6889763779527569E-5</v>
      </c>
      <c r="G56" s="38">
        <f t="shared" si="0"/>
        <v>2.7755905511811025E-5</v>
      </c>
      <c r="H56" s="38">
        <f t="shared" si="0"/>
        <v>9.8307086614173227E-6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D56" s="4"/>
    </row>
    <row r="57" spans="1:30" x14ac:dyDescent="0.2">
      <c r="A57" s="8">
        <v>1020</v>
      </c>
      <c r="B57" s="38">
        <v>1.6479999999999999E-6</v>
      </c>
      <c r="C57" s="38">
        <v>7.1679999999999996E-7</v>
      </c>
      <c r="D57" s="38">
        <v>2.614E-7</v>
      </c>
      <c r="E57" s="3"/>
      <c r="F57" s="38">
        <f t="shared" si="0"/>
        <v>6.4881889763779532E-5</v>
      </c>
      <c r="G57" s="38">
        <f t="shared" si="0"/>
        <v>2.8220472440944883E-5</v>
      </c>
      <c r="H57" s="38">
        <f t="shared" si="0"/>
        <v>1.0291338582677166E-5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D57" s="4"/>
    </row>
    <row r="58" spans="1:30" x14ac:dyDescent="0.2">
      <c r="A58" s="8">
        <v>1040</v>
      </c>
      <c r="B58" s="38">
        <v>1.607E-6</v>
      </c>
      <c r="C58" s="38">
        <v>7.2550000000000008E-7</v>
      </c>
      <c r="D58" s="38">
        <v>2.7630000000000001E-7</v>
      </c>
      <c r="E58" s="3"/>
      <c r="F58" s="38">
        <f t="shared" si="0"/>
        <v>6.3267716535433068E-5</v>
      </c>
      <c r="G58" s="38">
        <f t="shared" si="0"/>
        <v>2.8562992125984257E-5</v>
      </c>
      <c r="H58" s="38">
        <f t="shared" si="0"/>
        <v>1.0877952755905513E-5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D58" s="4"/>
    </row>
    <row r="59" spans="1:30" x14ac:dyDescent="0.2">
      <c r="A59" s="8">
        <v>1060</v>
      </c>
      <c r="B59" s="38">
        <v>1.5549999999999999E-6</v>
      </c>
      <c r="C59" s="39">
        <v>7.3020000000000001E-7</v>
      </c>
      <c r="D59" s="38">
        <v>2.9349999999999997E-7</v>
      </c>
      <c r="E59" s="3"/>
      <c r="F59" s="38">
        <f t="shared" si="0"/>
        <v>6.1220472440944886E-5</v>
      </c>
      <c r="G59" s="38">
        <f t="shared" si="0"/>
        <v>2.8748031496062994E-5</v>
      </c>
      <c r="H59" s="38">
        <f t="shared" si="0"/>
        <v>1.155511811023622E-5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D59" s="4"/>
    </row>
    <row r="60" spans="1:30" x14ac:dyDescent="0.2">
      <c r="A60" s="8">
        <v>1080</v>
      </c>
      <c r="B60" s="38">
        <v>1.5039999999999999E-6</v>
      </c>
      <c r="C60" s="38">
        <v>7.3379999999999997E-7</v>
      </c>
      <c r="D60" s="38">
        <v>3.1199999999999999E-7</v>
      </c>
      <c r="E60" s="3"/>
      <c r="F60" s="38">
        <f t="shared" si="0"/>
        <v>5.9212598425196849E-5</v>
      </c>
      <c r="G60" s="38">
        <f t="shared" si="0"/>
        <v>2.888976377952756E-5</v>
      </c>
      <c r="H60" s="38">
        <f t="shared" si="0"/>
        <v>1.2283464566929135E-5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D60" s="3"/>
    </row>
    <row r="61" spans="1:30" x14ac:dyDescent="0.2">
      <c r="A61" s="8">
        <v>1100</v>
      </c>
      <c r="B61" s="38">
        <v>1.452E-6</v>
      </c>
      <c r="C61" s="38">
        <v>7.3440000000000001E-7</v>
      </c>
      <c r="D61" s="38">
        <v>3.3410000000000001E-7</v>
      </c>
      <c r="E61" s="3"/>
      <c r="F61" s="38">
        <f t="shared" si="0"/>
        <v>5.716535433070866E-5</v>
      </c>
      <c r="G61" s="38">
        <f t="shared" si="0"/>
        <v>2.8913385826771654E-5</v>
      </c>
      <c r="H61" s="38">
        <f t="shared" si="0"/>
        <v>1.3153543307086614E-5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D61" s="3"/>
    </row>
    <row r="62" spans="1:30" x14ac:dyDescent="0.2">
      <c r="A62" s="8">
        <v>1120</v>
      </c>
      <c r="B62" s="38">
        <v>1.4000000000000001E-6</v>
      </c>
      <c r="C62" s="38">
        <v>7.3300000000000001E-7</v>
      </c>
      <c r="D62" s="38">
        <v>3.579E-7</v>
      </c>
      <c r="E62" s="3"/>
      <c r="F62" s="38">
        <f t="shared" si="0"/>
        <v>5.5118110236220485E-5</v>
      </c>
      <c r="G62" s="38">
        <f t="shared" si="0"/>
        <v>2.8858267716535437E-5</v>
      </c>
      <c r="H62" s="38">
        <f t="shared" si="0"/>
        <v>1.4090551181102362E-5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D62" s="3"/>
    </row>
    <row r="63" spans="1:30" x14ac:dyDescent="0.2">
      <c r="A63" s="8">
        <v>1140</v>
      </c>
      <c r="B63" s="38">
        <v>1.3489999999999999E-6</v>
      </c>
      <c r="C63" s="38">
        <v>7.2949999999999996E-7</v>
      </c>
      <c r="D63" s="38">
        <v>3.8560000000000001E-7</v>
      </c>
      <c r="E63" s="3"/>
      <c r="F63" s="38">
        <f t="shared" si="0"/>
        <v>5.3110236220472441E-5</v>
      </c>
      <c r="G63" s="38">
        <f t="shared" si="0"/>
        <v>2.8720472440944885E-5</v>
      </c>
      <c r="H63" s="38">
        <f t="shared" si="0"/>
        <v>1.5181102362204725E-5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D63" s="3"/>
    </row>
    <row r="64" spans="1:30" x14ac:dyDescent="0.2">
      <c r="A64" s="8">
        <v>1160</v>
      </c>
      <c r="B64" s="38">
        <v>1.297E-6</v>
      </c>
      <c r="C64" s="38">
        <v>7.2600000000000002E-7</v>
      </c>
      <c r="D64" s="38">
        <v>4.1490000000000004E-7</v>
      </c>
      <c r="E64" s="3"/>
      <c r="F64" s="38">
        <f t="shared" si="0"/>
        <v>5.1062992125984252E-5</v>
      </c>
      <c r="G64" s="38">
        <f t="shared" si="0"/>
        <v>2.858267716535433E-5</v>
      </c>
      <c r="H64" s="38">
        <f t="shared" si="0"/>
        <v>1.6334645669291341E-5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D64" s="3"/>
    </row>
    <row r="65" spans="1:30" x14ac:dyDescent="0.2">
      <c r="A65" s="8">
        <v>1180</v>
      </c>
      <c r="B65" s="38">
        <v>1.2549999999999998E-6</v>
      </c>
      <c r="C65" s="38">
        <v>7.216E-7</v>
      </c>
      <c r="D65" s="38">
        <v>4.4900000000000001E-7</v>
      </c>
      <c r="E65" s="3"/>
      <c r="F65" s="38">
        <f t="shared" si="0"/>
        <v>4.9409448818897636E-5</v>
      </c>
      <c r="G65" s="38">
        <f t="shared" si="0"/>
        <v>2.8409448818897637E-5</v>
      </c>
      <c r="H65" s="38">
        <f t="shared" si="0"/>
        <v>1.7677165354330709E-5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D65" s="3"/>
    </row>
    <row r="66" spans="1:30" x14ac:dyDescent="0.2">
      <c r="A66" s="8">
        <v>1200</v>
      </c>
      <c r="B66" s="38">
        <v>1.203E-6</v>
      </c>
      <c r="C66" s="38">
        <v>7.1640000000000004E-7</v>
      </c>
      <c r="D66" s="38">
        <v>4.8699999999999995E-7</v>
      </c>
      <c r="E66" s="3"/>
      <c r="F66" s="38">
        <f t="shared" si="0"/>
        <v>4.7362204724409447E-5</v>
      </c>
      <c r="G66" s="38">
        <f t="shared" si="0"/>
        <v>2.8204724409448822E-5</v>
      </c>
      <c r="H66" s="38">
        <f t="shared" si="0"/>
        <v>1.9173228346456694E-5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D66" s="3"/>
    </row>
    <row r="67" spans="1:30" x14ac:dyDescent="0.2">
      <c r="A67" s="8">
        <v>1220</v>
      </c>
      <c r="B67" s="38">
        <v>1.1620000000000001E-6</v>
      </c>
      <c r="C67" s="38">
        <v>7.1139999999999998E-7</v>
      </c>
      <c r="D67" s="38">
        <v>5.2899999999999993E-7</v>
      </c>
      <c r="E67" s="3"/>
      <c r="F67" s="38">
        <f t="shared" si="0"/>
        <v>4.5748031496062997E-5</v>
      </c>
      <c r="G67" s="38">
        <f t="shared" si="0"/>
        <v>2.8007874015748032E-5</v>
      </c>
      <c r="H67" s="38">
        <f t="shared" si="0"/>
        <v>2.0826771653543306E-5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D67" s="1"/>
    </row>
    <row r="68" spans="1:30" x14ac:dyDescent="0.2">
      <c r="A68" s="8">
        <v>1240</v>
      </c>
      <c r="B68" s="38">
        <v>1.125E-6</v>
      </c>
      <c r="C68" s="38">
        <v>7.0589999999999999E-7</v>
      </c>
      <c r="D68" s="38">
        <v>5.7800000000000001E-7</v>
      </c>
      <c r="E68" s="3"/>
      <c r="F68" s="38">
        <f t="shared" si="0"/>
        <v>4.4291338582677174E-5</v>
      </c>
      <c r="G68" s="38">
        <f t="shared" si="0"/>
        <v>2.7791338582677166E-5</v>
      </c>
      <c r="H68" s="38">
        <f t="shared" si="0"/>
        <v>2.2755905511811026E-5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D68" s="1"/>
    </row>
    <row r="69" spans="1:30" x14ac:dyDescent="0.2">
      <c r="A69" s="8">
        <v>1260</v>
      </c>
      <c r="B69" s="38">
        <v>1.0869999999999999E-6</v>
      </c>
      <c r="C69" s="38">
        <v>7.0100000000000004E-7</v>
      </c>
      <c r="D69" s="38">
        <v>6.3500000000000006E-7</v>
      </c>
      <c r="E69" s="3"/>
      <c r="F69" s="38">
        <f t="shared" si="0"/>
        <v>4.2795275590551179E-5</v>
      </c>
      <c r="G69" s="38">
        <f t="shared" si="0"/>
        <v>2.7598425196850398E-5</v>
      </c>
      <c r="H69" s="38">
        <f t="shared" si="0"/>
        <v>2.5000000000000005E-5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D69" s="1"/>
    </row>
    <row r="70" spans="1:30" x14ac:dyDescent="0.2">
      <c r="A70" s="8">
        <v>1280</v>
      </c>
      <c r="B70" s="38">
        <v>1.051E-6</v>
      </c>
      <c r="C70" s="38">
        <v>6.9790000000000002E-7</v>
      </c>
      <c r="D70" s="38">
        <v>6.9599999999999999E-7</v>
      </c>
      <c r="E70" s="3"/>
      <c r="F70" s="38">
        <f t="shared" si="0"/>
        <v>4.1377952755905515E-5</v>
      </c>
      <c r="G70" s="38">
        <f t="shared" si="0"/>
        <v>2.7476377952755907E-5</v>
      </c>
      <c r="H70" s="38">
        <f t="shared" si="0"/>
        <v>2.7401574803149608E-5</v>
      </c>
      <c r="J70" s="1"/>
      <c r="K70" s="1"/>
      <c r="L70" s="5"/>
      <c r="M70" s="1"/>
      <c r="N70" s="1"/>
      <c r="O70" s="1"/>
      <c r="P70" s="1"/>
      <c r="Q70" s="1"/>
      <c r="R70" s="17"/>
      <c r="S70" s="1"/>
      <c r="T70" s="1"/>
      <c r="U70" s="1"/>
      <c r="AD70" s="1"/>
    </row>
    <row r="71" spans="1:30" x14ac:dyDescent="0.2">
      <c r="A71" s="8">
        <v>1300</v>
      </c>
      <c r="B71" s="38">
        <v>1.017E-6</v>
      </c>
      <c r="C71" s="38">
        <v>6.9439999999999997E-7</v>
      </c>
      <c r="D71" s="38">
        <v>7.5799999999999998E-7</v>
      </c>
      <c r="E71" s="3"/>
      <c r="F71" s="38">
        <f t="shared" ref="F71:H126" si="1">B71*1000/25.4</f>
        <v>4.0039370078740155E-5</v>
      </c>
      <c r="G71" s="38">
        <f t="shared" si="1"/>
        <v>2.7338582677165355E-5</v>
      </c>
      <c r="H71" s="38">
        <f t="shared" si="1"/>
        <v>2.9842519685039373E-5</v>
      </c>
      <c r="J71" s="1"/>
      <c r="K71" s="3"/>
      <c r="L71" s="20"/>
      <c r="M71" s="1"/>
      <c r="N71" s="1"/>
      <c r="O71" s="1"/>
      <c r="P71" s="1"/>
      <c r="Q71" s="1"/>
      <c r="R71" s="1"/>
      <c r="S71" s="1"/>
      <c r="T71" s="1"/>
      <c r="U71" s="1"/>
      <c r="AD71" s="1"/>
    </row>
    <row r="72" spans="1:30" x14ac:dyDescent="0.2">
      <c r="A72" s="8">
        <v>1320</v>
      </c>
      <c r="B72" s="38">
        <v>9.8499999999999989E-7</v>
      </c>
      <c r="C72" s="38">
        <v>6.9149999999999997E-7</v>
      </c>
      <c r="D72" s="38">
        <v>8.1299999999999999E-7</v>
      </c>
      <c r="E72" s="3"/>
      <c r="F72" s="38">
        <f t="shared" si="1"/>
        <v>3.8779527559055119E-5</v>
      </c>
      <c r="G72" s="38">
        <f t="shared" si="1"/>
        <v>2.7224409448818897E-5</v>
      </c>
      <c r="H72" s="38">
        <f t="shared" si="1"/>
        <v>3.2007874015748034E-5</v>
      </c>
      <c r="J72" s="1"/>
      <c r="K72" s="1"/>
      <c r="L72" s="20"/>
      <c r="M72" s="1"/>
      <c r="N72" s="1"/>
      <c r="O72" s="1"/>
      <c r="P72" s="1"/>
      <c r="Q72" s="1"/>
      <c r="R72" s="1"/>
      <c r="S72" s="1"/>
      <c r="T72" s="1"/>
      <c r="U72" s="1"/>
      <c r="AD72" s="1"/>
    </row>
    <row r="73" spans="1:30" x14ac:dyDescent="0.2">
      <c r="A73" s="8">
        <v>1340</v>
      </c>
      <c r="B73" s="38">
        <v>9.5700000000000011E-7</v>
      </c>
      <c r="C73" s="38">
        <v>6.8960000000000003E-7</v>
      </c>
      <c r="D73" s="38">
        <v>8.5799999999999998E-7</v>
      </c>
      <c r="E73" s="3"/>
      <c r="F73" s="38">
        <f t="shared" si="1"/>
        <v>3.7677165354330711E-5</v>
      </c>
      <c r="G73" s="38">
        <f t="shared" si="1"/>
        <v>2.7149606299212601E-5</v>
      </c>
      <c r="H73" s="38">
        <f t="shared" si="1"/>
        <v>3.3779527559055119E-5</v>
      </c>
      <c r="J73" s="1"/>
      <c r="K73" s="1"/>
      <c r="L73" s="20"/>
      <c r="M73" s="1"/>
      <c r="N73" s="1"/>
      <c r="O73" s="1"/>
      <c r="P73" s="1"/>
      <c r="Q73" s="1"/>
      <c r="R73" s="1"/>
      <c r="S73" s="1"/>
      <c r="T73" s="1"/>
      <c r="U73" s="1"/>
      <c r="AD73" s="1"/>
    </row>
    <row r="74" spans="1:30" x14ac:dyDescent="0.2">
      <c r="A74" s="8">
        <v>1360</v>
      </c>
      <c r="B74" s="38">
        <v>9.2999999999999999E-7</v>
      </c>
      <c r="C74" s="38">
        <v>6.8609999999999998E-7</v>
      </c>
      <c r="D74" s="38">
        <v>8.8999999999999995E-7</v>
      </c>
      <c r="E74" s="3"/>
      <c r="F74" s="38">
        <f t="shared" si="1"/>
        <v>3.6614173228346454E-5</v>
      </c>
      <c r="G74" s="38">
        <f t="shared" si="1"/>
        <v>2.7011811023622049E-5</v>
      </c>
      <c r="H74" s="38">
        <f t="shared" si="1"/>
        <v>3.5039370078740156E-5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D74" s="1"/>
    </row>
    <row r="75" spans="1:30" x14ac:dyDescent="0.2">
      <c r="A75" s="8">
        <v>1380</v>
      </c>
      <c r="B75" s="38">
        <v>9.0400000000000005E-7</v>
      </c>
      <c r="C75" s="38">
        <v>6.8269999999999994E-7</v>
      </c>
      <c r="D75" s="38">
        <v>9.0700000000000006E-7</v>
      </c>
      <c r="E75" s="3"/>
      <c r="F75" s="38">
        <f t="shared" si="1"/>
        <v>3.559055118110237E-5</v>
      </c>
      <c r="G75" s="38">
        <f t="shared" si="1"/>
        <v>2.6877952755905512E-5</v>
      </c>
      <c r="H75" s="38">
        <f t="shared" si="1"/>
        <v>3.5708661417322839E-5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D75" s="1"/>
    </row>
    <row r="76" spans="1:30" x14ac:dyDescent="0.2">
      <c r="A76" s="8">
        <v>1400</v>
      </c>
      <c r="B76" s="38">
        <v>8.8099999999999991E-7</v>
      </c>
      <c r="C76" s="38">
        <v>6.7730000000000006E-7</v>
      </c>
      <c r="D76" s="38">
        <v>9.1099999999999994E-7</v>
      </c>
      <c r="E76" s="3"/>
      <c r="F76" s="38">
        <f t="shared" si="1"/>
        <v>3.4685039370078741E-5</v>
      </c>
      <c r="G76" s="38">
        <f t="shared" si="1"/>
        <v>2.6665354330708664E-5</v>
      </c>
      <c r="H76" s="38">
        <f t="shared" si="1"/>
        <v>3.586614173228346E-5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D76" s="1"/>
    </row>
    <row r="77" spans="1:30" x14ac:dyDescent="0.2">
      <c r="A77" s="8">
        <v>1420</v>
      </c>
      <c r="B77" s="38">
        <v>8.5700000000000001E-7</v>
      </c>
      <c r="C77" s="38">
        <v>6.7189999999999997E-7</v>
      </c>
      <c r="D77" s="38">
        <v>9.0599999999999999E-7</v>
      </c>
      <c r="E77" s="3"/>
      <c r="F77" s="38">
        <f t="shared" si="1"/>
        <v>3.3740157480314961E-5</v>
      </c>
      <c r="G77" s="38">
        <f t="shared" si="1"/>
        <v>2.6452755905511813E-5</v>
      </c>
      <c r="H77" s="38">
        <f t="shared" si="1"/>
        <v>3.566929133858268E-5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D77" s="1"/>
    </row>
    <row r="78" spans="1:30" x14ac:dyDescent="0.2">
      <c r="A78" s="8">
        <v>1440</v>
      </c>
      <c r="B78" s="38">
        <v>8.3200000000000004E-7</v>
      </c>
      <c r="C78" s="38">
        <v>6.6499999999999999E-7</v>
      </c>
      <c r="D78" s="38">
        <v>8.9899999999999999E-7</v>
      </c>
      <c r="E78" s="3"/>
      <c r="F78" s="38">
        <f t="shared" si="1"/>
        <v>3.2755905511811028E-5</v>
      </c>
      <c r="G78" s="38">
        <f t="shared" si="1"/>
        <v>2.6181102362204727E-5</v>
      </c>
      <c r="H78" s="38">
        <f t="shared" si="1"/>
        <v>3.5393700787401577E-5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D78" s="1"/>
    </row>
    <row r="79" spans="1:30" x14ac:dyDescent="0.2">
      <c r="A79" s="8">
        <v>1460</v>
      </c>
      <c r="B79" s="38">
        <v>8.0999999999999997E-7</v>
      </c>
      <c r="C79" s="38">
        <v>6.5780000000000008E-7</v>
      </c>
      <c r="D79" s="38">
        <v>8.9300000000000007E-7</v>
      </c>
      <c r="E79" s="3"/>
      <c r="F79" s="38">
        <f t="shared" si="1"/>
        <v>3.1889763779527558E-5</v>
      </c>
      <c r="G79" s="38">
        <f t="shared" si="1"/>
        <v>2.5897637795275594E-5</v>
      </c>
      <c r="H79" s="38">
        <f t="shared" si="1"/>
        <v>3.5157480314960632E-5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D79" s="1"/>
    </row>
    <row r="80" spans="1:30" x14ac:dyDescent="0.2">
      <c r="A80" s="8">
        <v>1480</v>
      </c>
      <c r="B80" s="38">
        <v>7.8699999999999994E-7</v>
      </c>
      <c r="C80" s="38">
        <v>6.5059999999999996E-7</v>
      </c>
      <c r="D80" s="38">
        <v>8.8800000000000001E-7</v>
      </c>
      <c r="E80" s="3"/>
      <c r="F80" s="38">
        <f t="shared" si="1"/>
        <v>3.0984251968503937E-5</v>
      </c>
      <c r="G80" s="38">
        <f t="shared" si="1"/>
        <v>2.5614173228346458E-5</v>
      </c>
      <c r="H80" s="38">
        <f t="shared" si="1"/>
        <v>3.4960629921259845E-5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D80" s="1"/>
    </row>
    <row r="81" spans="1:30" x14ac:dyDescent="0.2">
      <c r="A81" s="8">
        <v>1500</v>
      </c>
      <c r="B81" s="38">
        <v>7.6700000000000003E-7</v>
      </c>
      <c r="C81" s="38">
        <v>6.4450000000000003E-7</v>
      </c>
      <c r="D81" s="38">
        <v>8.8800000000000001E-7</v>
      </c>
      <c r="E81" s="3"/>
      <c r="F81" s="38">
        <f t="shared" si="1"/>
        <v>3.0196850393700787E-5</v>
      </c>
      <c r="G81" s="38">
        <f t="shared" si="1"/>
        <v>2.5374015748031498E-5</v>
      </c>
      <c r="H81" s="38">
        <f t="shared" si="1"/>
        <v>3.4960629921259845E-5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</row>
    <row r="82" spans="1:30" x14ac:dyDescent="0.2">
      <c r="A82" s="8">
        <v>1520</v>
      </c>
      <c r="B82" s="38">
        <v>7.4700000000000001E-7</v>
      </c>
      <c r="C82" s="38">
        <v>6.3750000000000004E-7</v>
      </c>
      <c r="D82" s="38">
        <v>8.8999999999999995E-7</v>
      </c>
      <c r="E82" s="3"/>
      <c r="F82" s="38">
        <f t="shared" si="1"/>
        <v>2.9409448818897641E-5</v>
      </c>
      <c r="G82" s="38">
        <f t="shared" si="1"/>
        <v>2.5098425196850398E-5</v>
      </c>
      <c r="H82" s="38">
        <f t="shared" si="1"/>
        <v>3.5039370078740156E-5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D82" s="1"/>
    </row>
    <row r="83" spans="1:30" x14ac:dyDescent="0.2">
      <c r="A83" s="8">
        <v>1540</v>
      </c>
      <c r="B83" s="38">
        <v>7.2800000000000006E-7</v>
      </c>
      <c r="C83" s="38">
        <v>6.3169999999999992E-7</v>
      </c>
      <c r="D83" s="38">
        <v>8.9599999999999998E-7</v>
      </c>
      <c r="E83" s="3"/>
      <c r="F83" s="38">
        <f t="shared" si="1"/>
        <v>2.8661417322834647E-5</v>
      </c>
      <c r="G83" s="38">
        <f t="shared" si="1"/>
        <v>2.4870078740157478E-5</v>
      </c>
      <c r="H83" s="38">
        <f t="shared" si="1"/>
        <v>3.5275590551181101E-5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D83" s="1"/>
    </row>
    <row r="84" spans="1:30" x14ac:dyDescent="0.2">
      <c r="A84" s="8">
        <v>1560</v>
      </c>
      <c r="B84" s="38">
        <v>7.1100000000000005E-7</v>
      </c>
      <c r="C84" s="38">
        <v>6.2610000000000003E-7</v>
      </c>
      <c r="D84" s="38">
        <v>9.02E-7</v>
      </c>
      <c r="E84" s="3"/>
      <c r="F84" s="38">
        <f t="shared" si="1"/>
        <v>2.7992125984251971E-5</v>
      </c>
      <c r="G84" s="38">
        <f t="shared" si="1"/>
        <v>2.4649606299212598E-5</v>
      </c>
      <c r="H84" s="38">
        <f t="shared" si="1"/>
        <v>3.5511811023622053E-5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D84" s="1"/>
    </row>
    <row r="85" spans="1:30" x14ac:dyDescent="0.2">
      <c r="A85" s="8">
        <v>1580</v>
      </c>
      <c r="B85" s="38">
        <v>6.9500000000000002E-7</v>
      </c>
      <c r="C85" s="38">
        <v>6.2049999999999992E-7</v>
      </c>
      <c r="D85" s="38">
        <v>9.1099999999999994E-7</v>
      </c>
      <c r="E85" s="3"/>
      <c r="F85" s="38">
        <f t="shared" si="1"/>
        <v>2.7362204724409449E-5</v>
      </c>
      <c r="G85" s="38">
        <f t="shared" si="1"/>
        <v>2.4429133858267718E-5</v>
      </c>
      <c r="H85" s="38">
        <f t="shared" si="1"/>
        <v>3.586614173228346E-5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D85" s="1"/>
    </row>
    <row r="86" spans="1:30" x14ac:dyDescent="0.2">
      <c r="A86" s="8">
        <v>1600</v>
      </c>
      <c r="B86" s="38">
        <v>6.7900000000000008E-7</v>
      </c>
      <c r="C86" s="38">
        <v>6.1500000000000004E-7</v>
      </c>
      <c r="D86" s="38">
        <v>9.2000000000000009E-7</v>
      </c>
      <c r="E86" s="3"/>
      <c r="F86" s="38">
        <f t="shared" si="1"/>
        <v>2.6732283464566934E-5</v>
      </c>
      <c r="G86" s="38">
        <f t="shared" si="1"/>
        <v>2.4212598425196855E-5</v>
      </c>
      <c r="H86" s="38">
        <f t="shared" si="1"/>
        <v>3.6220472440944888E-5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D86" s="1"/>
    </row>
    <row r="87" spans="1:30" x14ac:dyDescent="0.2">
      <c r="A87" s="8">
        <v>1620</v>
      </c>
      <c r="B87" s="38">
        <v>6.6300000000000005E-7</v>
      </c>
      <c r="C87" s="38">
        <v>6.1060000000000003E-7</v>
      </c>
      <c r="D87" s="38">
        <v>9.3200000000000003E-7</v>
      </c>
      <c r="E87" s="3"/>
      <c r="F87" s="38">
        <f t="shared" si="1"/>
        <v>2.6102362204724413E-5</v>
      </c>
      <c r="G87" s="38">
        <f t="shared" si="1"/>
        <v>2.4039370078740159E-5</v>
      </c>
      <c r="H87" s="38">
        <f t="shared" si="1"/>
        <v>3.6692913385826771E-5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D87" s="1"/>
    </row>
    <row r="88" spans="1:30" x14ac:dyDescent="0.2">
      <c r="A88" s="8">
        <v>1640</v>
      </c>
      <c r="B88" s="38">
        <v>6.4700000000000001E-7</v>
      </c>
      <c r="C88" s="38">
        <v>6.0519999999999994E-7</v>
      </c>
      <c r="D88" s="38">
        <v>9.4399999999999998E-7</v>
      </c>
      <c r="E88" s="3"/>
      <c r="F88" s="38">
        <f t="shared" si="1"/>
        <v>2.5472440944881891E-5</v>
      </c>
      <c r="G88" s="38">
        <f t="shared" si="1"/>
        <v>2.3826771653543308E-5</v>
      </c>
      <c r="H88" s="38">
        <f t="shared" si="1"/>
        <v>3.7165354330708662E-5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D88" s="1"/>
    </row>
    <row r="89" spans="1:30" x14ac:dyDescent="0.2">
      <c r="A89" s="8">
        <v>1660</v>
      </c>
      <c r="B89" s="38">
        <v>6.3300000000000002E-7</v>
      </c>
      <c r="C89" s="38">
        <v>5.9979999999999996E-7</v>
      </c>
      <c r="D89" s="38">
        <v>9.5600000000000004E-7</v>
      </c>
      <c r="E89" s="3"/>
      <c r="F89" s="38">
        <f t="shared" si="1"/>
        <v>2.4921259842519687E-5</v>
      </c>
      <c r="G89" s="38">
        <f t="shared" si="1"/>
        <v>2.3614173228346457E-5</v>
      </c>
      <c r="H89" s="38">
        <f t="shared" si="1"/>
        <v>3.7637795275590552E-5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D89" s="1"/>
    </row>
    <row r="90" spans="1:30" x14ac:dyDescent="0.2">
      <c r="A90" s="8">
        <v>1680</v>
      </c>
      <c r="B90" s="38">
        <v>6.1900000000000002E-7</v>
      </c>
      <c r="C90" s="38">
        <v>5.9540000000000005E-7</v>
      </c>
      <c r="D90" s="38">
        <v>9.6899999999999996E-7</v>
      </c>
      <c r="E90" s="3"/>
      <c r="F90" s="38">
        <f t="shared" si="1"/>
        <v>2.437007874015748E-5</v>
      </c>
      <c r="G90" s="38">
        <f t="shared" si="1"/>
        <v>2.3440944881889767E-5</v>
      </c>
      <c r="H90" s="38">
        <f t="shared" si="1"/>
        <v>3.8149606299212594E-5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D90" s="1"/>
    </row>
    <row r="91" spans="1:30" x14ac:dyDescent="0.2">
      <c r="A91" s="8">
        <v>1700</v>
      </c>
      <c r="B91" s="38">
        <v>6.0400000000000006E-7</v>
      </c>
      <c r="C91" s="38">
        <v>5.8999999999999996E-7</v>
      </c>
      <c r="D91" s="38">
        <v>9.8100000000000001E-7</v>
      </c>
      <c r="E91" s="3"/>
      <c r="F91" s="38">
        <f t="shared" si="1"/>
        <v>2.377952755905512E-5</v>
      </c>
      <c r="G91" s="38">
        <f t="shared" si="1"/>
        <v>2.3228346456692913E-5</v>
      </c>
      <c r="H91" s="38">
        <f t="shared" si="1"/>
        <v>3.8622047244094491E-5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D91" s="1"/>
    </row>
    <row r="92" spans="1:30" x14ac:dyDescent="0.2">
      <c r="A92" s="8">
        <v>1720</v>
      </c>
      <c r="B92" s="38">
        <v>5.9099999999999993E-7</v>
      </c>
      <c r="C92" s="38">
        <v>5.8549999999999994E-7</v>
      </c>
      <c r="D92" s="38">
        <v>9.9300000000000006E-7</v>
      </c>
      <c r="E92" s="3"/>
      <c r="F92" s="38">
        <f t="shared" si="1"/>
        <v>2.3267716535433071E-5</v>
      </c>
      <c r="G92" s="38">
        <f t="shared" si="1"/>
        <v>2.3051181102362206E-5</v>
      </c>
      <c r="H92" s="38">
        <f t="shared" si="1"/>
        <v>3.9094488188976381E-5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D92" s="1"/>
    </row>
    <row r="93" spans="1:30" x14ac:dyDescent="0.2">
      <c r="A93" s="8">
        <v>1740</v>
      </c>
      <c r="B93" s="38">
        <v>5.7699999999999994E-7</v>
      </c>
      <c r="C93" s="38">
        <v>5.8110000000000004E-7</v>
      </c>
      <c r="D93" s="38">
        <v>1.0070000000000001E-6</v>
      </c>
      <c r="E93" s="3"/>
      <c r="F93" s="38">
        <f t="shared" si="1"/>
        <v>2.2716535433070864E-5</v>
      </c>
      <c r="G93" s="38">
        <f t="shared" si="1"/>
        <v>2.2877952755905516E-5</v>
      </c>
      <c r="H93" s="38">
        <f t="shared" si="1"/>
        <v>3.9645669291338589E-5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D93" s="1"/>
    </row>
    <row r="94" spans="1:30" x14ac:dyDescent="0.2">
      <c r="A94" s="8">
        <v>1760</v>
      </c>
      <c r="B94" s="38">
        <v>5.6599999999999996E-7</v>
      </c>
      <c r="C94" s="38">
        <v>5.778E-7</v>
      </c>
      <c r="D94" s="38">
        <v>1.0189999999999999E-6</v>
      </c>
      <c r="E94" s="3"/>
      <c r="F94" s="38">
        <f t="shared" si="1"/>
        <v>2.2283464566929136E-5</v>
      </c>
      <c r="G94" s="38">
        <f t="shared" si="1"/>
        <v>2.274803149606299E-5</v>
      </c>
      <c r="H94" s="38">
        <f t="shared" si="1"/>
        <v>4.0118110236220472E-5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D94" s="1"/>
    </row>
    <row r="95" spans="1:30" x14ac:dyDescent="0.2">
      <c r="A95" s="8">
        <v>1780</v>
      </c>
      <c r="B95" s="38">
        <v>5.5300000000000004E-7</v>
      </c>
      <c r="C95" s="38">
        <v>5.7339999999999999E-7</v>
      </c>
      <c r="D95" s="38">
        <v>1.0329999999999999E-6</v>
      </c>
      <c r="E95" s="3"/>
      <c r="F95" s="38">
        <f t="shared" si="1"/>
        <v>2.1771653543307087E-5</v>
      </c>
      <c r="G95" s="38">
        <f t="shared" si="1"/>
        <v>2.2574803149606297E-5</v>
      </c>
      <c r="H95" s="38">
        <f t="shared" si="1"/>
        <v>4.0669291338582673E-5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D95" s="1"/>
    </row>
    <row r="96" spans="1:30" x14ac:dyDescent="0.2">
      <c r="A96" s="8">
        <v>1800</v>
      </c>
      <c r="B96" s="38">
        <v>5.4199999999999996E-7</v>
      </c>
      <c r="C96" s="38">
        <v>5.6899999999999997E-7</v>
      </c>
      <c r="D96" s="38">
        <v>1.046E-6</v>
      </c>
      <c r="E96" s="3"/>
      <c r="F96" s="38">
        <f t="shared" si="1"/>
        <v>2.1338582677165355E-5</v>
      </c>
      <c r="G96" s="38">
        <f t="shared" si="1"/>
        <v>2.2401574803149605E-5</v>
      </c>
      <c r="H96" s="38">
        <f t="shared" si="1"/>
        <v>4.1181102362204729E-5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D96" s="1"/>
    </row>
    <row r="97" spans="1:30" x14ac:dyDescent="0.2">
      <c r="A97" s="8">
        <v>1820</v>
      </c>
      <c r="B97" s="38">
        <v>5.3099999999999998E-7</v>
      </c>
      <c r="C97" s="38">
        <v>5.6570000000000004E-7</v>
      </c>
      <c r="D97" s="38">
        <v>1.0589999999999999E-6</v>
      </c>
      <c r="E97" s="3"/>
      <c r="F97" s="38">
        <f t="shared" si="1"/>
        <v>2.0905511811023623E-5</v>
      </c>
      <c r="G97" s="38">
        <f t="shared" si="1"/>
        <v>2.2271653543307089E-5</v>
      </c>
      <c r="H97" s="38">
        <f t="shared" si="1"/>
        <v>4.1692913385826778E-5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D97" s="1"/>
    </row>
    <row r="98" spans="1:30" x14ac:dyDescent="0.2">
      <c r="A98" s="8">
        <v>1840</v>
      </c>
      <c r="B98" s="38">
        <v>5.2099999999999997E-7</v>
      </c>
      <c r="C98" s="38">
        <v>5.6240000000000001E-7</v>
      </c>
      <c r="D98" s="38">
        <v>1.0729999999999999E-6</v>
      </c>
      <c r="E98" s="3"/>
      <c r="F98" s="38">
        <f t="shared" si="1"/>
        <v>2.0511811023622047E-5</v>
      </c>
      <c r="G98" s="38">
        <f t="shared" si="1"/>
        <v>2.2141732283464569E-5</v>
      </c>
      <c r="H98" s="38">
        <f t="shared" si="1"/>
        <v>4.2244094488188979E-5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D98" s="1"/>
    </row>
    <row r="99" spans="1:30" x14ac:dyDescent="0.2">
      <c r="A99" s="8">
        <v>1860</v>
      </c>
      <c r="B99" s="38">
        <v>5.1099999999999996E-7</v>
      </c>
      <c r="C99" s="38">
        <v>5.5919999999999998E-7</v>
      </c>
      <c r="D99" s="38">
        <v>1.0869999999999999E-6</v>
      </c>
      <c r="E99" s="3"/>
      <c r="F99" s="38">
        <f t="shared" si="1"/>
        <v>2.0118110236220471E-5</v>
      </c>
      <c r="G99" s="38">
        <f t="shared" si="1"/>
        <v>2.2015748031496061E-5</v>
      </c>
      <c r="H99" s="38">
        <f t="shared" si="1"/>
        <v>4.2795275590551179E-5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D99" s="1"/>
    </row>
    <row r="100" spans="1:30" x14ac:dyDescent="0.2">
      <c r="A100" s="8">
        <v>1880</v>
      </c>
      <c r="B100" s="38">
        <v>5.0200000000000002E-7</v>
      </c>
      <c r="C100" s="38">
        <v>5.5589999999999994E-7</v>
      </c>
      <c r="D100" s="38">
        <v>1.1000000000000001E-6</v>
      </c>
      <c r="E100" s="3"/>
      <c r="F100" s="38">
        <f t="shared" si="1"/>
        <v>1.976377952755906E-5</v>
      </c>
      <c r="G100" s="38">
        <f t="shared" si="1"/>
        <v>2.1885826771653541E-5</v>
      </c>
      <c r="H100" s="38">
        <f t="shared" si="1"/>
        <v>4.3307086614173235E-5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D100" s="1"/>
    </row>
    <row r="101" spans="1:30" x14ac:dyDescent="0.2">
      <c r="A101" s="8">
        <v>1900</v>
      </c>
      <c r="B101" s="38">
        <v>4.9299999999999998E-7</v>
      </c>
      <c r="C101" s="38">
        <v>5.5269999999999991E-7</v>
      </c>
      <c r="D101" s="38">
        <v>1.114E-6</v>
      </c>
      <c r="E101" s="3"/>
      <c r="F101" s="38">
        <f t="shared" si="1"/>
        <v>1.9409448818897635E-5</v>
      </c>
      <c r="G101" s="38">
        <f t="shared" si="1"/>
        <v>2.1759842519685036E-5</v>
      </c>
      <c r="H101" s="38">
        <f t="shared" si="1"/>
        <v>4.3858267716535436E-5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D101" s="1"/>
    </row>
    <row r="102" spans="1:30" x14ac:dyDescent="0.2">
      <c r="A102" s="8">
        <v>1920</v>
      </c>
      <c r="B102" s="38">
        <v>4.8500000000000002E-7</v>
      </c>
      <c r="C102" s="38">
        <v>5.5050000000000007E-7</v>
      </c>
      <c r="D102" s="38">
        <v>1.128E-6</v>
      </c>
      <c r="E102" s="3"/>
      <c r="F102" s="38">
        <f t="shared" si="1"/>
        <v>1.909448818897638E-5</v>
      </c>
      <c r="G102" s="38">
        <f t="shared" si="1"/>
        <v>2.1673228346456697E-5</v>
      </c>
      <c r="H102" s="38">
        <f t="shared" si="1"/>
        <v>4.4409448818897643E-5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D102" s="1"/>
    </row>
    <row r="103" spans="1:30" x14ac:dyDescent="0.2">
      <c r="A103" s="8">
        <v>1940</v>
      </c>
      <c r="B103" s="38">
        <v>4.7700000000000005E-7</v>
      </c>
      <c r="C103" s="38">
        <v>5.4830000000000001E-7</v>
      </c>
      <c r="D103" s="38">
        <v>1.1419999999999998E-6</v>
      </c>
      <c r="E103" s="3"/>
      <c r="F103" s="38">
        <f t="shared" si="1"/>
        <v>1.8779527559055121E-5</v>
      </c>
      <c r="G103" s="38">
        <f t="shared" si="1"/>
        <v>2.1586614173228351E-5</v>
      </c>
      <c r="H103" s="38">
        <f t="shared" si="1"/>
        <v>4.4960629921259837E-5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D103" s="1"/>
    </row>
    <row r="104" spans="1:30" x14ac:dyDescent="0.2">
      <c r="A104" s="8">
        <v>1960</v>
      </c>
      <c r="B104" s="38">
        <v>4.7000000000000005E-7</v>
      </c>
      <c r="C104" s="38">
        <v>5.4519999999999999E-7</v>
      </c>
      <c r="D104" s="38">
        <v>1.155E-6</v>
      </c>
      <c r="E104" s="3"/>
      <c r="F104" s="38">
        <f t="shared" si="1"/>
        <v>1.8503937007874017E-5</v>
      </c>
      <c r="G104" s="38">
        <f t="shared" si="1"/>
        <v>2.146456692913386E-5</v>
      </c>
      <c r="H104" s="38">
        <f t="shared" si="1"/>
        <v>4.5472440944881893E-5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D104" s="1"/>
    </row>
    <row r="105" spans="1:30" x14ac:dyDescent="0.2">
      <c r="A105" s="8">
        <v>1980</v>
      </c>
      <c r="B105" s="38">
        <v>4.6299999999999995E-7</v>
      </c>
      <c r="C105" s="38">
        <v>5.44E-7</v>
      </c>
      <c r="D105" s="38">
        <v>1.1740000000000001E-6</v>
      </c>
      <c r="E105" s="3"/>
      <c r="F105" s="38">
        <f t="shared" si="1"/>
        <v>1.822834645669291E-5</v>
      </c>
      <c r="G105" s="38">
        <f t="shared" si="1"/>
        <v>2.1417322834645669E-5</v>
      </c>
      <c r="H105" s="38">
        <f t="shared" si="1"/>
        <v>4.6220472440944887E-5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D105" s="1"/>
    </row>
    <row r="106" spans="1:30" x14ac:dyDescent="0.2">
      <c r="A106" s="8">
        <v>2000</v>
      </c>
      <c r="B106" s="38">
        <v>4.5700000000000003E-7</v>
      </c>
      <c r="C106" s="38">
        <v>5.4190000000000005E-7</v>
      </c>
      <c r="D106" s="38">
        <v>1.1829999999999999E-6</v>
      </c>
      <c r="E106" s="3"/>
      <c r="F106" s="38">
        <f t="shared" si="1"/>
        <v>1.7992125984251971E-5</v>
      </c>
      <c r="G106" s="38">
        <f t="shared" si="1"/>
        <v>2.1334645669291344E-5</v>
      </c>
      <c r="H106" s="38">
        <f t="shared" si="1"/>
        <v>4.6574803149606301E-5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D106" s="1"/>
    </row>
    <row r="107" spans="1:30" x14ac:dyDescent="0.2">
      <c r="A107" s="8">
        <v>2020</v>
      </c>
      <c r="B107" s="38">
        <v>4.51E-7</v>
      </c>
      <c r="C107" s="38">
        <v>5.4069999999999996E-7</v>
      </c>
      <c r="D107" s="38">
        <v>1.201E-6</v>
      </c>
      <c r="E107" s="3"/>
      <c r="F107" s="38">
        <f t="shared" si="1"/>
        <v>1.7755905511811026E-5</v>
      </c>
      <c r="G107" s="38">
        <f t="shared" si="1"/>
        <v>2.128740157480315E-5</v>
      </c>
      <c r="H107" s="38">
        <f t="shared" si="1"/>
        <v>4.7283464566929137E-5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D107" s="1"/>
    </row>
    <row r="108" spans="1:30" x14ac:dyDescent="0.2">
      <c r="A108" s="8">
        <v>2040</v>
      </c>
      <c r="B108" s="38">
        <v>4.4499999999999997E-7</v>
      </c>
      <c r="C108" s="38">
        <v>5.3959999999999999E-7</v>
      </c>
      <c r="D108" s="38">
        <v>1.22E-6</v>
      </c>
      <c r="E108" s="3"/>
      <c r="F108" s="38">
        <f t="shared" si="1"/>
        <v>1.7519685039370078E-5</v>
      </c>
      <c r="G108" s="38">
        <f t="shared" si="1"/>
        <v>2.1244094488188976E-5</v>
      </c>
      <c r="H108" s="38">
        <f t="shared" si="1"/>
        <v>4.8031496062992124E-5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D108" s="1"/>
    </row>
    <row r="109" spans="1:30" x14ac:dyDescent="0.2">
      <c r="A109" s="8">
        <v>2060</v>
      </c>
      <c r="B109" s="38">
        <v>4.3999999999999997E-7</v>
      </c>
      <c r="C109" s="38">
        <v>5.3850000000000001E-7</v>
      </c>
      <c r="D109" s="38">
        <v>1.229E-6</v>
      </c>
      <c r="E109" s="3"/>
      <c r="F109" s="38">
        <f t="shared" si="1"/>
        <v>1.7322834645669291E-5</v>
      </c>
      <c r="G109" s="38">
        <f t="shared" si="1"/>
        <v>2.1200787401574807E-5</v>
      </c>
      <c r="H109" s="38">
        <f t="shared" si="1"/>
        <v>4.8385826771653545E-5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D109" s="1"/>
    </row>
    <row r="110" spans="1:30" x14ac:dyDescent="0.2">
      <c r="A110" s="8">
        <v>2080</v>
      </c>
      <c r="B110" s="38">
        <v>4.3500000000000002E-7</v>
      </c>
      <c r="C110" s="38">
        <v>5.3729999999999992E-7</v>
      </c>
      <c r="D110" s="38">
        <v>1.2469999999999999E-6</v>
      </c>
      <c r="E110" s="3"/>
      <c r="F110" s="38">
        <f t="shared" si="1"/>
        <v>1.7125984251968505E-5</v>
      </c>
      <c r="G110" s="38">
        <f t="shared" si="1"/>
        <v>2.1153543307086612E-5</v>
      </c>
      <c r="H110" s="38">
        <f t="shared" si="1"/>
        <v>4.9094488188976374E-5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D110" s="1"/>
    </row>
    <row r="111" spans="1:30" x14ac:dyDescent="0.2">
      <c r="A111" s="8">
        <v>2100</v>
      </c>
      <c r="B111" s="38">
        <v>4.3099999999999998E-7</v>
      </c>
      <c r="C111" s="38">
        <v>5.3719999999999991E-7</v>
      </c>
      <c r="D111" s="38">
        <v>1.266E-6</v>
      </c>
      <c r="E111" s="3"/>
      <c r="F111" s="38">
        <f t="shared" si="1"/>
        <v>1.6968503937007874E-5</v>
      </c>
      <c r="G111" s="38">
        <f t="shared" si="1"/>
        <v>2.1149606299212598E-5</v>
      </c>
      <c r="H111" s="38">
        <f t="shared" si="1"/>
        <v>4.9842519685039375E-5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D111" s="1"/>
    </row>
    <row r="112" spans="1:30" x14ac:dyDescent="0.2">
      <c r="A112" s="8">
        <v>2120</v>
      </c>
      <c r="B112" s="38">
        <v>4.2600000000000003E-7</v>
      </c>
      <c r="C112" s="38">
        <v>5.3709999999999991E-7</v>
      </c>
      <c r="D112" s="38">
        <v>1.2839999999999999E-6</v>
      </c>
      <c r="E112" s="3"/>
      <c r="F112" s="38">
        <f t="shared" si="1"/>
        <v>1.6771653543307091E-5</v>
      </c>
      <c r="G112" s="38">
        <f t="shared" si="1"/>
        <v>2.114566929133858E-5</v>
      </c>
      <c r="H112" s="38">
        <f t="shared" si="1"/>
        <v>5.055118110236221E-5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D112" s="1"/>
    </row>
    <row r="113" spans="1:30" x14ac:dyDescent="0.2">
      <c r="A113" s="8">
        <v>2140</v>
      </c>
      <c r="B113" s="38">
        <v>4.2200000000000005E-7</v>
      </c>
      <c r="C113" s="38">
        <v>5.369E-7</v>
      </c>
      <c r="D113" s="38">
        <v>1.3030000000000001E-6</v>
      </c>
      <c r="E113" s="3"/>
      <c r="F113" s="38">
        <f t="shared" si="1"/>
        <v>1.6614173228346459E-5</v>
      </c>
      <c r="G113" s="38">
        <f t="shared" si="1"/>
        <v>2.1137795275590551E-5</v>
      </c>
      <c r="H113" s="38">
        <f t="shared" si="1"/>
        <v>5.1299212598425204E-5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D113" s="1"/>
    </row>
    <row r="114" spans="1:30" x14ac:dyDescent="0.2">
      <c r="A114" s="8">
        <v>2160</v>
      </c>
      <c r="B114" s="38">
        <v>4.1799999999999996E-7</v>
      </c>
      <c r="C114" s="38">
        <v>5.3679999999999999E-7</v>
      </c>
      <c r="D114" s="38">
        <v>1.3210000000000001E-6</v>
      </c>
      <c r="E114" s="3"/>
      <c r="F114" s="38">
        <f t="shared" si="1"/>
        <v>1.6456692913385828E-5</v>
      </c>
      <c r="G114" s="38">
        <f t="shared" si="1"/>
        <v>2.113385826771654E-5</v>
      </c>
      <c r="H114" s="38">
        <f t="shared" si="1"/>
        <v>5.2007874015748039E-5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D114" s="1"/>
    </row>
    <row r="115" spans="1:30" x14ac:dyDescent="0.2">
      <c r="A115" s="8">
        <v>2180</v>
      </c>
      <c r="B115" s="38">
        <v>4.1300000000000001E-7</v>
      </c>
      <c r="C115" s="38">
        <v>5.3770000000000006E-7</v>
      </c>
      <c r="D115" s="38">
        <v>1.3400000000000001E-6</v>
      </c>
      <c r="E115" s="3"/>
      <c r="F115" s="38">
        <f t="shared" si="1"/>
        <v>1.6259842519685042E-5</v>
      </c>
      <c r="G115" s="38">
        <f t="shared" si="1"/>
        <v>2.1169291338582677E-5</v>
      </c>
      <c r="H115" s="38">
        <f t="shared" si="1"/>
        <v>5.2755905511811027E-5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D115" s="1"/>
    </row>
    <row r="116" spans="1:30" x14ac:dyDescent="0.2">
      <c r="A116" s="8">
        <v>2200</v>
      </c>
      <c r="B116" s="38">
        <v>4.0900000000000002E-7</v>
      </c>
      <c r="C116" s="38">
        <v>5.3860000000000002E-7</v>
      </c>
      <c r="D116" s="38">
        <v>1.3680000000000001E-6</v>
      </c>
      <c r="E116" s="3"/>
      <c r="F116" s="38">
        <f t="shared" si="1"/>
        <v>1.610236220472441E-5</v>
      </c>
      <c r="G116" s="38">
        <f t="shared" si="1"/>
        <v>2.1204724409448818E-5</v>
      </c>
      <c r="H116" s="38">
        <f t="shared" si="1"/>
        <v>5.3858267716535442E-5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D116" s="1"/>
    </row>
    <row r="117" spans="1:30" x14ac:dyDescent="0.2">
      <c r="A117" s="8">
        <v>2220</v>
      </c>
      <c r="B117" s="38">
        <v>4.0600000000000001E-7</v>
      </c>
      <c r="C117" s="38">
        <v>5.3949999999999998E-7</v>
      </c>
      <c r="D117" s="38">
        <v>1.387E-6</v>
      </c>
      <c r="E117" s="3"/>
      <c r="F117" s="38">
        <f t="shared" si="1"/>
        <v>1.5984251968503938E-5</v>
      </c>
      <c r="G117" s="38">
        <f t="shared" si="1"/>
        <v>2.1240157480314958E-5</v>
      </c>
      <c r="H117" s="38">
        <f t="shared" si="1"/>
        <v>5.4606299212598429E-5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D117" s="1"/>
    </row>
    <row r="118" spans="1:30" x14ac:dyDescent="0.2">
      <c r="A118" s="8">
        <v>2240</v>
      </c>
      <c r="B118" s="38">
        <v>4.0200000000000003E-7</v>
      </c>
      <c r="C118" s="38">
        <v>5.4030000000000004E-7</v>
      </c>
      <c r="D118" s="38">
        <v>1.415E-6</v>
      </c>
      <c r="E118" s="3"/>
      <c r="F118" s="38">
        <f t="shared" si="1"/>
        <v>1.582677165354331E-5</v>
      </c>
      <c r="G118" s="38">
        <f t="shared" si="1"/>
        <v>2.1271653543307091E-5</v>
      </c>
      <c r="H118" s="38">
        <f t="shared" si="1"/>
        <v>5.5708661417322837E-5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D118" s="1"/>
    </row>
    <row r="119" spans="1:30" x14ac:dyDescent="0.2">
      <c r="A119" s="8">
        <v>2260</v>
      </c>
      <c r="B119" s="38">
        <v>3.9699999999999997E-7</v>
      </c>
      <c r="C119" s="38">
        <v>5.412E-7</v>
      </c>
      <c r="D119" s="38">
        <v>1.4440000000000001E-6</v>
      </c>
      <c r="E119" s="3"/>
      <c r="F119" s="38">
        <f t="shared" si="1"/>
        <v>1.5629921259842517E-5</v>
      </c>
      <c r="G119" s="38">
        <f t="shared" si="1"/>
        <v>2.1307086614173232E-5</v>
      </c>
      <c r="H119" s="38">
        <f t="shared" si="1"/>
        <v>5.6850393700787404E-5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D119" s="1"/>
    </row>
    <row r="120" spans="1:30" x14ac:dyDescent="0.2">
      <c r="A120" s="8">
        <v>2280</v>
      </c>
      <c r="B120" s="38">
        <v>3.9299999999999999E-7</v>
      </c>
      <c r="C120" s="38">
        <v>5.4209999999999996E-7</v>
      </c>
      <c r="D120" s="38">
        <v>1.4720000000000001E-6</v>
      </c>
      <c r="E120" s="3"/>
      <c r="F120" s="38">
        <f t="shared" si="1"/>
        <v>1.5472440944881892E-5</v>
      </c>
      <c r="G120" s="38">
        <f t="shared" si="1"/>
        <v>2.1342519685039373E-5</v>
      </c>
      <c r="H120" s="38">
        <f t="shared" si="1"/>
        <v>5.7952755905511813E-5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D120" s="1"/>
    </row>
    <row r="121" spans="1:30" x14ac:dyDescent="0.2">
      <c r="A121" s="8">
        <v>2300</v>
      </c>
      <c r="B121" s="38">
        <v>3.89E-7</v>
      </c>
      <c r="C121" s="38">
        <v>5.4299999999999993E-7</v>
      </c>
      <c r="D121" s="38">
        <v>1.5009999999999999E-6</v>
      </c>
      <c r="E121" s="3"/>
      <c r="F121" s="38">
        <f t="shared" si="1"/>
        <v>1.5314960629921261E-5</v>
      </c>
      <c r="G121" s="38">
        <f t="shared" si="1"/>
        <v>2.137795275590551E-5</v>
      </c>
      <c r="H121" s="38">
        <f t="shared" si="1"/>
        <v>5.909448818897638E-5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D121" s="1"/>
    </row>
    <row r="122" spans="1:30" x14ac:dyDescent="0.2">
      <c r="A122" s="8">
        <v>2320</v>
      </c>
      <c r="B122" s="38">
        <v>3.84E-7</v>
      </c>
      <c r="C122" s="38">
        <v>5.4489999999999996E-7</v>
      </c>
      <c r="D122" s="38">
        <v>1.53E-6</v>
      </c>
      <c r="E122" s="3"/>
      <c r="F122" s="38">
        <f t="shared" si="1"/>
        <v>1.5118110236220473E-5</v>
      </c>
      <c r="G122" s="38">
        <f t="shared" si="1"/>
        <v>2.145275590551181E-5</v>
      </c>
      <c r="H122" s="38">
        <f t="shared" si="1"/>
        <v>6.0236220472440947E-5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D122" s="1"/>
    </row>
    <row r="123" spans="1:30" x14ac:dyDescent="0.2">
      <c r="A123" s="8">
        <v>2340</v>
      </c>
      <c r="B123" s="38">
        <v>3.7899999999999999E-7</v>
      </c>
      <c r="C123" s="38">
        <v>5.4579999999999992E-7</v>
      </c>
      <c r="D123" s="38">
        <v>1.5690000000000001E-6</v>
      </c>
      <c r="E123" s="3"/>
      <c r="F123" s="38">
        <f t="shared" si="1"/>
        <v>1.4921259842519686E-5</v>
      </c>
      <c r="G123" s="38">
        <f t="shared" si="1"/>
        <v>2.1488188976377951E-5</v>
      </c>
      <c r="H123" s="38">
        <f t="shared" si="1"/>
        <v>6.1771653543307093E-5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D123" s="1"/>
    </row>
    <row r="124" spans="1:30" x14ac:dyDescent="0.2">
      <c r="A124" s="8">
        <v>2360</v>
      </c>
      <c r="B124" s="38">
        <v>3.7500000000000001E-7</v>
      </c>
      <c r="C124" s="38">
        <v>5.4770000000000007E-7</v>
      </c>
      <c r="D124" s="38">
        <v>1.5970000000000001E-6</v>
      </c>
      <c r="E124" s="3"/>
      <c r="F124" s="38">
        <f t="shared" si="1"/>
        <v>1.4763779527559057E-5</v>
      </c>
      <c r="G124" s="38">
        <f t="shared" si="1"/>
        <v>2.1562992125984253E-5</v>
      </c>
      <c r="H124" s="38">
        <f t="shared" si="1"/>
        <v>6.2874015748031508E-5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D124" s="1"/>
    </row>
    <row r="125" spans="1:30" x14ac:dyDescent="0.2">
      <c r="A125" s="8">
        <v>2380</v>
      </c>
      <c r="B125" s="38">
        <v>3.6899999999999998E-7</v>
      </c>
      <c r="C125" s="38">
        <v>5.4850000000000002E-7</v>
      </c>
      <c r="D125" s="38">
        <v>1.646E-6</v>
      </c>
      <c r="E125" s="3"/>
      <c r="F125" s="38">
        <f t="shared" si="1"/>
        <v>1.452755905511811E-5</v>
      </c>
      <c r="G125" s="38">
        <f t="shared" si="1"/>
        <v>2.159448818897638E-5</v>
      </c>
      <c r="H125" s="38">
        <f t="shared" si="1"/>
        <v>6.4803149606299215E-5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D125" s="1"/>
    </row>
    <row r="126" spans="1:30" x14ac:dyDescent="0.2">
      <c r="A126" s="8">
        <v>2400</v>
      </c>
      <c r="B126" s="38">
        <v>3.6400000000000003E-7</v>
      </c>
      <c r="C126" s="38">
        <v>5.4939999999999998E-7</v>
      </c>
      <c r="D126" s="38">
        <v>1.685E-6</v>
      </c>
      <c r="E126" s="3"/>
      <c r="F126" s="38">
        <f t="shared" si="1"/>
        <v>1.4330708661417324E-5</v>
      </c>
      <c r="G126" s="38">
        <f t="shared" si="1"/>
        <v>2.162992125984252E-5</v>
      </c>
      <c r="H126" s="38">
        <f t="shared" si="1"/>
        <v>6.6338582677165348E-5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D126" s="1"/>
    </row>
    <row r="127" spans="1:30" x14ac:dyDescent="0.2">
      <c r="A127" s="3"/>
      <c r="B127" s="3"/>
      <c r="C127" s="3"/>
      <c r="D127" s="3"/>
      <c r="E127" s="3"/>
      <c r="F127" s="3"/>
      <c r="G127" s="3"/>
      <c r="H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D127" s="1"/>
    </row>
    <row r="128" spans="1:30" x14ac:dyDescent="0.2">
      <c r="A128" s="8" t="s">
        <v>21</v>
      </c>
      <c r="B128" s="38">
        <f>MAX(B6:B126)</f>
        <v>1.8649999999999999E-6</v>
      </c>
      <c r="C128" s="38">
        <f>MAX(C6:C126)</f>
        <v>7.3440000000000001E-7</v>
      </c>
      <c r="D128" s="38">
        <f>MAX(D6:D126)</f>
        <v>1.685E-6</v>
      </c>
      <c r="E128" s="4"/>
      <c r="F128" s="38">
        <f>MAX(F20:F126)</f>
        <v>7.3425196850393702E-5</v>
      </c>
      <c r="G128" s="38">
        <f>MAX(G20:G126)</f>
        <v>2.8913385826771654E-5</v>
      </c>
      <c r="H128" s="38">
        <f>MAX(H20:H126)</f>
        <v>6.6338582677165348E-5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D128" s="1"/>
    </row>
    <row r="129" spans="1:30" x14ac:dyDescent="0.2">
      <c r="A129" s="8" t="s">
        <v>22</v>
      </c>
      <c r="B129" s="38">
        <f>B128*limits!$E29</f>
        <v>3.4763817107073456E-4</v>
      </c>
      <c r="C129" s="38">
        <f>C128*limits!$E29</f>
        <v>1.3689301492458307E-4</v>
      </c>
      <c r="D129" s="38">
        <f>D128*limits!$E29</f>
        <v>3.1408596153039553E-4</v>
      </c>
      <c r="E129" s="4"/>
      <c r="F129" s="38">
        <f>F128*limits!$E29</f>
        <v>1.3686542168139155E-2</v>
      </c>
      <c r="G129" s="38">
        <f>G128*limits!$E29</f>
        <v>5.3894887765583892E-3</v>
      </c>
      <c r="H129" s="38">
        <f>H128*limits!$E29</f>
        <v>1.2365589036629744E-2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D129" s="1"/>
    </row>
    <row r="130" spans="1:30" x14ac:dyDescent="0.2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D130" s="1"/>
    </row>
    <row r="131" spans="1:30" x14ac:dyDescent="0.2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D131" s="1"/>
    </row>
    <row r="132" spans="1:30" x14ac:dyDescent="0.2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D132" s="1"/>
    </row>
    <row r="133" spans="1:30" x14ac:dyDescent="0.2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D133" s="1"/>
    </row>
    <row r="134" spans="1:30" x14ac:dyDescent="0.2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D134" s="1"/>
    </row>
    <row r="135" spans="1:30" x14ac:dyDescent="0.2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D135" s="1"/>
    </row>
    <row r="136" spans="1:30" x14ac:dyDescent="0.2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D136" s="1"/>
    </row>
    <row r="137" spans="1:30" x14ac:dyDescent="0.2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</row>
    <row r="138" spans="1:30" x14ac:dyDescent="0.2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1"/>
    </row>
    <row r="139" spans="1:30" x14ac:dyDescent="0.2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1"/>
    </row>
    <row r="140" spans="1:30" x14ac:dyDescent="0.2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1"/>
    </row>
  </sheetData>
  <mergeCells count="4">
    <mergeCell ref="F2:H2"/>
    <mergeCell ref="A4:A5"/>
    <mergeCell ref="B4:D4"/>
    <mergeCell ref="F4:H4"/>
  </mergeCells>
  <printOptions horizontalCentered="1"/>
  <pageMargins left="0.75" right="0.75" top="1.5" bottom="0.5" header="0.75" footer="0.75"/>
  <pageSetup orientation="portrait" r:id="rId1"/>
  <headerFooter alignWithMargins="0">
    <oddHeader>&amp;L&amp;8&amp;F&amp;R&amp;8&amp;D
By: SS
Chkd:___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467E-9329-4794-9D9C-8921C27E1497}">
  <dimension ref="A1:AD140"/>
  <sheetViews>
    <sheetView showGridLines="0" topLeftCell="C1" zoomScaleNormal="100" workbookViewId="0">
      <selection activeCell="W15" sqref="W15"/>
    </sheetView>
  </sheetViews>
  <sheetFormatPr defaultRowHeight="12.75" x14ac:dyDescent="0.2"/>
  <cols>
    <col min="1" max="1" width="12" customWidth="1"/>
    <col min="2" max="4" width="10.42578125" bestFit="1" customWidth="1"/>
    <col min="5" max="5" width="5.5703125" customWidth="1"/>
    <col min="19" max="19" width="9.28515625" bestFit="1" customWidth="1"/>
    <col min="20" max="21" width="9.28515625" customWidth="1"/>
    <col min="22" max="22" width="12.140625" style="36" customWidth="1"/>
    <col min="23" max="25" width="9.5703125" style="36" bestFit="1" customWidth="1"/>
    <col min="26" max="26" width="9.140625" style="36"/>
    <col min="27" max="27" width="10.85546875" style="36" bestFit="1" customWidth="1"/>
    <col min="28" max="28" width="9.28515625" style="36" customWidth="1"/>
    <col min="29" max="29" width="10.85546875" style="36" bestFit="1" customWidth="1"/>
    <col min="31" max="31" width="9.28515625" bestFit="1" customWidth="1"/>
    <col min="32" max="32" width="13" bestFit="1" customWidth="1"/>
    <col min="33" max="33" width="9.28515625" bestFit="1" customWidth="1"/>
    <col min="35" max="38" width="9.28515625" bestFit="1" customWidth="1"/>
    <col min="39" max="40" width="10.5703125" bestFit="1" customWidth="1"/>
    <col min="41" max="41" width="9.28515625" bestFit="1" customWidth="1"/>
    <col min="42" max="43" width="10.5703125" bestFit="1" customWidth="1"/>
    <col min="49" max="50" width="10.5703125" bestFit="1" customWidth="1"/>
    <col min="51" max="51" width="9.28515625" bestFit="1" customWidth="1"/>
    <col min="52" max="53" width="10.5703125" bestFit="1" customWidth="1"/>
  </cols>
  <sheetData>
    <row r="1" spans="1:30" x14ac:dyDescent="0.2">
      <c r="A1" s="37" t="s">
        <v>33</v>
      </c>
      <c r="B1" s="3"/>
      <c r="C1" s="3"/>
      <c r="D1" s="3"/>
      <c r="E1" s="3"/>
      <c r="F1" s="3"/>
      <c r="G1" s="3"/>
      <c r="H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</row>
    <row r="2" spans="1:30" x14ac:dyDescent="0.2">
      <c r="A2" s="22" t="s">
        <v>40</v>
      </c>
      <c r="B2" s="1"/>
      <c r="C2" s="1"/>
      <c r="D2" s="1"/>
      <c r="E2" s="3"/>
      <c r="F2" s="40"/>
      <c r="G2" s="40"/>
      <c r="H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1"/>
    </row>
    <row r="3" spans="1:30" x14ac:dyDescent="0.2">
      <c r="A3" s="22" t="s">
        <v>39</v>
      </c>
      <c r="B3" s="36"/>
      <c r="C3" s="36"/>
      <c r="D3" s="36"/>
      <c r="E3" s="36"/>
      <c r="F3" s="36"/>
      <c r="G3" s="36"/>
      <c r="H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1"/>
    </row>
    <row r="4" spans="1:30" x14ac:dyDescent="0.2">
      <c r="A4" s="41" t="s">
        <v>35</v>
      </c>
      <c r="B4" s="43" t="s">
        <v>36</v>
      </c>
      <c r="C4" s="43"/>
      <c r="D4" s="43"/>
      <c r="E4" s="3"/>
      <c r="F4" s="43" t="s">
        <v>37</v>
      </c>
      <c r="G4" s="43"/>
      <c r="H4" s="4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1"/>
    </row>
    <row r="5" spans="1:30" x14ac:dyDescent="0.2">
      <c r="A5" s="42"/>
      <c r="B5" s="8" t="s">
        <v>0</v>
      </c>
      <c r="C5" s="8" t="s">
        <v>1</v>
      </c>
      <c r="D5" s="8" t="s">
        <v>2</v>
      </c>
      <c r="E5" s="3"/>
      <c r="F5" s="8" t="s">
        <v>0</v>
      </c>
      <c r="G5" s="8" t="s">
        <v>1</v>
      </c>
      <c r="H5" s="8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1"/>
    </row>
    <row r="6" spans="1:30" x14ac:dyDescent="0.2">
      <c r="A6" s="35">
        <v>0</v>
      </c>
      <c r="B6" s="38">
        <v>1.6946E-16</v>
      </c>
      <c r="C6" s="38">
        <v>1.5849999999999998E-17</v>
      </c>
      <c r="D6" s="38">
        <v>5.1119999999999999E-17</v>
      </c>
      <c r="E6" s="3"/>
      <c r="F6" s="38">
        <f>B6*1000/25.4</f>
        <v>6.6716535433070868E-15</v>
      </c>
      <c r="G6" s="38">
        <f>C6*1000/25.4</f>
        <v>6.2401574803149593E-16</v>
      </c>
      <c r="H6" s="38">
        <f>D6*1000/25.4</f>
        <v>2.0125984251968507E-15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1"/>
    </row>
    <row r="7" spans="1:30" x14ac:dyDescent="0.2">
      <c r="A7" s="35">
        <v>20</v>
      </c>
      <c r="B7" s="38">
        <v>1.0399999999999999E-9</v>
      </c>
      <c r="C7" s="38">
        <v>1.367E-10</v>
      </c>
      <c r="D7" s="38">
        <v>3.0299999999999999E-10</v>
      </c>
      <c r="E7" s="3"/>
      <c r="F7" s="38">
        <f t="shared" ref="F7:H70" si="0">B7*1000/25.4</f>
        <v>4.094488188976378E-8</v>
      </c>
      <c r="G7" s="38">
        <f t="shared" si="0"/>
        <v>5.3818897637795281E-9</v>
      </c>
      <c r="H7" s="38">
        <f t="shared" si="0"/>
        <v>1.1929133858267718E-8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3"/>
      <c r="AC7" s="3"/>
      <c r="AD7" s="1"/>
    </row>
    <row r="8" spans="1:30" x14ac:dyDescent="0.2">
      <c r="A8" s="35">
        <v>40</v>
      </c>
      <c r="B8" s="38">
        <v>4.037E-9</v>
      </c>
      <c r="C8" s="38">
        <v>5.3100000000000003E-10</v>
      </c>
      <c r="D8" s="38">
        <v>1.235E-9</v>
      </c>
      <c r="E8" s="3"/>
      <c r="F8" s="38">
        <f t="shared" si="0"/>
        <v>1.5893700787401575E-7</v>
      </c>
      <c r="G8" s="38">
        <f t="shared" si="0"/>
        <v>2.0905511811023623E-8</v>
      </c>
      <c r="H8" s="38">
        <f t="shared" si="0"/>
        <v>4.8622047244094489E-8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1"/>
    </row>
    <row r="9" spans="1:30" x14ac:dyDescent="0.2">
      <c r="A9" s="35">
        <v>60</v>
      </c>
      <c r="B9" s="38">
        <v>9.0700000000000011E-9</v>
      </c>
      <c r="C9" s="38">
        <v>1.1929999999999999E-9</v>
      </c>
      <c r="D9" s="38">
        <v>2.8199999999999998E-9</v>
      </c>
      <c r="E9" s="3"/>
      <c r="F9" s="38">
        <f t="shared" si="0"/>
        <v>3.5708661417322843E-7</v>
      </c>
      <c r="G9" s="38">
        <f t="shared" si="0"/>
        <v>4.696850393700787E-8</v>
      </c>
      <c r="H9" s="38">
        <f t="shared" si="0"/>
        <v>1.1102362204724409E-7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D9" s="3"/>
    </row>
    <row r="10" spans="1:30" x14ac:dyDescent="0.2">
      <c r="A10" s="35">
        <v>80</v>
      </c>
      <c r="B10" s="38">
        <v>1.653E-8</v>
      </c>
      <c r="C10" s="38">
        <v>2.1900000000000001E-9</v>
      </c>
      <c r="D10" s="38">
        <v>5.0899999999999996E-9</v>
      </c>
      <c r="E10" s="3"/>
      <c r="F10" s="38">
        <f t="shared" si="0"/>
        <v>6.5078740157480314E-7</v>
      </c>
      <c r="G10" s="38">
        <f t="shared" si="0"/>
        <v>8.6220472440944897E-8</v>
      </c>
      <c r="H10" s="38">
        <f t="shared" si="0"/>
        <v>2.0039370078740157E-7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D10" s="3"/>
    </row>
    <row r="11" spans="1:30" x14ac:dyDescent="0.2">
      <c r="A11" s="35">
        <v>100</v>
      </c>
      <c r="B11" s="38">
        <v>2.6049999999999998E-8</v>
      </c>
      <c r="C11" s="38">
        <v>3.4699999999999998E-9</v>
      </c>
      <c r="D11" s="38">
        <v>8.1199999999999993E-9</v>
      </c>
      <c r="E11" s="3"/>
      <c r="F11" s="38">
        <f t="shared" si="0"/>
        <v>1.0255905511811023E-6</v>
      </c>
      <c r="G11" s="38">
        <f t="shared" si="0"/>
        <v>1.3661417322834645E-7</v>
      </c>
      <c r="H11" s="38">
        <f t="shared" si="0"/>
        <v>3.1968503937007868E-7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AD11" s="3"/>
    </row>
    <row r="12" spans="1:30" x14ac:dyDescent="0.2">
      <c r="A12" s="35">
        <v>120</v>
      </c>
      <c r="B12" s="38">
        <v>3.826E-8</v>
      </c>
      <c r="C12" s="38">
        <v>5.1300000000000003E-9</v>
      </c>
      <c r="D12" s="38">
        <v>1.194E-8</v>
      </c>
      <c r="E12" s="3"/>
      <c r="F12" s="38">
        <f t="shared" si="0"/>
        <v>1.5062992125984254E-6</v>
      </c>
      <c r="G12" s="38">
        <f t="shared" si="0"/>
        <v>2.0196850393700788E-7</v>
      </c>
      <c r="H12" s="38">
        <f t="shared" si="0"/>
        <v>4.7007874015748033E-7</v>
      </c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AD12" s="1"/>
    </row>
    <row r="13" spans="1:30" x14ac:dyDescent="0.2">
      <c r="A13" s="35">
        <v>140</v>
      </c>
      <c r="B13" s="38">
        <v>5.3300000000000001E-8</v>
      </c>
      <c r="C13" s="38">
        <v>7.1600000000000001E-9</v>
      </c>
      <c r="D13" s="38">
        <v>1.6700000000000001E-8</v>
      </c>
      <c r="E13" s="3"/>
      <c r="F13" s="38">
        <f t="shared" si="0"/>
        <v>2.098425196850394E-6</v>
      </c>
      <c r="G13" s="38">
        <f t="shared" si="0"/>
        <v>2.8188976377952758E-7</v>
      </c>
      <c r="H13" s="38">
        <f t="shared" si="0"/>
        <v>6.5748031496062992E-7</v>
      </c>
      <c r="J13" s="1"/>
      <c r="K13" s="1"/>
      <c r="L13" s="1"/>
      <c r="M13" s="1"/>
      <c r="N13" s="1"/>
      <c r="O13" s="1"/>
      <c r="P13" s="1"/>
      <c r="Q13" s="1"/>
      <c r="R13" s="17"/>
      <c r="S13" s="9"/>
      <c r="T13" s="9"/>
      <c r="U13" s="9"/>
      <c r="AD13" s="6"/>
    </row>
    <row r="14" spans="1:30" x14ac:dyDescent="0.2">
      <c r="A14" s="35">
        <v>160</v>
      </c>
      <c r="B14" s="38">
        <v>7.17E-8</v>
      </c>
      <c r="C14" s="38">
        <v>9.639999999999999E-9</v>
      </c>
      <c r="D14" s="38">
        <v>2.2389999999999997E-8</v>
      </c>
      <c r="E14" s="3"/>
      <c r="F14" s="38">
        <f t="shared" si="0"/>
        <v>2.8228346456692912E-6</v>
      </c>
      <c r="G14" s="38">
        <f t="shared" si="0"/>
        <v>3.7952755905511813E-7</v>
      </c>
      <c r="H14" s="38">
        <f t="shared" si="0"/>
        <v>8.8149606299212594E-7</v>
      </c>
      <c r="J14" s="1"/>
      <c r="K14" s="1"/>
      <c r="L14" s="1"/>
      <c r="M14" s="1"/>
      <c r="N14" s="1"/>
      <c r="O14" s="1"/>
      <c r="P14" s="1"/>
      <c r="Q14" s="1"/>
      <c r="R14" s="17"/>
      <c r="S14" s="9"/>
      <c r="T14" s="9"/>
      <c r="U14" s="9"/>
      <c r="AD14" s="6"/>
    </row>
    <row r="15" spans="1:30" x14ac:dyDescent="0.2">
      <c r="A15" s="35">
        <v>180</v>
      </c>
      <c r="B15" s="38">
        <v>9.3999999999999995E-8</v>
      </c>
      <c r="C15" s="38">
        <v>1.267E-8</v>
      </c>
      <c r="D15" s="38">
        <v>2.9099999999999999E-8</v>
      </c>
      <c r="E15" s="3"/>
      <c r="F15" s="38">
        <f t="shared" si="0"/>
        <v>3.7007874015748031E-6</v>
      </c>
      <c r="G15" s="38">
        <f t="shared" si="0"/>
        <v>4.9881889763779531E-7</v>
      </c>
      <c r="H15" s="38">
        <f t="shared" si="0"/>
        <v>1.1456692913385828E-6</v>
      </c>
      <c r="J15" s="1"/>
      <c r="K15" s="1"/>
      <c r="L15" s="1"/>
      <c r="M15" s="1"/>
      <c r="N15" s="1"/>
      <c r="O15" s="1"/>
      <c r="P15" s="1"/>
      <c r="Q15" s="1"/>
      <c r="R15" s="17"/>
      <c r="S15" s="1"/>
      <c r="T15" s="1"/>
      <c r="U15" s="1"/>
      <c r="AD15" s="6"/>
    </row>
    <row r="16" spans="1:30" x14ac:dyDescent="0.2">
      <c r="A16" s="35">
        <v>200</v>
      </c>
      <c r="B16" s="38">
        <v>1.2130000000000001E-7</v>
      </c>
      <c r="C16" s="38">
        <v>1.6330000000000001E-8</v>
      </c>
      <c r="D16" s="38">
        <v>3.7E-8</v>
      </c>
      <c r="E16" s="3"/>
      <c r="F16" s="38">
        <f t="shared" si="0"/>
        <v>4.775590551181103E-6</v>
      </c>
      <c r="G16" s="38">
        <f t="shared" si="0"/>
        <v>6.4291338582677179E-7</v>
      </c>
      <c r="H16" s="38">
        <f t="shared" si="0"/>
        <v>1.4566929133858269E-6</v>
      </c>
      <c r="J16" s="1"/>
      <c r="K16" s="1"/>
      <c r="L16" s="1"/>
      <c r="M16" s="1"/>
      <c r="N16" s="1"/>
      <c r="O16" s="1"/>
      <c r="P16" s="1"/>
      <c r="Q16" s="1"/>
      <c r="R16" s="17"/>
      <c r="S16" s="1"/>
      <c r="T16" s="1"/>
      <c r="U16" s="1"/>
      <c r="AD16" s="6"/>
    </row>
    <row r="17" spans="1:30" x14ac:dyDescent="0.2">
      <c r="A17" s="35">
        <v>220</v>
      </c>
      <c r="B17" s="38">
        <v>1.5419999999999999E-7</v>
      </c>
      <c r="C17" s="38">
        <v>2.0709999999999998E-8</v>
      </c>
      <c r="D17" s="38">
        <v>4.6200000000000003E-8</v>
      </c>
      <c r="E17" s="3"/>
      <c r="F17" s="38">
        <f t="shared" si="0"/>
        <v>6.0708661417322834E-6</v>
      </c>
      <c r="G17" s="38">
        <f t="shared" si="0"/>
        <v>8.1535433070866132E-7</v>
      </c>
      <c r="H17" s="38">
        <f t="shared" si="0"/>
        <v>1.8188976377952759E-6</v>
      </c>
      <c r="J17" s="1"/>
      <c r="K17" s="1"/>
      <c r="L17" s="1"/>
      <c r="M17" s="1"/>
      <c r="N17" s="1"/>
      <c r="O17" s="1"/>
      <c r="P17" s="1"/>
      <c r="Q17" s="1"/>
      <c r="R17" s="17"/>
      <c r="S17" s="9"/>
      <c r="T17" s="9"/>
      <c r="U17" s="9"/>
      <c r="AD17" s="6"/>
    </row>
    <row r="18" spans="1:30" x14ac:dyDescent="0.2">
      <c r="A18" s="35">
        <v>240</v>
      </c>
      <c r="B18" s="38">
        <v>1.9470000000000002E-7</v>
      </c>
      <c r="C18" s="38">
        <v>2.59E-8</v>
      </c>
      <c r="D18" s="38">
        <v>5.6100000000000006E-8</v>
      </c>
      <c r="E18" s="3"/>
      <c r="F18" s="38">
        <f t="shared" si="0"/>
        <v>7.665354330708663E-6</v>
      </c>
      <c r="G18" s="38">
        <f t="shared" si="0"/>
        <v>1.0196850393700789E-6</v>
      </c>
      <c r="H18" s="38">
        <f t="shared" si="0"/>
        <v>2.208661417322835E-6</v>
      </c>
      <c r="J18" s="1"/>
      <c r="K18" s="1"/>
      <c r="L18" s="1"/>
      <c r="M18" s="1"/>
      <c r="N18" s="1"/>
      <c r="O18" s="1"/>
      <c r="P18" s="1"/>
      <c r="Q18" s="1"/>
      <c r="R18" s="17"/>
      <c r="S18" s="1"/>
      <c r="T18" s="1"/>
      <c r="U18" s="1"/>
      <c r="AD18" s="6"/>
    </row>
    <row r="19" spans="1:30" x14ac:dyDescent="0.2">
      <c r="A19" s="35">
        <v>260</v>
      </c>
      <c r="B19" s="38">
        <v>2.4050000000000002E-7</v>
      </c>
      <c r="C19" s="38">
        <v>3.18E-8</v>
      </c>
      <c r="D19" s="38">
        <v>6.6199999999999997E-8</v>
      </c>
      <c r="E19" s="3"/>
      <c r="F19" s="38">
        <f t="shared" si="0"/>
        <v>9.468503937007876E-6</v>
      </c>
      <c r="G19" s="38">
        <f t="shared" si="0"/>
        <v>1.251968503937008E-6</v>
      </c>
      <c r="H19" s="38">
        <f t="shared" si="0"/>
        <v>2.606299212598425E-6</v>
      </c>
      <c r="J19" s="1"/>
      <c r="K19" s="1"/>
      <c r="L19" s="1"/>
      <c r="M19" s="1"/>
      <c r="N19" s="1"/>
      <c r="O19" s="1"/>
      <c r="P19" s="1"/>
      <c r="Q19" s="1"/>
      <c r="R19" s="17"/>
      <c r="S19" s="1"/>
      <c r="T19" s="1"/>
      <c r="U19" s="1"/>
      <c r="AD19" s="6"/>
    </row>
    <row r="20" spans="1:30" x14ac:dyDescent="0.2">
      <c r="A20" s="35">
        <v>280</v>
      </c>
      <c r="B20" s="38">
        <v>2.8940000000000004E-7</v>
      </c>
      <c r="C20" s="38">
        <v>3.8199999999999998E-8</v>
      </c>
      <c r="D20" s="38">
        <v>7.4900000000000002E-8</v>
      </c>
      <c r="E20" s="3"/>
      <c r="F20" s="38">
        <f t="shared" si="0"/>
        <v>1.1393700787401578E-5</v>
      </c>
      <c r="G20" s="38">
        <f t="shared" si="0"/>
        <v>1.5039370078740158E-6</v>
      </c>
      <c r="H20" s="38">
        <f t="shared" si="0"/>
        <v>2.9488188976377958E-6</v>
      </c>
      <c r="J20" s="1"/>
      <c r="K20" s="1"/>
      <c r="L20" s="1"/>
      <c r="M20" s="1"/>
      <c r="N20" s="1"/>
      <c r="O20" s="1"/>
      <c r="P20" s="1"/>
      <c r="Q20" s="1"/>
      <c r="R20" s="17"/>
      <c r="S20" s="9"/>
      <c r="T20" s="9"/>
      <c r="U20" s="9"/>
      <c r="AD20" s="6"/>
    </row>
    <row r="21" spans="1:30" x14ac:dyDescent="0.2">
      <c r="A21" s="35">
        <v>300</v>
      </c>
      <c r="B21" s="38">
        <v>3.3700000000000001E-7</v>
      </c>
      <c r="C21" s="38">
        <v>4.5300000000000002E-8</v>
      </c>
      <c r="D21" s="38">
        <v>8.1100000000000005E-8</v>
      </c>
      <c r="E21" s="3"/>
      <c r="F21" s="38">
        <f t="shared" si="0"/>
        <v>1.3267716535433072E-5</v>
      </c>
      <c r="G21" s="38">
        <f t="shared" si="0"/>
        <v>1.7834645669291341E-6</v>
      </c>
      <c r="H21" s="38">
        <f t="shared" si="0"/>
        <v>3.192913385826772E-6</v>
      </c>
      <c r="J21" s="1"/>
      <c r="K21" s="1"/>
      <c r="L21" s="1"/>
      <c r="M21" s="1"/>
      <c r="N21" s="1"/>
      <c r="O21" s="1"/>
      <c r="P21" s="1"/>
      <c r="Q21" s="1"/>
      <c r="R21" s="17"/>
      <c r="S21" s="1"/>
      <c r="T21" s="1"/>
      <c r="U21" s="1"/>
      <c r="AD21" s="6"/>
    </row>
    <row r="22" spans="1:30" x14ac:dyDescent="0.2">
      <c r="A22" s="35">
        <v>320</v>
      </c>
      <c r="B22" s="38">
        <v>3.7999999999999996E-7</v>
      </c>
      <c r="C22" s="38">
        <v>5.2900000000000004E-8</v>
      </c>
      <c r="D22" s="38">
        <v>8.6700000000000002E-8</v>
      </c>
      <c r="E22" s="3"/>
      <c r="F22" s="38">
        <f t="shared" si="0"/>
        <v>1.4960629921259842E-5</v>
      </c>
      <c r="G22" s="38">
        <f t="shared" si="0"/>
        <v>2.0826771653543309E-6</v>
      </c>
      <c r="H22" s="38">
        <f t="shared" si="0"/>
        <v>3.413385826771654E-6</v>
      </c>
      <c r="J22" s="1"/>
      <c r="K22" s="1"/>
      <c r="L22" s="1"/>
      <c r="M22" s="1"/>
      <c r="N22" s="1"/>
      <c r="O22" s="1"/>
      <c r="P22" s="1"/>
      <c r="Q22" s="1"/>
      <c r="R22" s="17"/>
      <c r="S22" s="2"/>
      <c r="T22" s="2"/>
      <c r="U22" s="2"/>
      <c r="AD22" s="6"/>
    </row>
    <row r="23" spans="1:30" x14ac:dyDescent="0.2">
      <c r="A23" s="35">
        <v>340</v>
      </c>
      <c r="B23" s="38">
        <v>4.2599999999999998E-7</v>
      </c>
      <c r="C23" s="38">
        <v>6.13E-8</v>
      </c>
      <c r="D23" s="38">
        <v>9.2499999999999988E-8</v>
      </c>
      <c r="E23" s="3"/>
      <c r="F23" s="38">
        <f t="shared" si="0"/>
        <v>1.6771653543307087E-5</v>
      </c>
      <c r="G23" s="38">
        <f t="shared" si="0"/>
        <v>2.4133858267716535E-6</v>
      </c>
      <c r="H23" s="38">
        <f t="shared" si="0"/>
        <v>3.6417322834645663E-6</v>
      </c>
      <c r="J23" s="1"/>
      <c r="K23" s="1"/>
      <c r="L23" s="1"/>
      <c r="M23" s="1"/>
      <c r="N23" s="1"/>
      <c r="O23" s="1"/>
      <c r="P23" s="1"/>
      <c r="Q23" s="1"/>
      <c r="R23" s="17"/>
      <c r="S23" s="3"/>
      <c r="T23" s="3"/>
      <c r="U23" s="3"/>
      <c r="AD23" s="6"/>
    </row>
    <row r="24" spans="1:30" x14ac:dyDescent="0.2">
      <c r="A24" s="35">
        <v>360</v>
      </c>
      <c r="B24" s="38">
        <v>4.7199999999999999E-7</v>
      </c>
      <c r="C24" s="38">
        <v>7.0399999999999995E-8</v>
      </c>
      <c r="D24" s="38">
        <v>9.9900000000000001E-8</v>
      </c>
      <c r="E24" s="3"/>
      <c r="F24" s="38">
        <f t="shared" si="0"/>
        <v>1.8582677165354331E-5</v>
      </c>
      <c r="G24" s="38">
        <f t="shared" si="0"/>
        <v>2.7716535433070865E-6</v>
      </c>
      <c r="H24" s="38">
        <f t="shared" si="0"/>
        <v>3.9330708661417328E-6</v>
      </c>
      <c r="J24" s="1"/>
      <c r="K24" s="1"/>
      <c r="L24" s="1"/>
      <c r="M24" s="1"/>
      <c r="N24" s="1"/>
      <c r="O24" s="1"/>
      <c r="P24" s="1"/>
      <c r="Q24" s="1"/>
      <c r="R24" s="17"/>
      <c r="S24" s="9"/>
      <c r="T24" s="9"/>
      <c r="U24" s="9"/>
      <c r="AD24" s="6"/>
    </row>
    <row r="25" spans="1:30" x14ac:dyDescent="0.2">
      <c r="A25" s="35">
        <v>380</v>
      </c>
      <c r="B25" s="38">
        <v>5.2200000000000004E-7</v>
      </c>
      <c r="C25" s="38">
        <v>8.0000000000000002E-8</v>
      </c>
      <c r="D25" s="38">
        <v>1.0894000000000001E-7</v>
      </c>
      <c r="E25" s="3"/>
      <c r="F25" s="38">
        <f t="shared" si="0"/>
        <v>2.0551181102362206E-5</v>
      </c>
      <c r="G25" s="38">
        <f t="shared" si="0"/>
        <v>3.1496062992125989E-6</v>
      </c>
      <c r="H25" s="38">
        <f t="shared" si="0"/>
        <v>4.2889763779527563E-6</v>
      </c>
      <c r="J25" s="1"/>
      <c r="K25" s="1"/>
      <c r="L25" s="1"/>
      <c r="M25" s="1"/>
      <c r="N25" s="1"/>
      <c r="O25" s="1"/>
      <c r="P25" s="1"/>
      <c r="Q25" s="1"/>
      <c r="R25" s="17"/>
      <c r="S25" s="9"/>
      <c r="T25" s="9"/>
      <c r="U25" s="9"/>
      <c r="AD25" s="6"/>
    </row>
    <row r="26" spans="1:30" x14ac:dyDescent="0.2">
      <c r="A26" s="35">
        <v>400</v>
      </c>
      <c r="B26" s="38">
        <v>5.7699999999999994E-7</v>
      </c>
      <c r="C26" s="38">
        <v>8.9799999999999997E-8</v>
      </c>
      <c r="D26" s="38">
        <v>1.2247000000000001E-7</v>
      </c>
      <c r="E26" s="3"/>
      <c r="F26" s="38">
        <f t="shared" si="0"/>
        <v>2.2716535433070864E-5</v>
      </c>
      <c r="G26" s="38">
        <f t="shared" si="0"/>
        <v>3.535433070866142E-6</v>
      </c>
      <c r="H26" s="38">
        <f t="shared" si="0"/>
        <v>4.8216535433070872E-6</v>
      </c>
      <c r="J26" s="1"/>
      <c r="K26" s="1"/>
      <c r="L26" s="1"/>
      <c r="M26" s="1"/>
      <c r="N26" s="1"/>
      <c r="O26" s="1"/>
      <c r="P26" s="1"/>
      <c r="Q26" s="1"/>
      <c r="R26" s="17"/>
      <c r="S26" s="1"/>
      <c r="T26" s="1"/>
      <c r="U26" s="1"/>
      <c r="AD26" s="6"/>
    </row>
    <row r="27" spans="1:30" x14ac:dyDescent="0.2">
      <c r="A27" s="35">
        <v>420</v>
      </c>
      <c r="B27" s="38">
        <v>6.3499999999999996E-7</v>
      </c>
      <c r="C27" s="38">
        <v>9.9299999999999996E-8</v>
      </c>
      <c r="D27" s="38">
        <v>1.4007999999999999E-7</v>
      </c>
      <c r="E27" s="3"/>
      <c r="F27" s="38">
        <f t="shared" si="0"/>
        <v>2.4999999999999998E-5</v>
      </c>
      <c r="G27" s="38">
        <f t="shared" si="0"/>
        <v>3.9094488188976381E-6</v>
      </c>
      <c r="H27" s="38">
        <f t="shared" si="0"/>
        <v>5.5149606299212601E-6</v>
      </c>
      <c r="J27" s="1"/>
      <c r="K27" s="1"/>
      <c r="L27" s="1"/>
      <c r="M27" s="1"/>
      <c r="N27" s="1"/>
      <c r="O27" s="1"/>
      <c r="P27" s="1"/>
      <c r="Q27" s="1"/>
      <c r="R27" s="17"/>
      <c r="S27" s="1"/>
      <c r="T27" s="1"/>
      <c r="U27" s="1"/>
      <c r="AD27" s="6"/>
    </row>
    <row r="28" spans="1:30" x14ac:dyDescent="0.2">
      <c r="A28" s="35">
        <v>440</v>
      </c>
      <c r="B28" s="38">
        <v>6.9800000000000003E-7</v>
      </c>
      <c r="C28" s="38">
        <v>1.084E-7</v>
      </c>
      <c r="D28" s="38">
        <v>1.6229999999999999E-7</v>
      </c>
      <c r="E28" s="3"/>
      <c r="F28" s="38">
        <f t="shared" si="0"/>
        <v>2.7480314960629925E-5</v>
      </c>
      <c r="G28" s="38">
        <f t="shared" si="0"/>
        <v>4.2677165354330712E-6</v>
      </c>
      <c r="H28" s="38">
        <f t="shared" si="0"/>
        <v>6.3897637795275586E-6</v>
      </c>
      <c r="J28" s="1"/>
      <c r="K28" s="1"/>
      <c r="L28" s="1"/>
      <c r="M28" s="1"/>
      <c r="N28" s="1"/>
      <c r="O28" s="1"/>
      <c r="P28" s="1"/>
      <c r="Q28" s="1"/>
      <c r="R28" s="17"/>
      <c r="S28" s="9"/>
      <c r="T28" s="9"/>
      <c r="U28" s="9"/>
      <c r="AD28" s="6"/>
    </row>
    <row r="29" spans="1:30" x14ac:dyDescent="0.2">
      <c r="A29" s="35">
        <v>460</v>
      </c>
      <c r="B29" s="38">
        <v>7.6700000000000003E-7</v>
      </c>
      <c r="C29" s="38">
        <v>1.173E-7</v>
      </c>
      <c r="D29" s="38">
        <v>1.8610000000000001E-7</v>
      </c>
      <c r="E29" s="3"/>
      <c r="F29" s="38">
        <f t="shared" si="0"/>
        <v>3.0196850393700787E-5</v>
      </c>
      <c r="G29" s="38">
        <f t="shared" si="0"/>
        <v>4.6181102362204727E-6</v>
      </c>
      <c r="H29" s="38">
        <f t="shared" si="0"/>
        <v>7.3267716535433075E-6</v>
      </c>
      <c r="J29" s="1"/>
      <c r="K29" s="1"/>
      <c r="L29" s="1"/>
      <c r="M29" s="1"/>
      <c r="N29" s="1"/>
      <c r="O29" s="1"/>
      <c r="P29" s="1"/>
      <c r="Q29" s="1"/>
      <c r="R29" s="17"/>
      <c r="S29" s="1"/>
      <c r="T29" s="1"/>
      <c r="U29" s="1"/>
      <c r="AD29" s="6"/>
    </row>
    <row r="30" spans="1:30" x14ac:dyDescent="0.2">
      <c r="A30" s="35">
        <v>480</v>
      </c>
      <c r="B30" s="38">
        <v>8.4370000000000007E-7</v>
      </c>
      <c r="C30" s="38">
        <v>1.2639999999999999E-7</v>
      </c>
      <c r="D30" s="38">
        <v>2.1189999999999999E-7</v>
      </c>
      <c r="E30" s="3"/>
      <c r="F30" s="38">
        <f t="shared" si="0"/>
        <v>3.3216535433070868E-5</v>
      </c>
      <c r="G30" s="38">
        <f t="shared" si="0"/>
        <v>4.9763779527559049E-6</v>
      </c>
      <c r="H30" s="38">
        <f t="shared" si="0"/>
        <v>8.3425196850393687E-6</v>
      </c>
      <c r="J30" s="1"/>
      <c r="K30" s="1"/>
      <c r="L30" s="1"/>
      <c r="M30" s="1"/>
      <c r="N30" s="1"/>
      <c r="O30" s="1"/>
      <c r="P30" s="1"/>
      <c r="Q30" s="1"/>
      <c r="R30" s="17"/>
      <c r="S30" s="1"/>
      <c r="T30" s="1"/>
      <c r="U30" s="1"/>
      <c r="AD30" s="6"/>
    </row>
    <row r="31" spans="1:30" x14ac:dyDescent="0.2">
      <c r="A31" s="35">
        <v>500</v>
      </c>
      <c r="B31" s="38">
        <v>9.2890000000000001E-7</v>
      </c>
      <c r="C31" s="38">
        <v>1.3620000000000002E-7</v>
      </c>
      <c r="D31" s="38">
        <v>2.4059999999999997E-7</v>
      </c>
      <c r="E31" s="3"/>
      <c r="F31" s="38">
        <f t="shared" si="0"/>
        <v>3.6570866141732288E-5</v>
      </c>
      <c r="G31" s="38">
        <f t="shared" si="0"/>
        <v>5.3622047244094497E-6</v>
      </c>
      <c r="H31" s="38">
        <f t="shared" si="0"/>
        <v>9.4724409448818888E-6</v>
      </c>
      <c r="J31" s="1"/>
      <c r="K31" s="1"/>
      <c r="L31" s="1"/>
      <c r="M31" s="1"/>
      <c r="N31" s="1"/>
      <c r="O31" s="1"/>
      <c r="P31" s="1"/>
      <c r="Q31" s="1"/>
      <c r="R31" s="17"/>
      <c r="S31" s="9"/>
      <c r="T31" s="9"/>
      <c r="U31" s="9"/>
      <c r="AD31" s="6"/>
    </row>
    <row r="32" spans="1:30" x14ac:dyDescent="0.2">
      <c r="A32" s="35">
        <v>520</v>
      </c>
      <c r="B32" s="38">
        <v>1.0228E-6</v>
      </c>
      <c r="C32" s="38">
        <v>1.4710000000000001E-7</v>
      </c>
      <c r="D32" s="38">
        <v>2.713E-7</v>
      </c>
      <c r="E32" s="3"/>
      <c r="F32" s="38">
        <f t="shared" si="0"/>
        <v>4.0267716535433071E-5</v>
      </c>
      <c r="G32" s="38">
        <f t="shared" si="0"/>
        <v>5.7913385826771668E-6</v>
      </c>
      <c r="H32" s="38">
        <f t="shared" si="0"/>
        <v>1.0681102362204724E-5</v>
      </c>
      <c r="J32" s="1"/>
      <c r="K32" s="1"/>
      <c r="L32" s="1"/>
      <c r="M32" s="1"/>
      <c r="N32" s="1"/>
      <c r="O32" s="1"/>
      <c r="P32" s="1"/>
      <c r="Q32" s="1"/>
      <c r="R32" s="17"/>
      <c r="S32" s="1"/>
      <c r="T32" s="1"/>
      <c r="U32" s="1"/>
      <c r="AD32" s="6"/>
    </row>
    <row r="33" spans="1:30" x14ac:dyDescent="0.2">
      <c r="A33" s="35">
        <v>540</v>
      </c>
      <c r="B33" s="38">
        <v>1.1225999999999998E-6</v>
      </c>
      <c r="C33" s="38">
        <v>1.596E-7</v>
      </c>
      <c r="D33" s="38">
        <v>3.0399999999999997E-7</v>
      </c>
      <c r="E33" s="3"/>
      <c r="F33" s="38">
        <f t="shared" si="0"/>
        <v>4.4196850393700785E-5</v>
      </c>
      <c r="G33" s="38">
        <f t="shared" si="0"/>
        <v>6.2834645669291346E-6</v>
      </c>
      <c r="H33" s="38">
        <f t="shared" si="0"/>
        <v>1.1968503937007872E-5</v>
      </c>
      <c r="J33" s="1"/>
      <c r="K33" s="1"/>
      <c r="L33" s="1"/>
      <c r="M33" s="1"/>
      <c r="N33" s="1"/>
      <c r="O33" s="1"/>
      <c r="P33" s="1"/>
      <c r="Q33" s="1"/>
      <c r="R33" s="17"/>
      <c r="S33" s="1"/>
      <c r="T33" s="1"/>
      <c r="U33" s="1"/>
      <c r="AD33" s="6"/>
    </row>
    <row r="34" spans="1:30" x14ac:dyDescent="0.2">
      <c r="A34" s="35">
        <v>560</v>
      </c>
      <c r="B34" s="38">
        <v>1.2372E-6</v>
      </c>
      <c r="C34" s="38">
        <v>1.737E-7</v>
      </c>
      <c r="D34" s="38">
        <v>3.3859999999999997E-7</v>
      </c>
      <c r="E34" s="3"/>
      <c r="F34" s="38">
        <f t="shared" si="0"/>
        <v>4.8708661417322837E-5</v>
      </c>
      <c r="G34" s="38">
        <f t="shared" si="0"/>
        <v>6.8385826771653542E-6</v>
      </c>
      <c r="H34" s="38">
        <f t="shared" si="0"/>
        <v>1.3330708661417323E-5</v>
      </c>
      <c r="J34" s="1"/>
      <c r="K34" s="1"/>
      <c r="L34" s="1"/>
      <c r="M34" s="1"/>
      <c r="N34" s="1"/>
      <c r="O34" s="1"/>
      <c r="P34" s="1"/>
      <c r="Q34" s="1"/>
      <c r="R34" s="17"/>
      <c r="S34" s="1"/>
      <c r="T34" s="1"/>
      <c r="U34" s="1"/>
      <c r="AD34" s="6"/>
    </row>
    <row r="35" spans="1:30" x14ac:dyDescent="0.2">
      <c r="A35" s="35">
        <v>580</v>
      </c>
      <c r="B35" s="38">
        <v>1.3523E-6</v>
      </c>
      <c r="C35" s="38">
        <v>1.8969999999999998E-7</v>
      </c>
      <c r="D35" s="38">
        <v>3.742E-7</v>
      </c>
      <c r="E35" s="3"/>
      <c r="F35" s="38">
        <f t="shared" si="0"/>
        <v>5.324015748031496E-5</v>
      </c>
      <c r="G35" s="38">
        <f t="shared" si="0"/>
        <v>7.4685039370078731E-6</v>
      </c>
      <c r="H35" s="38">
        <f t="shared" si="0"/>
        <v>1.4732283464566929E-5</v>
      </c>
      <c r="J35" s="1"/>
      <c r="K35" s="1"/>
      <c r="L35" s="1"/>
      <c r="M35" s="1"/>
      <c r="N35" s="1"/>
      <c r="O35" s="1"/>
      <c r="P35" s="1"/>
      <c r="Q35" s="1"/>
      <c r="R35" s="17"/>
      <c r="S35" s="1"/>
      <c r="T35" s="1"/>
      <c r="U35" s="1"/>
      <c r="AD35" s="6"/>
    </row>
    <row r="36" spans="1:30" x14ac:dyDescent="0.2">
      <c r="A36" s="35">
        <v>600</v>
      </c>
      <c r="B36" s="38">
        <v>1.4579999999999998E-6</v>
      </c>
      <c r="C36" s="38">
        <v>2.0780000000000002E-7</v>
      </c>
      <c r="D36" s="38">
        <v>4.108E-7</v>
      </c>
      <c r="E36" s="3"/>
      <c r="F36" s="38">
        <f t="shared" si="0"/>
        <v>5.7401574803149605E-5</v>
      </c>
      <c r="G36" s="38">
        <f t="shared" si="0"/>
        <v>8.1811023622047247E-6</v>
      </c>
      <c r="H36" s="38">
        <f t="shared" si="0"/>
        <v>1.6173228346456695E-5</v>
      </c>
      <c r="J36" s="1"/>
      <c r="K36" s="1"/>
      <c r="L36" s="1"/>
      <c r="M36" s="1"/>
      <c r="N36" s="1"/>
      <c r="O36" s="1"/>
      <c r="P36" s="1"/>
      <c r="Q36" s="1"/>
      <c r="R36" s="17"/>
      <c r="S36" s="1"/>
      <c r="T36" s="1"/>
      <c r="U36" s="1"/>
      <c r="AD36" s="6"/>
    </row>
    <row r="37" spans="1:30" x14ac:dyDescent="0.2">
      <c r="A37" s="35">
        <v>620</v>
      </c>
      <c r="B37" s="38">
        <v>1.5738000000000001E-6</v>
      </c>
      <c r="C37" s="38">
        <v>2.279E-7</v>
      </c>
      <c r="D37" s="38">
        <v>4.453E-7</v>
      </c>
      <c r="E37" s="3"/>
      <c r="F37" s="38">
        <f t="shared" si="0"/>
        <v>6.1960629921259844E-5</v>
      </c>
      <c r="G37" s="38">
        <f t="shared" si="0"/>
        <v>8.9724409448818902E-6</v>
      </c>
      <c r="H37" s="38">
        <f t="shared" si="0"/>
        <v>1.7531496062992125E-5</v>
      </c>
      <c r="J37" s="1"/>
      <c r="K37" s="1"/>
      <c r="L37" s="1"/>
      <c r="M37" s="1"/>
      <c r="N37" s="1"/>
      <c r="O37" s="1"/>
      <c r="P37" s="1"/>
      <c r="Q37" s="1"/>
      <c r="R37" s="17"/>
      <c r="S37" s="1"/>
      <c r="T37" s="1"/>
      <c r="U37" s="1"/>
      <c r="AD37" s="6"/>
    </row>
    <row r="38" spans="1:30" x14ac:dyDescent="0.2">
      <c r="A38" s="35">
        <v>640</v>
      </c>
      <c r="B38" s="38">
        <v>1.6601E-6</v>
      </c>
      <c r="C38" s="38">
        <v>2.4990000000000003E-7</v>
      </c>
      <c r="D38" s="38">
        <v>4.7660000000000002E-7</v>
      </c>
      <c r="E38" s="3"/>
      <c r="F38" s="38">
        <f t="shared" si="0"/>
        <v>6.5358267716535443E-5</v>
      </c>
      <c r="G38" s="38">
        <f t="shared" si="0"/>
        <v>9.8385826771653568E-6</v>
      </c>
      <c r="H38" s="38">
        <f t="shared" si="0"/>
        <v>1.8763779527559059E-5</v>
      </c>
      <c r="J38" s="1"/>
      <c r="K38" s="1"/>
      <c r="L38" s="1"/>
      <c r="M38" s="1"/>
      <c r="N38" s="1"/>
      <c r="O38" s="1"/>
      <c r="P38" s="1"/>
      <c r="Q38" s="1"/>
      <c r="R38" s="17"/>
      <c r="S38" s="1"/>
      <c r="T38" s="1"/>
      <c r="U38" s="1"/>
      <c r="AD38" s="6"/>
    </row>
    <row r="39" spans="1:30" x14ac:dyDescent="0.2">
      <c r="A39" s="35">
        <v>660</v>
      </c>
      <c r="B39" s="38">
        <v>1.7369999999999998E-6</v>
      </c>
      <c r="C39" s="38">
        <v>2.7310000000000003E-7</v>
      </c>
      <c r="D39" s="38">
        <v>5.0289999999999998E-7</v>
      </c>
      <c r="E39" s="3"/>
      <c r="F39" s="38">
        <f t="shared" si="0"/>
        <v>6.8385826771653543E-5</v>
      </c>
      <c r="G39" s="38">
        <f t="shared" si="0"/>
        <v>1.0751968503937009E-5</v>
      </c>
      <c r="H39" s="38">
        <f t="shared" si="0"/>
        <v>1.9799212598425201E-5</v>
      </c>
      <c r="J39" s="1"/>
      <c r="K39" s="1"/>
      <c r="L39" s="1"/>
      <c r="M39" s="1"/>
      <c r="N39" s="1"/>
      <c r="O39" s="1"/>
      <c r="P39" s="1"/>
      <c r="Q39" s="1"/>
      <c r="R39" s="17"/>
      <c r="S39" s="1"/>
      <c r="T39" s="1"/>
      <c r="U39" s="1"/>
      <c r="AD39" s="6"/>
    </row>
    <row r="40" spans="1:30" x14ac:dyDescent="0.2">
      <c r="A40" s="35">
        <v>680</v>
      </c>
      <c r="B40" s="38">
        <v>1.7941999999999999E-6</v>
      </c>
      <c r="C40" s="38">
        <v>2.9929999999999999E-7</v>
      </c>
      <c r="D40" s="38">
        <v>5.2310000000000002E-7</v>
      </c>
      <c r="E40" s="3"/>
      <c r="F40" s="38">
        <f t="shared" si="0"/>
        <v>7.0637795275590548E-5</v>
      </c>
      <c r="G40" s="38">
        <f t="shared" si="0"/>
        <v>1.1783464566929135E-5</v>
      </c>
      <c r="H40" s="38">
        <f t="shared" si="0"/>
        <v>2.0594488188976379E-5</v>
      </c>
      <c r="J40" s="1"/>
      <c r="K40" s="1"/>
      <c r="L40" s="1"/>
      <c r="M40" s="1"/>
      <c r="N40" s="1"/>
      <c r="O40" s="1"/>
      <c r="P40" s="1"/>
      <c r="Q40" s="1"/>
      <c r="R40" s="17"/>
      <c r="S40" s="1"/>
      <c r="T40" s="1"/>
      <c r="U40" s="1"/>
      <c r="AD40" s="6"/>
    </row>
    <row r="41" spans="1:30" x14ac:dyDescent="0.2">
      <c r="A41" s="35">
        <v>700</v>
      </c>
      <c r="B41" s="38">
        <v>1.8215999999999998E-6</v>
      </c>
      <c r="C41" s="38">
        <v>3.255E-7</v>
      </c>
      <c r="D41" s="38">
        <v>5.3509999999999997E-7</v>
      </c>
      <c r="E41" s="3"/>
      <c r="F41" s="38">
        <f t="shared" si="0"/>
        <v>7.1716535433070862E-5</v>
      </c>
      <c r="G41" s="38">
        <f t="shared" si="0"/>
        <v>1.281496062992126E-5</v>
      </c>
      <c r="H41" s="38">
        <f t="shared" si="0"/>
        <v>2.1066929133858266E-5</v>
      </c>
      <c r="J41" s="1"/>
      <c r="K41" s="1"/>
      <c r="L41" s="1"/>
      <c r="M41" s="1"/>
      <c r="N41" s="1"/>
      <c r="O41" s="1"/>
      <c r="P41" s="1"/>
      <c r="Q41" s="1"/>
      <c r="R41" s="17"/>
      <c r="S41" s="1"/>
      <c r="T41" s="1"/>
      <c r="U41" s="1"/>
      <c r="AD41" s="6"/>
    </row>
    <row r="42" spans="1:30" x14ac:dyDescent="0.2">
      <c r="A42" s="35">
        <v>720</v>
      </c>
      <c r="B42" s="38">
        <v>1.8092E-6</v>
      </c>
      <c r="C42" s="38">
        <v>3.538E-7</v>
      </c>
      <c r="D42" s="38">
        <v>5.37E-7</v>
      </c>
      <c r="E42" s="3"/>
      <c r="F42" s="38">
        <f t="shared" si="0"/>
        <v>7.1228346456692914E-5</v>
      </c>
      <c r="G42" s="38">
        <f t="shared" si="0"/>
        <v>1.3929133858267717E-5</v>
      </c>
      <c r="H42" s="38">
        <f t="shared" si="0"/>
        <v>2.1141732283464569E-5</v>
      </c>
      <c r="J42" s="1"/>
      <c r="K42" s="1"/>
      <c r="L42" s="1"/>
      <c r="M42" s="1"/>
      <c r="N42" s="1"/>
      <c r="O42" s="1"/>
      <c r="P42" s="1"/>
      <c r="Q42" s="1"/>
      <c r="R42" s="17"/>
      <c r="S42" s="2"/>
      <c r="T42" s="2"/>
      <c r="U42" s="2"/>
      <c r="AD42" s="6"/>
    </row>
    <row r="43" spans="1:30" x14ac:dyDescent="0.2">
      <c r="A43" s="35">
        <v>740</v>
      </c>
      <c r="B43" s="38">
        <v>1.8071E-6</v>
      </c>
      <c r="C43" s="38">
        <v>3.8220000000000002E-7</v>
      </c>
      <c r="D43" s="38">
        <v>5.397000000000001E-7</v>
      </c>
      <c r="E43" s="3"/>
      <c r="F43" s="38">
        <f t="shared" si="0"/>
        <v>7.1145669291338589E-5</v>
      </c>
      <c r="G43" s="38">
        <f t="shared" si="0"/>
        <v>1.5047244094488191E-5</v>
      </c>
      <c r="H43" s="38">
        <f t="shared" si="0"/>
        <v>2.1248031496062994E-5</v>
      </c>
      <c r="J43" s="1"/>
      <c r="K43" s="1"/>
      <c r="L43" s="1"/>
      <c r="M43" s="1"/>
      <c r="N43" s="1"/>
      <c r="O43" s="1"/>
      <c r="P43" s="1"/>
      <c r="Q43" s="1"/>
      <c r="R43" s="17"/>
      <c r="S43" s="3"/>
      <c r="T43" s="3"/>
      <c r="U43" s="3"/>
      <c r="AD43" s="6"/>
    </row>
    <row r="44" spans="1:30" x14ac:dyDescent="0.2">
      <c r="A44" s="35">
        <v>760</v>
      </c>
      <c r="B44" s="38">
        <v>1.7952000000000002E-6</v>
      </c>
      <c r="C44" s="38">
        <v>4.0960000000000001E-7</v>
      </c>
      <c r="D44" s="38">
        <v>5.384E-7</v>
      </c>
      <c r="E44" s="3"/>
      <c r="F44" s="38">
        <f t="shared" si="0"/>
        <v>7.067716535433072E-5</v>
      </c>
      <c r="G44" s="38">
        <f t="shared" si="0"/>
        <v>1.6125984251968508E-5</v>
      </c>
      <c r="H44" s="38">
        <f t="shared" si="0"/>
        <v>2.1196850393700789E-5</v>
      </c>
      <c r="J44" s="1"/>
      <c r="K44" s="1"/>
      <c r="L44" s="1"/>
      <c r="M44" s="1"/>
      <c r="N44" s="1"/>
      <c r="O44" s="1"/>
      <c r="P44" s="1"/>
      <c r="Q44" s="1"/>
      <c r="R44" s="17"/>
      <c r="S44" s="1"/>
      <c r="T44" s="1"/>
      <c r="U44" s="1"/>
      <c r="AD44" s="6"/>
    </row>
    <row r="45" spans="1:30" x14ac:dyDescent="0.2">
      <c r="A45" s="35">
        <v>780</v>
      </c>
      <c r="B45" s="38">
        <v>1.7936000000000001E-6</v>
      </c>
      <c r="C45" s="38">
        <v>4.3799999999999998E-7</v>
      </c>
      <c r="D45" s="38">
        <v>5.3399999999999999E-7</v>
      </c>
      <c r="E45" s="3"/>
      <c r="F45" s="38">
        <f t="shared" si="0"/>
        <v>7.0614173228346461E-5</v>
      </c>
      <c r="G45" s="38">
        <f t="shared" si="0"/>
        <v>1.7244094488188977E-5</v>
      </c>
      <c r="H45" s="38">
        <f t="shared" si="0"/>
        <v>2.1023622047244096E-5</v>
      </c>
      <c r="J45" s="1"/>
      <c r="K45" s="1"/>
      <c r="L45" s="1"/>
      <c r="M45" s="1"/>
      <c r="N45" s="1"/>
      <c r="O45" s="1"/>
      <c r="P45" s="1"/>
      <c r="Q45" s="1"/>
      <c r="R45" s="17"/>
      <c r="S45" s="1"/>
      <c r="T45" s="1"/>
      <c r="U45" s="1"/>
      <c r="AD45" s="6"/>
    </row>
    <row r="46" spans="1:30" x14ac:dyDescent="0.2">
      <c r="A46" s="35">
        <v>800</v>
      </c>
      <c r="B46" s="38">
        <v>1.7922000000000002E-6</v>
      </c>
      <c r="C46" s="38">
        <v>4.665E-7</v>
      </c>
      <c r="D46" s="38">
        <v>5.2959999999999998E-7</v>
      </c>
      <c r="E46" s="3"/>
      <c r="F46" s="38">
        <f t="shared" si="0"/>
        <v>7.0559055118110244E-5</v>
      </c>
      <c r="G46" s="38">
        <f t="shared" si="0"/>
        <v>1.8366141732283465E-5</v>
      </c>
      <c r="H46" s="38">
        <f t="shared" si="0"/>
        <v>2.08503937007874E-5</v>
      </c>
      <c r="J46" s="1"/>
      <c r="K46" s="1"/>
      <c r="L46" s="1"/>
      <c r="M46" s="1"/>
      <c r="N46" s="1"/>
      <c r="O46" s="1"/>
      <c r="P46" s="1"/>
      <c r="Q46" s="1"/>
      <c r="R46" s="17"/>
      <c r="S46" s="1"/>
      <c r="T46" s="1"/>
      <c r="U46" s="1"/>
      <c r="AD46" s="5"/>
    </row>
    <row r="47" spans="1:30" x14ac:dyDescent="0.2">
      <c r="A47" s="35">
        <v>820</v>
      </c>
      <c r="B47" s="38">
        <v>1.801E-6</v>
      </c>
      <c r="C47" s="38">
        <v>4.9510000000000003E-7</v>
      </c>
      <c r="D47" s="38">
        <v>5.2530000000000008E-7</v>
      </c>
      <c r="E47" s="3"/>
      <c r="F47" s="38">
        <f t="shared" si="0"/>
        <v>7.0905511811023629E-5</v>
      </c>
      <c r="G47" s="38">
        <f t="shared" si="0"/>
        <v>1.9492125984251971E-5</v>
      </c>
      <c r="H47" s="38">
        <f t="shared" si="0"/>
        <v>2.0681102362204725E-5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D47" s="6"/>
    </row>
    <row r="48" spans="1:30" x14ac:dyDescent="0.2">
      <c r="A48" s="35">
        <v>840</v>
      </c>
      <c r="B48" s="38">
        <v>1.8299999999999998E-6</v>
      </c>
      <c r="C48" s="38">
        <v>5.228E-7</v>
      </c>
      <c r="D48" s="38">
        <v>5.2109999999999997E-7</v>
      </c>
      <c r="E48" s="3"/>
      <c r="F48" s="38">
        <f t="shared" si="0"/>
        <v>7.2047244094488189E-5</v>
      </c>
      <c r="G48" s="38">
        <f t="shared" si="0"/>
        <v>2.0582677165354332E-5</v>
      </c>
      <c r="H48" s="38">
        <f t="shared" si="0"/>
        <v>2.0515748031496062E-5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D48" s="3"/>
    </row>
    <row r="49" spans="1:30" x14ac:dyDescent="0.2">
      <c r="A49" s="35">
        <v>860</v>
      </c>
      <c r="B49" s="38">
        <v>1.8592000000000001E-6</v>
      </c>
      <c r="C49" s="38">
        <v>5.5050000000000007E-7</v>
      </c>
      <c r="D49" s="38">
        <v>5.1699999999999998E-7</v>
      </c>
      <c r="E49" s="3"/>
      <c r="F49" s="38">
        <f t="shared" si="0"/>
        <v>7.3196850393700792E-5</v>
      </c>
      <c r="G49" s="38">
        <f t="shared" si="0"/>
        <v>2.1673228346456697E-5</v>
      </c>
      <c r="H49" s="38">
        <f t="shared" si="0"/>
        <v>2.0354330708661419E-5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D49" s="3"/>
    </row>
    <row r="50" spans="1:30" x14ac:dyDescent="0.2">
      <c r="A50" s="35">
        <v>880</v>
      </c>
      <c r="B50" s="38">
        <v>1.9083999999999998E-6</v>
      </c>
      <c r="C50" s="38">
        <v>5.7830000000000004E-7</v>
      </c>
      <c r="D50" s="38">
        <v>5.1500000000000005E-7</v>
      </c>
      <c r="E50" s="3"/>
      <c r="F50" s="38">
        <f t="shared" si="0"/>
        <v>7.5133858267716527E-5</v>
      </c>
      <c r="G50" s="38">
        <f t="shared" si="0"/>
        <v>2.2767716535433073E-5</v>
      </c>
      <c r="H50" s="38">
        <f t="shared" si="0"/>
        <v>2.0275590551181105E-5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D50" s="3"/>
    </row>
    <row r="51" spans="1:30" x14ac:dyDescent="0.2">
      <c r="A51" s="35">
        <v>900</v>
      </c>
      <c r="B51" s="38">
        <v>1.9678E-6</v>
      </c>
      <c r="C51" s="38">
        <v>6.0419999999999997E-7</v>
      </c>
      <c r="D51" s="38">
        <v>5.1429999999999999E-7</v>
      </c>
      <c r="E51" s="3"/>
      <c r="F51" s="38">
        <f t="shared" si="0"/>
        <v>7.7472440944881892E-5</v>
      </c>
      <c r="G51" s="38">
        <f t="shared" si="0"/>
        <v>2.3787401574803149E-5</v>
      </c>
      <c r="H51" s="38">
        <f t="shared" si="0"/>
        <v>2.0248031496062994E-5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D51" s="4"/>
    </row>
    <row r="52" spans="1:30" x14ac:dyDescent="0.2">
      <c r="A52" s="35">
        <v>920</v>
      </c>
      <c r="B52" s="38">
        <v>2.0371999999999997E-6</v>
      </c>
      <c r="C52" s="38">
        <v>6.2920000000000005E-7</v>
      </c>
      <c r="D52" s="38">
        <v>5.1590000000000001E-7</v>
      </c>
      <c r="E52" s="3"/>
      <c r="F52" s="38">
        <f t="shared" si="0"/>
        <v>8.0204724409448815E-5</v>
      </c>
      <c r="G52" s="38">
        <f t="shared" si="0"/>
        <v>2.4771653543307088E-5</v>
      </c>
      <c r="H52" s="38">
        <f t="shared" si="0"/>
        <v>2.0311023622047246E-5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D52" s="4"/>
    </row>
    <row r="53" spans="1:30" x14ac:dyDescent="0.2">
      <c r="A53" s="35">
        <v>940</v>
      </c>
      <c r="B53" s="38">
        <v>2.1065999999999999E-6</v>
      </c>
      <c r="C53" s="38">
        <v>6.5209999999999997E-7</v>
      </c>
      <c r="D53" s="38">
        <v>5.1790000000000005E-7</v>
      </c>
      <c r="E53" s="3"/>
      <c r="F53" s="38">
        <f t="shared" si="0"/>
        <v>8.2937007874015739E-5</v>
      </c>
      <c r="G53" s="38">
        <f t="shared" si="0"/>
        <v>2.5673228346456692E-5</v>
      </c>
      <c r="H53" s="38">
        <f t="shared" si="0"/>
        <v>2.0389763779527563E-5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  <c r="AD53" s="4"/>
    </row>
    <row r="54" spans="1:30" x14ac:dyDescent="0.2">
      <c r="A54" s="35">
        <v>960</v>
      </c>
      <c r="B54" s="38">
        <v>2.176E-6</v>
      </c>
      <c r="C54" s="38">
        <v>6.7309999999999996E-7</v>
      </c>
      <c r="D54" s="38">
        <v>5.2230000000000006E-7</v>
      </c>
      <c r="E54" s="3"/>
      <c r="F54" s="38">
        <f t="shared" si="0"/>
        <v>8.5669291338582676E-5</v>
      </c>
      <c r="G54" s="38">
        <f t="shared" si="0"/>
        <v>2.65E-5</v>
      </c>
      <c r="H54" s="38">
        <f t="shared" si="0"/>
        <v>2.0562992125984256E-5</v>
      </c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AD54" s="4"/>
    </row>
    <row r="55" spans="1:30" x14ac:dyDescent="0.2">
      <c r="A55" s="8">
        <v>980</v>
      </c>
      <c r="B55" s="38">
        <v>2.2453999999999997E-6</v>
      </c>
      <c r="C55" s="38">
        <v>6.9110000000000004E-7</v>
      </c>
      <c r="D55" s="38">
        <v>5.2699999999999999E-7</v>
      </c>
      <c r="E55" s="3"/>
      <c r="F55" s="38">
        <f t="shared" si="0"/>
        <v>8.84015748031496E-5</v>
      </c>
      <c r="G55" s="38">
        <f t="shared" si="0"/>
        <v>2.7208661417322839E-5</v>
      </c>
      <c r="H55" s="38">
        <f t="shared" si="0"/>
        <v>2.0748031496062992E-5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D55" s="4"/>
    </row>
    <row r="56" spans="1:30" x14ac:dyDescent="0.2">
      <c r="A56" s="8">
        <v>1000</v>
      </c>
      <c r="B56" s="38">
        <v>2.3148000000000003E-6</v>
      </c>
      <c r="C56" s="38">
        <v>7.0500000000000003E-7</v>
      </c>
      <c r="D56" s="38">
        <v>5.3399999999999999E-7</v>
      </c>
      <c r="E56" s="3"/>
      <c r="F56" s="38">
        <f t="shared" si="0"/>
        <v>9.113385826771655E-5</v>
      </c>
      <c r="G56" s="38">
        <f t="shared" si="0"/>
        <v>2.7755905511811025E-5</v>
      </c>
      <c r="H56" s="38">
        <f t="shared" si="0"/>
        <v>2.1023622047244096E-5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D56" s="4"/>
    </row>
    <row r="57" spans="1:30" x14ac:dyDescent="0.2">
      <c r="A57" s="8">
        <v>1020</v>
      </c>
      <c r="B57" s="38">
        <v>2.3742000000000001E-6</v>
      </c>
      <c r="C57" s="38">
        <v>7.1679999999999996E-7</v>
      </c>
      <c r="D57" s="38">
        <v>5.4099999999999999E-7</v>
      </c>
      <c r="E57" s="3"/>
      <c r="F57" s="38">
        <f t="shared" si="0"/>
        <v>9.3472440944881888E-5</v>
      </c>
      <c r="G57" s="38">
        <f t="shared" si="0"/>
        <v>2.8220472440944883E-5</v>
      </c>
      <c r="H57" s="38">
        <f t="shared" si="0"/>
        <v>2.12992125984252E-5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D57" s="4"/>
    </row>
    <row r="58" spans="1:30" x14ac:dyDescent="0.2">
      <c r="A58" s="8">
        <v>1040</v>
      </c>
      <c r="B58" s="38">
        <v>2.4336999999999997E-6</v>
      </c>
      <c r="C58" s="38">
        <v>7.2550000000000008E-7</v>
      </c>
      <c r="D58" s="38">
        <v>5.51E-7</v>
      </c>
      <c r="E58" s="3"/>
      <c r="F58" s="38">
        <f t="shared" si="0"/>
        <v>9.5814960629921246E-5</v>
      </c>
      <c r="G58" s="38">
        <f t="shared" si="0"/>
        <v>2.8562992125984257E-5</v>
      </c>
      <c r="H58" s="38">
        <f t="shared" si="0"/>
        <v>2.1692913385826769E-5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D58" s="4"/>
    </row>
    <row r="59" spans="1:30" x14ac:dyDescent="0.2">
      <c r="A59" s="8">
        <v>1060</v>
      </c>
      <c r="B59" s="38">
        <v>2.4733999999999999E-6</v>
      </c>
      <c r="C59" s="39">
        <v>7.3020000000000001E-7</v>
      </c>
      <c r="D59" s="38">
        <v>5.6100000000000001E-7</v>
      </c>
      <c r="E59" s="3"/>
      <c r="F59" s="38">
        <f t="shared" si="0"/>
        <v>9.7377952755905501E-5</v>
      </c>
      <c r="G59" s="38">
        <f t="shared" si="0"/>
        <v>2.8748031496062994E-5</v>
      </c>
      <c r="H59" s="38">
        <f t="shared" si="0"/>
        <v>2.2086614173228346E-5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D59" s="4"/>
    </row>
    <row r="60" spans="1:30" x14ac:dyDescent="0.2">
      <c r="A60" s="8">
        <v>1080</v>
      </c>
      <c r="B60" s="38">
        <v>2.5133999999999999E-6</v>
      </c>
      <c r="C60" s="38">
        <v>7.3379999999999997E-7</v>
      </c>
      <c r="D60" s="38">
        <v>5.7400000000000003E-7</v>
      </c>
      <c r="E60" s="3"/>
      <c r="F60" s="38">
        <f t="shared" si="0"/>
        <v>9.8952755905511806E-5</v>
      </c>
      <c r="G60" s="38">
        <f t="shared" si="0"/>
        <v>2.888976377952756E-5</v>
      </c>
      <c r="H60" s="38">
        <f t="shared" si="0"/>
        <v>2.2598425196850398E-5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D60" s="3"/>
    </row>
    <row r="61" spans="1:30" x14ac:dyDescent="0.2">
      <c r="A61" s="8">
        <v>1100</v>
      </c>
      <c r="B61" s="38">
        <v>2.5438999999999999E-6</v>
      </c>
      <c r="C61" s="38">
        <v>7.3440000000000001E-7</v>
      </c>
      <c r="D61" s="38">
        <v>5.8800000000000002E-7</v>
      </c>
      <c r="E61" s="3"/>
      <c r="F61" s="38">
        <f t="shared" si="0"/>
        <v>1.0015354330708662E-4</v>
      </c>
      <c r="G61" s="38">
        <f t="shared" si="0"/>
        <v>2.8913385826771654E-5</v>
      </c>
      <c r="H61" s="38">
        <f t="shared" si="0"/>
        <v>2.3149606299212599E-5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D61" s="3"/>
    </row>
    <row r="62" spans="1:30" x14ac:dyDescent="0.2">
      <c r="A62" s="8">
        <v>1120</v>
      </c>
      <c r="B62" s="38">
        <v>2.5648999999999998E-6</v>
      </c>
      <c r="C62" s="38">
        <v>7.3300000000000001E-7</v>
      </c>
      <c r="D62" s="38">
        <v>6.0200000000000002E-7</v>
      </c>
      <c r="E62" s="3"/>
      <c r="F62" s="38">
        <f t="shared" si="0"/>
        <v>1.0098031496062992E-4</v>
      </c>
      <c r="G62" s="38">
        <f t="shared" si="0"/>
        <v>2.8858267716535437E-5</v>
      </c>
      <c r="H62" s="38">
        <f t="shared" si="0"/>
        <v>2.3700787401574803E-5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D62" s="3"/>
    </row>
    <row r="63" spans="1:30" x14ac:dyDescent="0.2">
      <c r="A63" s="8">
        <v>1140</v>
      </c>
      <c r="B63" s="38">
        <v>2.5863999999999999E-6</v>
      </c>
      <c r="C63" s="38">
        <v>7.2949999999999996E-7</v>
      </c>
      <c r="D63" s="38">
        <v>6.1999999999999999E-7</v>
      </c>
      <c r="E63" s="3"/>
      <c r="F63" s="38">
        <f t="shared" si="0"/>
        <v>1.0182677165354331E-4</v>
      </c>
      <c r="G63" s="38">
        <f t="shared" si="0"/>
        <v>2.8720472440944885E-5</v>
      </c>
      <c r="H63" s="38">
        <f t="shared" si="0"/>
        <v>2.4409448818897638E-5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D63" s="3"/>
    </row>
    <row r="64" spans="1:30" x14ac:dyDescent="0.2">
      <c r="A64" s="8">
        <v>1160</v>
      </c>
      <c r="B64" s="38">
        <v>2.5984E-6</v>
      </c>
      <c r="C64" s="38">
        <v>7.2600000000000002E-7</v>
      </c>
      <c r="D64" s="38">
        <v>6.4000000000000001E-7</v>
      </c>
      <c r="E64" s="3"/>
      <c r="F64" s="38">
        <f t="shared" si="0"/>
        <v>1.022992125984252E-4</v>
      </c>
      <c r="G64" s="38">
        <f t="shared" si="0"/>
        <v>2.858267716535433E-5</v>
      </c>
      <c r="H64" s="38">
        <f t="shared" si="0"/>
        <v>2.5196850393700791E-5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D64" s="3"/>
    </row>
    <row r="65" spans="1:30" x14ac:dyDescent="0.2">
      <c r="A65" s="8">
        <v>1180</v>
      </c>
      <c r="B65" s="38">
        <v>2.6008999999999999E-6</v>
      </c>
      <c r="C65" s="38">
        <v>7.216E-7</v>
      </c>
      <c r="D65" s="38">
        <v>6.6299999999999994E-7</v>
      </c>
      <c r="E65" s="3"/>
      <c r="F65" s="38">
        <f t="shared" si="0"/>
        <v>1.0239763779527558E-4</v>
      </c>
      <c r="G65" s="38">
        <f t="shared" si="0"/>
        <v>2.8409448818897637E-5</v>
      </c>
      <c r="H65" s="38">
        <f t="shared" si="0"/>
        <v>2.610236220472441E-5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D65" s="3"/>
    </row>
    <row r="66" spans="1:30" x14ac:dyDescent="0.2">
      <c r="A66" s="8">
        <v>1200</v>
      </c>
      <c r="B66" s="38">
        <v>2.6038E-6</v>
      </c>
      <c r="C66" s="38">
        <v>7.1640000000000004E-7</v>
      </c>
      <c r="D66" s="38">
        <v>6.8699999999999994E-7</v>
      </c>
      <c r="E66" s="3"/>
      <c r="F66" s="38">
        <f t="shared" si="0"/>
        <v>1.0251181102362205E-4</v>
      </c>
      <c r="G66" s="38">
        <f t="shared" si="0"/>
        <v>2.8204724409448822E-5</v>
      </c>
      <c r="H66" s="38">
        <f t="shared" si="0"/>
        <v>2.7047244094488187E-5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D66" s="3"/>
    </row>
    <row r="67" spans="1:30" x14ac:dyDescent="0.2">
      <c r="A67" s="8">
        <v>1220</v>
      </c>
      <c r="B67" s="38">
        <v>2.6069E-6</v>
      </c>
      <c r="C67" s="38">
        <v>7.1139999999999998E-7</v>
      </c>
      <c r="D67" s="38">
        <v>7.1699999999999997E-7</v>
      </c>
      <c r="E67" s="3"/>
      <c r="F67" s="38">
        <f t="shared" si="0"/>
        <v>1.0263385826771655E-4</v>
      </c>
      <c r="G67" s="38">
        <f t="shared" si="0"/>
        <v>2.8007874015748032E-5</v>
      </c>
      <c r="H67" s="38">
        <f t="shared" si="0"/>
        <v>2.8228346456692912E-5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D67" s="1"/>
    </row>
    <row r="68" spans="1:30" x14ac:dyDescent="0.2">
      <c r="A68" s="8">
        <v>1240</v>
      </c>
      <c r="B68" s="38">
        <v>2.6104E-6</v>
      </c>
      <c r="C68" s="38">
        <v>7.0589999999999999E-7</v>
      </c>
      <c r="D68" s="38">
        <v>7.5099999999999999E-7</v>
      </c>
      <c r="E68" s="3"/>
      <c r="F68" s="38">
        <f t="shared" si="0"/>
        <v>1.027716535433071E-4</v>
      </c>
      <c r="G68" s="38">
        <f t="shared" si="0"/>
        <v>2.7791338582677166E-5</v>
      </c>
      <c r="H68" s="38">
        <f t="shared" si="0"/>
        <v>2.9566929133858273E-5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D68" s="1"/>
    </row>
    <row r="69" spans="1:30" x14ac:dyDescent="0.2">
      <c r="A69" s="8">
        <v>1260</v>
      </c>
      <c r="B69" s="38">
        <v>2.6042E-6</v>
      </c>
      <c r="C69" s="38">
        <v>7.0100000000000004E-7</v>
      </c>
      <c r="D69" s="38">
        <v>7.8899999999999998E-7</v>
      </c>
      <c r="E69" s="3"/>
      <c r="F69" s="38">
        <f t="shared" si="0"/>
        <v>1.0252755905511812E-4</v>
      </c>
      <c r="G69" s="38">
        <f t="shared" si="0"/>
        <v>2.7598425196850398E-5</v>
      </c>
      <c r="H69" s="38">
        <f t="shared" si="0"/>
        <v>3.1062992125984254E-5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D69" s="1"/>
    </row>
    <row r="70" spans="1:30" x14ac:dyDescent="0.2">
      <c r="A70" s="8">
        <v>1280</v>
      </c>
      <c r="B70" s="38">
        <v>2.5982E-6</v>
      </c>
      <c r="C70" s="38">
        <v>6.9790000000000002E-7</v>
      </c>
      <c r="D70" s="38">
        <v>8.3300000000000001E-7</v>
      </c>
      <c r="E70" s="3"/>
      <c r="F70" s="38">
        <f t="shared" si="0"/>
        <v>1.0229133858267718E-4</v>
      </c>
      <c r="G70" s="38">
        <f t="shared" si="0"/>
        <v>2.7476377952755907E-5</v>
      </c>
      <c r="H70" s="38">
        <f t="shared" si="0"/>
        <v>3.279527559055118E-5</v>
      </c>
      <c r="J70" s="1"/>
      <c r="K70" s="1"/>
      <c r="L70" s="5"/>
      <c r="M70" s="1"/>
      <c r="N70" s="1"/>
      <c r="O70" s="1"/>
      <c r="P70" s="1"/>
      <c r="Q70" s="1"/>
      <c r="R70" s="17"/>
      <c r="S70" s="1"/>
      <c r="T70" s="1"/>
      <c r="U70" s="1"/>
      <c r="AD70" s="1"/>
    </row>
    <row r="71" spans="1:30" x14ac:dyDescent="0.2">
      <c r="A71" s="8">
        <v>1300</v>
      </c>
      <c r="B71" s="38">
        <v>2.6022000000000003E-6</v>
      </c>
      <c r="C71" s="38">
        <v>6.9439999999999997E-7</v>
      </c>
      <c r="D71" s="38">
        <v>8.7899999999999997E-7</v>
      </c>
      <c r="E71" s="3"/>
      <c r="F71" s="38">
        <f t="shared" ref="F71:H126" si="1">B71*1000/25.4</f>
        <v>1.0244881889763782E-4</v>
      </c>
      <c r="G71" s="38">
        <f t="shared" si="1"/>
        <v>2.7338582677165355E-5</v>
      </c>
      <c r="H71" s="38">
        <f t="shared" si="1"/>
        <v>3.4606299212598431E-5</v>
      </c>
      <c r="J71" s="1"/>
      <c r="K71" s="3"/>
      <c r="L71" s="20"/>
      <c r="M71" s="1"/>
      <c r="N71" s="1"/>
      <c r="O71" s="1"/>
      <c r="P71" s="1"/>
      <c r="Q71" s="1"/>
      <c r="R71" s="1"/>
      <c r="S71" s="1"/>
      <c r="T71" s="1"/>
      <c r="U71" s="1"/>
      <c r="AD71" s="1"/>
    </row>
    <row r="72" spans="1:30" x14ac:dyDescent="0.2">
      <c r="A72" s="8">
        <v>1320</v>
      </c>
      <c r="B72" s="38">
        <v>2.5959E-6</v>
      </c>
      <c r="C72" s="38">
        <v>6.9149999999999997E-7</v>
      </c>
      <c r="D72" s="38">
        <v>9.2699999999999998E-7</v>
      </c>
      <c r="E72" s="3"/>
      <c r="F72" s="38">
        <f t="shared" si="1"/>
        <v>1.022007874015748E-4</v>
      </c>
      <c r="G72" s="38">
        <f t="shared" si="1"/>
        <v>2.7224409448818897E-5</v>
      </c>
      <c r="H72" s="38">
        <f t="shared" si="1"/>
        <v>3.6496062992125985E-5</v>
      </c>
      <c r="J72" s="1"/>
      <c r="K72" s="1"/>
      <c r="L72" s="20"/>
      <c r="M72" s="1"/>
      <c r="N72" s="1"/>
      <c r="O72" s="1"/>
      <c r="P72" s="1"/>
      <c r="Q72" s="1"/>
      <c r="R72" s="1"/>
      <c r="S72" s="1"/>
      <c r="T72" s="1"/>
      <c r="U72" s="1"/>
      <c r="AD72" s="1"/>
    </row>
    <row r="73" spans="1:30" x14ac:dyDescent="0.2">
      <c r="A73" s="8">
        <v>1340</v>
      </c>
      <c r="B73" s="38">
        <v>2.5890000000000001E-6</v>
      </c>
      <c r="C73" s="38">
        <v>6.8960000000000003E-7</v>
      </c>
      <c r="D73" s="38">
        <v>9.7499999999999998E-7</v>
      </c>
      <c r="E73" s="3"/>
      <c r="F73" s="38">
        <f t="shared" si="1"/>
        <v>1.0192913385826772E-4</v>
      </c>
      <c r="G73" s="38">
        <f t="shared" si="1"/>
        <v>2.7149606299212601E-5</v>
      </c>
      <c r="H73" s="38">
        <f t="shared" si="1"/>
        <v>3.8385826771653546E-5</v>
      </c>
      <c r="J73" s="1"/>
      <c r="K73" s="1"/>
      <c r="L73" s="20"/>
      <c r="M73" s="1"/>
      <c r="N73" s="1"/>
      <c r="O73" s="1"/>
      <c r="P73" s="1"/>
      <c r="Q73" s="1"/>
      <c r="R73" s="1"/>
      <c r="S73" s="1"/>
      <c r="T73" s="1"/>
      <c r="U73" s="1"/>
      <c r="AD73" s="1"/>
    </row>
    <row r="74" spans="1:30" x14ac:dyDescent="0.2">
      <c r="A74" s="8">
        <v>1360</v>
      </c>
      <c r="B74" s="38">
        <v>2.5809000000000001E-6</v>
      </c>
      <c r="C74" s="38">
        <v>6.8609999999999998E-7</v>
      </c>
      <c r="D74" s="38">
        <v>1.017E-6</v>
      </c>
      <c r="E74" s="3"/>
      <c r="F74" s="38">
        <f t="shared" si="1"/>
        <v>1.0161023622047245E-4</v>
      </c>
      <c r="G74" s="38">
        <f t="shared" si="1"/>
        <v>2.7011811023622049E-5</v>
      </c>
      <c r="H74" s="38">
        <f t="shared" si="1"/>
        <v>4.0039370078740155E-5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D74" s="1"/>
    </row>
    <row r="75" spans="1:30" x14ac:dyDescent="0.2">
      <c r="A75" s="8">
        <v>1380</v>
      </c>
      <c r="B75" s="38">
        <v>2.5716000000000001E-6</v>
      </c>
      <c r="C75" s="38">
        <v>6.8269999999999994E-7</v>
      </c>
      <c r="D75" s="38">
        <v>1.049E-6</v>
      </c>
      <c r="E75" s="3"/>
      <c r="F75" s="38">
        <f t="shared" si="1"/>
        <v>1.01244094488189E-4</v>
      </c>
      <c r="G75" s="38">
        <f t="shared" si="1"/>
        <v>2.6877952755905512E-5</v>
      </c>
      <c r="H75" s="38">
        <f t="shared" si="1"/>
        <v>4.1299212598425198E-5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D75" s="1"/>
    </row>
    <row r="76" spans="1:30" x14ac:dyDescent="0.2">
      <c r="A76" s="8">
        <v>1400</v>
      </c>
      <c r="B76" s="38">
        <v>2.5611000000000003E-6</v>
      </c>
      <c r="C76" s="38">
        <v>6.7730000000000006E-7</v>
      </c>
      <c r="D76" s="38">
        <v>1.066E-6</v>
      </c>
      <c r="E76" s="3"/>
      <c r="F76" s="38">
        <f t="shared" si="1"/>
        <v>1.0083070866141733E-4</v>
      </c>
      <c r="G76" s="38">
        <f t="shared" si="1"/>
        <v>2.6665354330708664E-5</v>
      </c>
      <c r="H76" s="38">
        <f t="shared" si="1"/>
        <v>4.1968503937007882E-5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D76" s="1"/>
    </row>
    <row r="77" spans="1:30" x14ac:dyDescent="0.2">
      <c r="A77" s="8">
        <v>1420</v>
      </c>
      <c r="B77" s="38">
        <v>2.5496999999999999E-6</v>
      </c>
      <c r="C77" s="38">
        <v>6.7189999999999997E-7</v>
      </c>
      <c r="D77" s="38">
        <v>1.0689999999999998E-6</v>
      </c>
      <c r="E77" s="3"/>
      <c r="F77" s="38">
        <f t="shared" si="1"/>
        <v>1.0038188976377953E-4</v>
      </c>
      <c r="G77" s="38">
        <f t="shared" si="1"/>
        <v>2.6452755905511813E-5</v>
      </c>
      <c r="H77" s="38">
        <f t="shared" si="1"/>
        <v>4.2086614173228344E-5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D77" s="1"/>
    </row>
    <row r="78" spans="1:30" x14ac:dyDescent="0.2">
      <c r="A78" s="8">
        <v>1440</v>
      </c>
      <c r="B78" s="38">
        <v>2.5378999999999999E-6</v>
      </c>
      <c r="C78" s="38">
        <v>6.6499999999999999E-7</v>
      </c>
      <c r="D78" s="38">
        <v>1.0589999999999999E-6</v>
      </c>
      <c r="E78" s="3"/>
      <c r="F78" s="38">
        <f t="shared" si="1"/>
        <v>9.991732283464568E-5</v>
      </c>
      <c r="G78" s="38">
        <f t="shared" si="1"/>
        <v>2.6181102362204727E-5</v>
      </c>
      <c r="H78" s="38">
        <f t="shared" si="1"/>
        <v>4.1692913385826778E-5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D78" s="1"/>
    </row>
    <row r="79" spans="1:30" x14ac:dyDescent="0.2">
      <c r="A79" s="8">
        <v>1460</v>
      </c>
      <c r="B79" s="38">
        <v>2.5259000000000002E-6</v>
      </c>
      <c r="C79" s="38">
        <v>6.5780000000000008E-7</v>
      </c>
      <c r="D79" s="38">
        <v>1.0440000000000001E-6</v>
      </c>
      <c r="E79" s="3"/>
      <c r="F79" s="38">
        <f t="shared" si="1"/>
        <v>9.944488188976379E-5</v>
      </c>
      <c r="G79" s="38">
        <f t="shared" si="1"/>
        <v>2.5897637795275594E-5</v>
      </c>
      <c r="H79" s="38">
        <f t="shared" si="1"/>
        <v>4.1102362204724412E-5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D79" s="1"/>
    </row>
    <row r="80" spans="1:30" x14ac:dyDescent="0.2">
      <c r="A80" s="8">
        <v>1480</v>
      </c>
      <c r="B80" s="38">
        <v>2.5139000000000002E-6</v>
      </c>
      <c r="C80" s="38">
        <v>6.5059999999999996E-7</v>
      </c>
      <c r="D80" s="38">
        <v>1.0240000000000001E-6</v>
      </c>
      <c r="E80" s="3"/>
      <c r="F80" s="38">
        <f t="shared" si="1"/>
        <v>9.8972440944881913E-5</v>
      </c>
      <c r="G80" s="38">
        <f t="shared" si="1"/>
        <v>2.5614173228346458E-5</v>
      </c>
      <c r="H80" s="38">
        <f t="shared" si="1"/>
        <v>4.0314960629921266E-5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D80" s="1"/>
    </row>
    <row r="81" spans="1:30" x14ac:dyDescent="0.2">
      <c r="A81" s="8">
        <v>1500</v>
      </c>
      <c r="B81" s="38">
        <v>2.5021999999999999E-6</v>
      </c>
      <c r="C81" s="38">
        <v>6.4450000000000003E-7</v>
      </c>
      <c r="D81" s="38">
        <v>1.004E-6</v>
      </c>
      <c r="E81" s="3"/>
      <c r="F81" s="38">
        <f t="shared" si="1"/>
        <v>9.8511811023622059E-5</v>
      </c>
      <c r="G81" s="38">
        <f t="shared" si="1"/>
        <v>2.5374015748031498E-5</v>
      </c>
      <c r="H81" s="38">
        <f t="shared" si="1"/>
        <v>3.952755905511812E-5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</row>
    <row r="82" spans="1:30" x14ac:dyDescent="0.2">
      <c r="A82" s="8">
        <v>1520</v>
      </c>
      <c r="B82" s="38">
        <v>2.4905999999999999E-6</v>
      </c>
      <c r="C82" s="38">
        <v>6.3750000000000004E-7</v>
      </c>
      <c r="D82" s="38">
        <v>9.8700000000000004E-7</v>
      </c>
      <c r="E82" s="3"/>
      <c r="F82" s="38">
        <f t="shared" si="1"/>
        <v>9.8055118110236227E-5</v>
      </c>
      <c r="G82" s="38">
        <f t="shared" si="1"/>
        <v>2.5098425196850398E-5</v>
      </c>
      <c r="H82" s="38">
        <f t="shared" si="1"/>
        <v>3.8858267716535436E-5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D82" s="1"/>
    </row>
    <row r="83" spans="1:30" x14ac:dyDescent="0.2">
      <c r="A83" s="8">
        <v>1540</v>
      </c>
      <c r="B83" s="38">
        <v>2.4793000000000001E-6</v>
      </c>
      <c r="C83" s="38">
        <v>6.3169999999999992E-7</v>
      </c>
      <c r="D83" s="38">
        <v>9.7100000000000011E-7</v>
      </c>
      <c r="E83" s="3"/>
      <c r="F83" s="38">
        <f t="shared" si="1"/>
        <v>9.7610236220472459E-5</v>
      </c>
      <c r="G83" s="38">
        <f t="shared" si="1"/>
        <v>2.4870078740157478E-5</v>
      </c>
      <c r="H83" s="38">
        <f t="shared" si="1"/>
        <v>3.8228346456692918E-5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D83" s="1"/>
    </row>
    <row r="84" spans="1:30" x14ac:dyDescent="0.2">
      <c r="A84" s="8">
        <v>1560</v>
      </c>
      <c r="B84" s="38">
        <v>2.4681999999999999E-6</v>
      </c>
      <c r="C84" s="38">
        <v>6.2610000000000003E-7</v>
      </c>
      <c r="D84" s="38">
        <v>9.569999999999999E-7</v>
      </c>
      <c r="E84" s="3"/>
      <c r="F84" s="38">
        <f t="shared" si="1"/>
        <v>9.7173228346456692E-5</v>
      </c>
      <c r="G84" s="38">
        <f t="shared" si="1"/>
        <v>2.4649606299212598E-5</v>
      </c>
      <c r="H84" s="38">
        <f t="shared" si="1"/>
        <v>3.7677165354330711E-5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D84" s="1"/>
    </row>
    <row r="85" spans="1:30" x14ac:dyDescent="0.2">
      <c r="A85" s="8">
        <v>1580</v>
      </c>
      <c r="B85" s="38">
        <v>2.4673000000000001E-6</v>
      </c>
      <c r="C85" s="38">
        <v>6.2049999999999992E-7</v>
      </c>
      <c r="D85" s="38">
        <v>9.4500000000000006E-7</v>
      </c>
      <c r="E85" s="3"/>
      <c r="F85" s="38">
        <f t="shared" si="1"/>
        <v>9.7137795275590555E-5</v>
      </c>
      <c r="G85" s="38">
        <f t="shared" si="1"/>
        <v>2.4429133858267718E-5</v>
      </c>
      <c r="H85" s="38">
        <f t="shared" si="1"/>
        <v>3.7204724409448827E-5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D85" s="1"/>
    </row>
    <row r="86" spans="1:30" x14ac:dyDescent="0.2">
      <c r="A86" s="8">
        <v>1600</v>
      </c>
      <c r="B86" s="38">
        <v>2.4563999999999999E-6</v>
      </c>
      <c r="C86" s="38">
        <v>6.1500000000000004E-7</v>
      </c>
      <c r="D86" s="38">
        <v>9.3399999999999997E-7</v>
      </c>
      <c r="E86" s="3"/>
      <c r="F86" s="38">
        <f t="shared" si="1"/>
        <v>9.6708661417322845E-5</v>
      </c>
      <c r="G86" s="38">
        <f t="shared" si="1"/>
        <v>2.4212598425196855E-5</v>
      </c>
      <c r="H86" s="38">
        <f t="shared" si="1"/>
        <v>3.6771653543307089E-5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D86" s="1"/>
    </row>
    <row r="87" spans="1:30" x14ac:dyDescent="0.2">
      <c r="A87" s="8">
        <v>1620</v>
      </c>
      <c r="B87" s="38">
        <v>2.4455999999999999E-6</v>
      </c>
      <c r="C87" s="38">
        <v>6.1060000000000003E-7</v>
      </c>
      <c r="D87" s="38">
        <v>9.2500000000000004E-7</v>
      </c>
      <c r="E87" s="3"/>
      <c r="F87" s="38">
        <f t="shared" si="1"/>
        <v>9.6283464566929142E-5</v>
      </c>
      <c r="G87" s="38">
        <f t="shared" si="1"/>
        <v>2.4039370078740159E-5</v>
      </c>
      <c r="H87" s="38">
        <f t="shared" si="1"/>
        <v>3.6417322834645674E-5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D87" s="1"/>
    </row>
    <row r="88" spans="1:30" x14ac:dyDescent="0.2">
      <c r="A88" s="8">
        <v>1640</v>
      </c>
      <c r="B88" s="38">
        <v>2.4349000000000002E-6</v>
      </c>
      <c r="C88" s="38">
        <v>6.0519999999999994E-7</v>
      </c>
      <c r="D88" s="38">
        <v>9.1799999999999994E-7</v>
      </c>
      <c r="E88" s="3"/>
      <c r="F88" s="38">
        <f t="shared" si="1"/>
        <v>9.5862204724409461E-5</v>
      </c>
      <c r="G88" s="38">
        <f t="shared" si="1"/>
        <v>2.3826771653543308E-5</v>
      </c>
      <c r="H88" s="38">
        <f t="shared" si="1"/>
        <v>3.6141732283464571E-5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D88" s="1"/>
    </row>
    <row r="89" spans="1:30" x14ac:dyDescent="0.2">
      <c r="A89" s="8">
        <v>1660</v>
      </c>
      <c r="B89" s="38">
        <v>2.4341000000000001E-6</v>
      </c>
      <c r="C89" s="38">
        <v>5.9979999999999996E-7</v>
      </c>
      <c r="D89" s="38">
        <v>9.1100000000000004E-7</v>
      </c>
      <c r="E89" s="3"/>
      <c r="F89" s="38">
        <f t="shared" si="1"/>
        <v>9.5830708661417331E-5</v>
      </c>
      <c r="G89" s="38">
        <f t="shared" si="1"/>
        <v>2.3614173228346457E-5</v>
      </c>
      <c r="H89" s="38">
        <f t="shared" si="1"/>
        <v>3.5866141732283467E-5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D89" s="1"/>
    </row>
    <row r="90" spans="1:30" x14ac:dyDescent="0.2">
      <c r="A90" s="8">
        <v>1680</v>
      </c>
      <c r="B90" s="38">
        <v>2.4231999999999999E-6</v>
      </c>
      <c r="C90" s="38">
        <v>5.9540000000000005E-7</v>
      </c>
      <c r="D90" s="38">
        <v>9.0599999999999999E-7</v>
      </c>
      <c r="E90" s="3"/>
      <c r="F90" s="38">
        <f t="shared" si="1"/>
        <v>9.5401574803149607E-5</v>
      </c>
      <c r="G90" s="38">
        <f t="shared" si="1"/>
        <v>2.3440944881889767E-5</v>
      </c>
      <c r="H90" s="38">
        <f t="shared" si="1"/>
        <v>3.566929133858268E-5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D90" s="1"/>
    </row>
    <row r="91" spans="1:30" x14ac:dyDescent="0.2">
      <c r="A91" s="8">
        <v>1700</v>
      </c>
      <c r="B91" s="38">
        <v>2.4124E-6</v>
      </c>
      <c r="C91" s="38">
        <v>5.8999999999999996E-7</v>
      </c>
      <c r="D91" s="38">
        <v>9.0100000000000003E-7</v>
      </c>
      <c r="E91" s="3"/>
      <c r="F91" s="38">
        <f t="shared" si="1"/>
        <v>9.4976377952755905E-5</v>
      </c>
      <c r="G91" s="38">
        <f t="shared" si="1"/>
        <v>2.3228346456692913E-5</v>
      </c>
      <c r="H91" s="38">
        <f t="shared" si="1"/>
        <v>3.5472440944881894E-5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D91" s="1"/>
    </row>
    <row r="92" spans="1:30" x14ac:dyDescent="0.2">
      <c r="A92" s="8">
        <v>1720</v>
      </c>
      <c r="B92" s="38">
        <v>2.4016E-6</v>
      </c>
      <c r="C92" s="38">
        <v>5.8549999999999994E-7</v>
      </c>
      <c r="D92" s="38">
        <v>8.9700000000000005E-7</v>
      </c>
      <c r="E92" s="3"/>
      <c r="F92" s="38">
        <f t="shared" si="1"/>
        <v>9.4551181102362202E-5</v>
      </c>
      <c r="G92" s="38">
        <f t="shared" si="1"/>
        <v>2.3051181102362206E-5</v>
      </c>
      <c r="H92" s="38">
        <f t="shared" si="1"/>
        <v>3.5314960629921259E-5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D92" s="1"/>
    </row>
    <row r="93" spans="1:30" x14ac:dyDescent="0.2">
      <c r="A93" s="8">
        <v>1740</v>
      </c>
      <c r="B93" s="38">
        <v>2.4008E-6</v>
      </c>
      <c r="C93" s="38">
        <v>5.8110000000000004E-7</v>
      </c>
      <c r="D93" s="38">
        <v>8.9299999999999996E-7</v>
      </c>
      <c r="E93" s="3"/>
      <c r="F93" s="38">
        <f t="shared" si="1"/>
        <v>9.4519685039370072E-5</v>
      </c>
      <c r="G93" s="38">
        <f t="shared" si="1"/>
        <v>2.2877952755905516E-5</v>
      </c>
      <c r="H93" s="38">
        <f t="shared" si="1"/>
        <v>3.5157480314960632E-5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D93" s="1"/>
    </row>
    <row r="94" spans="1:30" x14ac:dyDescent="0.2">
      <c r="A94" s="8">
        <v>1760</v>
      </c>
      <c r="B94" s="38">
        <v>2.39E-6</v>
      </c>
      <c r="C94" s="38">
        <v>5.778E-7</v>
      </c>
      <c r="D94" s="38">
        <v>8.8800000000000001E-7</v>
      </c>
      <c r="E94" s="3"/>
      <c r="F94" s="38">
        <f t="shared" si="1"/>
        <v>9.4094488188976397E-5</v>
      </c>
      <c r="G94" s="38">
        <f t="shared" si="1"/>
        <v>2.274803149606299E-5</v>
      </c>
      <c r="H94" s="38">
        <f t="shared" si="1"/>
        <v>3.4960629921259845E-5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D94" s="1"/>
    </row>
    <row r="95" spans="1:30" x14ac:dyDescent="0.2">
      <c r="A95" s="8">
        <v>1780</v>
      </c>
      <c r="B95" s="38">
        <v>2.3793000000000002E-6</v>
      </c>
      <c r="C95" s="38">
        <v>5.7339999999999999E-7</v>
      </c>
      <c r="D95" s="38">
        <v>8.85E-7</v>
      </c>
      <c r="E95" s="3"/>
      <c r="F95" s="38">
        <f t="shared" si="1"/>
        <v>9.3673228346456716E-5</v>
      </c>
      <c r="G95" s="38">
        <f t="shared" si="1"/>
        <v>2.2574803149606297E-5</v>
      </c>
      <c r="H95" s="38">
        <f t="shared" si="1"/>
        <v>3.4842519685039376E-5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D95" s="1"/>
    </row>
    <row r="96" spans="1:30" x14ac:dyDescent="0.2">
      <c r="A96" s="8">
        <v>1800</v>
      </c>
      <c r="B96" s="38">
        <v>2.3787000000000002E-6</v>
      </c>
      <c r="C96" s="38">
        <v>5.6899999999999997E-7</v>
      </c>
      <c r="D96" s="38">
        <v>8.8300000000000006E-7</v>
      </c>
      <c r="E96" s="3"/>
      <c r="F96" s="38">
        <f t="shared" si="1"/>
        <v>9.3649606299212601E-5</v>
      </c>
      <c r="G96" s="38">
        <f t="shared" si="1"/>
        <v>2.2401574803149605E-5</v>
      </c>
      <c r="H96" s="38">
        <f t="shared" si="1"/>
        <v>3.4763779527559059E-5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D96" s="1"/>
    </row>
    <row r="97" spans="1:30" x14ac:dyDescent="0.2">
      <c r="A97" s="8">
        <v>1820</v>
      </c>
      <c r="B97" s="38">
        <v>2.3681000000000002E-6</v>
      </c>
      <c r="C97" s="38">
        <v>5.6570000000000004E-7</v>
      </c>
      <c r="D97" s="38">
        <v>8.7899999999999997E-7</v>
      </c>
      <c r="E97" s="3"/>
      <c r="F97" s="38">
        <f t="shared" si="1"/>
        <v>9.3232283464566941E-5</v>
      </c>
      <c r="G97" s="38">
        <f t="shared" si="1"/>
        <v>2.2271653543307089E-5</v>
      </c>
      <c r="H97" s="38">
        <f t="shared" si="1"/>
        <v>3.4606299212598431E-5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D97" s="1"/>
    </row>
    <row r="98" spans="1:30" x14ac:dyDescent="0.2">
      <c r="A98" s="8">
        <v>1840</v>
      </c>
      <c r="B98" s="38">
        <v>2.3677000000000002E-6</v>
      </c>
      <c r="C98" s="38">
        <v>5.6240000000000001E-7</v>
      </c>
      <c r="D98" s="38">
        <v>8.7599999999999996E-7</v>
      </c>
      <c r="E98" s="3"/>
      <c r="F98" s="38">
        <f t="shared" si="1"/>
        <v>9.3216535433070883E-5</v>
      </c>
      <c r="G98" s="38">
        <f t="shared" si="1"/>
        <v>2.2141732283464569E-5</v>
      </c>
      <c r="H98" s="38">
        <f t="shared" si="1"/>
        <v>3.4488188976377955E-5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D98" s="1"/>
    </row>
    <row r="99" spans="1:30" x14ac:dyDescent="0.2">
      <c r="A99" s="8">
        <v>1860</v>
      </c>
      <c r="B99" s="38">
        <v>2.3572999999999999E-6</v>
      </c>
      <c r="C99" s="38">
        <v>5.5919999999999998E-7</v>
      </c>
      <c r="D99" s="38">
        <v>8.7299999999999994E-7</v>
      </c>
      <c r="E99" s="3"/>
      <c r="F99" s="38">
        <f t="shared" si="1"/>
        <v>9.2807086614173225E-5</v>
      </c>
      <c r="G99" s="38">
        <f t="shared" si="1"/>
        <v>2.2015748031496061E-5</v>
      </c>
      <c r="H99" s="38">
        <f t="shared" si="1"/>
        <v>3.4370078740157479E-5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D99" s="1"/>
    </row>
    <row r="100" spans="1:30" x14ac:dyDescent="0.2">
      <c r="A100" s="8">
        <v>1880</v>
      </c>
      <c r="B100" s="38">
        <v>2.3568999999999998E-6</v>
      </c>
      <c r="C100" s="38">
        <v>5.5589999999999994E-7</v>
      </c>
      <c r="D100" s="38">
        <v>8.6999999999999993E-7</v>
      </c>
      <c r="E100" s="3"/>
      <c r="F100" s="38">
        <f t="shared" si="1"/>
        <v>9.2791338582677167E-5</v>
      </c>
      <c r="G100" s="38">
        <f t="shared" si="1"/>
        <v>2.1885826771653541E-5</v>
      </c>
      <c r="H100" s="38">
        <f t="shared" si="1"/>
        <v>3.4251968503937003E-5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D100" s="1"/>
    </row>
    <row r="101" spans="1:30" x14ac:dyDescent="0.2">
      <c r="A101" s="8">
        <v>1900</v>
      </c>
      <c r="B101" s="38">
        <v>2.3465999999999997E-6</v>
      </c>
      <c r="C101" s="38">
        <v>5.5269999999999991E-7</v>
      </c>
      <c r="D101" s="38">
        <v>8.6799999999999999E-7</v>
      </c>
      <c r="E101" s="3"/>
      <c r="F101" s="38">
        <f t="shared" si="1"/>
        <v>9.2385826771653544E-5</v>
      </c>
      <c r="G101" s="38">
        <f t="shared" si="1"/>
        <v>2.1759842519685036E-5</v>
      </c>
      <c r="H101" s="38">
        <f t="shared" si="1"/>
        <v>3.4173228346456692E-5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D101" s="1"/>
    </row>
    <row r="102" spans="1:30" x14ac:dyDescent="0.2">
      <c r="A102" s="8">
        <v>1920</v>
      </c>
      <c r="B102" s="38">
        <v>2.3464000000000001E-6</v>
      </c>
      <c r="C102" s="38">
        <v>5.5050000000000007E-7</v>
      </c>
      <c r="D102" s="38">
        <v>8.6499999999999998E-7</v>
      </c>
      <c r="E102" s="3"/>
      <c r="F102" s="38">
        <f t="shared" si="1"/>
        <v>9.2377952755905529E-5</v>
      </c>
      <c r="G102" s="38">
        <f t="shared" si="1"/>
        <v>2.1673228346456697E-5</v>
      </c>
      <c r="H102" s="38">
        <f t="shared" si="1"/>
        <v>3.4055118110236223E-5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D102" s="1"/>
    </row>
    <row r="103" spans="1:30" x14ac:dyDescent="0.2">
      <c r="A103" s="8">
        <v>1940</v>
      </c>
      <c r="B103" s="38">
        <v>2.3362000000000002E-6</v>
      </c>
      <c r="C103" s="38">
        <v>5.4830000000000001E-7</v>
      </c>
      <c r="D103" s="38">
        <v>8.6199999999999996E-7</v>
      </c>
      <c r="E103" s="3"/>
      <c r="F103" s="38">
        <f t="shared" si="1"/>
        <v>9.1976377952755913E-5</v>
      </c>
      <c r="G103" s="38">
        <f t="shared" si="1"/>
        <v>2.1586614173228351E-5</v>
      </c>
      <c r="H103" s="38">
        <f t="shared" si="1"/>
        <v>3.3937007874015747E-5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D103" s="1"/>
    </row>
    <row r="104" spans="1:30" x14ac:dyDescent="0.2">
      <c r="A104" s="8">
        <v>1960</v>
      </c>
      <c r="B104" s="38">
        <v>2.3358999999999999E-6</v>
      </c>
      <c r="C104" s="38">
        <v>5.4519999999999999E-7</v>
      </c>
      <c r="D104" s="38">
        <v>8.5799999999999998E-7</v>
      </c>
      <c r="E104" s="3"/>
      <c r="F104" s="38">
        <f t="shared" si="1"/>
        <v>9.1964566929133863E-5</v>
      </c>
      <c r="G104" s="38">
        <f t="shared" si="1"/>
        <v>2.146456692913386E-5</v>
      </c>
      <c r="H104" s="38">
        <f t="shared" si="1"/>
        <v>3.3779527559055119E-5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D104" s="1"/>
    </row>
    <row r="105" spans="1:30" x14ac:dyDescent="0.2">
      <c r="A105" s="8">
        <v>1980</v>
      </c>
      <c r="B105" s="38">
        <v>2.3356999999999999E-6</v>
      </c>
      <c r="C105" s="38">
        <v>5.44E-7</v>
      </c>
      <c r="D105" s="38">
        <v>8.5500000000000007E-7</v>
      </c>
      <c r="E105" s="3"/>
      <c r="F105" s="38">
        <f t="shared" si="1"/>
        <v>9.1956692913385834E-5</v>
      </c>
      <c r="G105" s="38">
        <f t="shared" si="1"/>
        <v>2.1417322834645669E-5</v>
      </c>
      <c r="H105" s="38">
        <f t="shared" si="1"/>
        <v>3.366141732283465E-5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D105" s="1"/>
    </row>
    <row r="106" spans="1:30" x14ac:dyDescent="0.2">
      <c r="A106" s="8">
        <v>2000</v>
      </c>
      <c r="B106" s="38">
        <v>2.3254000000000002E-6</v>
      </c>
      <c r="C106" s="38">
        <v>5.4190000000000005E-7</v>
      </c>
      <c r="D106" s="38">
        <v>8.5100000000000009E-7</v>
      </c>
      <c r="E106" s="3"/>
      <c r="F106" s="38">
        <f t="shared" si="1"/>
        <v>9.155118110236221E-5</v>
      </c>
      <c r="G106" s="38">
        <f t="shared" si="1"/>
        <v>2.1334645669291344E-5</v>
      </c>
      <c r="H106" s="38">
        <f t="shared" si="1"/>
        <v>3.3503937007874022E-5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D106" s="1"/>
    </row>
    <row r="107" spans="1:30" x14ac:dyDescent="0.2">
      <c r="A107" s="8">
        <v>2020</v>
      </c>
      <c r="B107" s="38">
        <v>2.3252000000000002E-6</v>
      </c>
      <c r="C107" s="38">
        <v>5.4069999999999996E-7</v>
      </c>
      <c r="D107" s="38">
        <v>8.4700000000000011E-7</v>
      </c>
      <c r="E107" s="3"/>
      <c r="F107" s="38">
        <f t="shared" si="1"/>
        <v>9.1543307086614195E-5</v>
      </c>
      <c r="G107" s="38">
        <f t="shared" si="1"/>
        <v>2.128740157480315E-5</v>
      </c>
      <c r="H107" s="38">
        <f t="shared" si="1"/>
        <v>3.3346456692913395E-5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D107" s="1"/>
    </row>
    <row r="108" spans="1:30" x14ac:dyDescent="0.2">
      <c r="A108" s="8">
        <v>2040</v>
      </c>
      <c r="B108" s="38">
        <v>2.3249E-6</v>
      </c>
      <c r="C108" s="38">
        <v>5.3959999999999999E-7</v>
      </c>
      <c r="D108" s="38">
        <v>8.4300000000000002E-7</v>
      </c>
      <c r="E108" s="3"/>
      <c r="F108" s="38">
        <f t="shared" si="1"/>
        <v>9.1531496062992131E-5</v>
      </c>
      <c r="G108" s="38">
        <f t="shared" si="1"/>
        <v>2.1244094488188976E-5</v>
      </c>
      <c r="H108" s="38">
        <f t="shared" si="1"/>
        <v>3.318897637795276E-5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D108" s="1"/>
    </row>
    <row r="109" spans="1:30" x14ac:dyDescent="0.2">
      <c r="A109" s="8">
        <v>2060</v>
      </c>
      <c r="B109" s="38">
        <v>2.3146000000000003E-6</v>
      </c>
      <c r="C109" s="38">
        <v>5.3850000000000001E-7</v>
      </c>
      <c r="D109" s="38">
        <v>8.3799999999999996E-7</v>
      </c>
      <c r="E109" s="3"/>
      <c r="F109" s="38">
        <f t="shared" si="1"/>
        <v>9.1125984251968521E-5</v>
      </c>
      <c r="G109" s="38">
        <f t="shared" si="1"/>
        <v>2.1200787401574807E-5</v>
      </c>
      <c r="H109" s="38">
        <f t="shared" si="1"/>
        <v>3.2992125984251967E-5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D109" s="1"/>
    </row>
    <row r="110" spans="1:30" x14ac:dyDescent="0.2">
      <c r="A110" s="8">
        <v>2080</v>
      </c>
      <c r="B110" s="38">
        <v>2.3143E-6</v>
      </c>
      <c r="C110" s="38">
        <v>5.3729999999999992E-7</v>
      </c>
      <c r="D110" s="38">
        <v>8.3399999999999998E-7</v>
      </c>
      <c r="E110" s="3"/>
      <c r="F110" s="38">
        <f t="shared" si="1"/>
        <v>9.1114173228346458E-5</v>
      </c>
      <c r="G110" s="38">
        <f t="shared" si="1"/>
        <v>2.1153543307086612E-5</v>
      </c>
      <c r="H110" s="38">
        <f t="shared" si="1"/>
        <v>3.2834645669291339E-5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D110" s="1"/>
    </row>
    <row r="111" spans="1:30" x14ac:dyDescent="0.2">
      <c r="A111" s="8">
        <v>2100</v>
      </c>
      <c r="B111" s="38">
        <v>2.3140000000000002E-6</v>
      </c>
      <c r="C111" s="38">
        <v>5.3719999999999991E-7</v>
      </c>
      <c r="D111" s="38">
        <v>8.2900000000000002E-7</v>
      </c>
      <c r="E111" s="3"/>
      <c r="F111" s="38">
        <f t="shared" si="1"/>
        <v>9.1102362204724421E-5</v>
      </c>
      <c r="G111" s="38">
        <f t="shared" si="1"/>
        <v>2.1149606299212598E-5</v>
      </c>
      <c r="H111" s="38">
        <f t="shared" si="1"/>
        <v>3.2637795275590552E-5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D111" s="1"/>
    </row>
    <row r="112" spans="1:30" x14ac:dyDescent="0.2">
      <c r="A112" s="8">
        <v>2120</v>
      </c>
      <c r="B112" s="38">
        <v>2.3137000000000004E-6</v>
      </c>
      <c r="C112" s="38">
        <v>5.3709999999999991E-7</v>
      </c>
      <c r="D112" s="38">
        <v>8.2499999999999994E-7</v>
      </c>
      <c r="E112" s="3"/>
      <c r="F112" s="38">
        <f t="shared" si="1"/>
        <v>9.1090551181102384E-5</v>
      </c>
      <c r="G112" s="38">
        <f t="shared" si="1"/>
        <v>2.114566929133858E-5</v>
      </c>
      <c r="H112" s="38">
        <f t="shared" si="1"/>
        <v>3.2480314960629918E-5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D112" s="1"/>
    </row>
    <row r="113" spans="1:30" x14ac:dyDescent="0.2">
      <c r="A113" s="8">
        <v>2140</v>
      </c>
      <c r="B113" s="38">
        <v>2.3133000000000004E-6</v>
      </c>
      <c r="C113" s="38">
        <v>5.369E-7</v>
      </c>
      <c r="D113" s="38">
        <v>8.1999999999999998E-7</v>
      </c>
      <c r="E113" s="3"/>
      <c r="F113" s="38">
        <f t="shared" si="1"/>
        <v>9.1074803149606312E-5</v>
      </c>
      <c r="G113" s="38">
        <f t="shared" si="1"/>
        <v>2.1137795275590551E-5</v>
      </c>
      <c r="H113" s="38">
        <f t="shared" si="1"/>
        <v>3.2283464566929138E-5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D113" s="1"/>
    </row>
    <row r="114" spans="1:30" x14ac:dyDescent="0.2">
      <c r="A114" s="8">
        <v>2160</v>
      </c>
      <c r="B114" s="38">
        <v>2.3130000000000001E-6</v>
      </c>
      <c r="C114" s="38">
        <v>5.3679999999999999E-7</v>
      </c>
      <c r="D114" s="38">
        <v>8.159999999999999E-7</v>
      </c>
      <c r="E114" s="3"/>
      <c r="F114" s="38">
        <f t="shared" si="1"/>
        <v>9.1062992125984249E-5</v>
      </c>
      <c r="G114" s="38">
        <f t="shared" si="1"/>
        <v>2.113385826771654E-5</v>
      </c>
      <c r="H114" s="38">
        <f t="shared" si="1"/>
        <v>3.2125984251968504E-5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D114" s="1"/>
    </row>
    <row r="115" spans="1:30" x14ac:dyDescent="0.2">
      <c r="A115" s="8">
        <v>2180</v>
      </c>
      <c r="B115" s="38">
        <v>2.3027E-6</v>
      </c>
      <c r="C115" s="38">
        <v>5.3770000000000006E-7</v>
      </c>
      <c r="D115" s="38">
        <v>8.1100000000000005E-7</v>
      </c>
      <c r="E115" s="3"/>
      <c r="F115" s="38">
        <f t="shared" si="1"/>
        <v>9.0657480314960639E-5</v>
      </c>
      <c r="G115" s="38">
        <f t="shared" si="1"/>
        <v>2.1169291338582677E-5</v>
      </c>
      <c r="H115" s="38">
        <f t="shared" si="1"/>
        <v>3.1929133858267724E-5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D115" s="1"/>
    </row>
    <row r="116" spans="1:30" x14ac:dyDescent="0.2">
      <c r="A116" s="8">
        <v>2200</v>
      </c>
      <c r="B116" s="38">
        <v>2.3023999999999998E-6</v>
      </c>
      <c r="C116" s="38">
        <v>5.3860000000000002E-7</v>
      </c>
      <c r="D116" s="38">
        <v>8.0599999999999999E-7</v>
      </c>
      <c r="E116" s="3"/>
      <c r="F116" s="38">
        <f t="shared" si="1"/>
        <v>9.0645669291338575E-5</v>
      </c>
      <c r="G116" s="38">
        <f t="shared" si="1"/>
        <v>2.1204724409448818E-5</v>
      </c>
      <c r="H116" s="38">
        <f t="shared" si="1"/>
        <v>3.1732283464566931E-5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D116" s="1"/>
    </row>
    <row r="117" spans="1:30" x14ac:dyDescent="0.2">
      <c r="A117" s="8">
        <v>2220</v>
      </c>
      <c r="B117" s="38">
        <v>2.3019999999999997E-6</v>
      </c>
      <c r="C117" s="38">
        <v>5.3949999999999998E-7</v>
      </c>
      <c r="D117" s="38">
        <v>8.019999999999999E-7</v>
      </c>
      <c r="E117" s="3"/>
      <c r="F117" s="38">
        <f t="shared" si="1"/>
        <v>9.0629921259842517E-5</v>
      </c>
      <c r="G117" s="38">
        <f t="shared" si="1"/>
        <v>2.1240157480314958E-5</v>
      </c>
      <c r="H117" s="38">
        <f t="shared" si="1"/>
        <v>3.1574803149606296E-5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D117" s="1"/>
    </row>
    <row r="118" spans="1:30" x14ac:dyDescent="0.2">
      <c r="A118" s="8">
        <v>2240</v>
      </c>
      <c r="B118" s="38">
        <v>2.3016999999999999E-6</v>
      </c>
      <c r="C118" s="38">
        <v>5.4030000000000004E-7</v>
      </c>
      <c r="D118" s="38">
        <v>7.9699999999999995E-7</v>
      </c>
      <c r="E118" s="3"/>
      <c r="F118" s="38">
        <f t="shared" si="1"/>
        <v>9.0618110236220467E-5</v>
      </c>
      <c r="G118" s="38">
        <f t="shared" si="1"/>
        <v>2.1271653543307091E-5</v>
      </c>
      <c r="H118" s="38">
        <f t="shared" si="1"/>
        <v>3.1377952755905509E-5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D118" s="1"/>
    </row>
    <row r="119" spans="1:30" x14ac:dyDescent="0.2">
      <c r="A119" s="8">
        <v>2260</v>
      </c>
      <c r="B119" s="38">
        <v>2.3013999999999997E-6</v>
      </c>
      <c r="C119" s="38">
        <v>5.412E-7</v>
      </c>
      <c r="D119" s="38">
        <v>7.9299999999999997E-7</v>
      </c>
      <c r="E119" s="3"/>
      <c r="F119" s="38">
        <f t="shared" si="1"/>
        <v>9.060629921259843E-5</v>
      </c>
      <c r="G119" s="38">
        <f t="shared" si="1"/>
        <v>2.1307086614173232E-5</v>
      </c>
      <c r="H119" s="38">
        <f t="shared" si="1"/>
        <v>3.1220472440944882E-5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D119" s="1"/>
    </row>
    <row r="120" spans="1:30" x14ac:dyDescent="0.2">
      <c r="A120" s="8">
        <v>2280</v>
      </c>
      <c r="B120" s="38">
        <v>2.3010999999999999E-6</v>
      </c>
      <c r="C120" s="38">
        <v>5.4209999999999996E-7</v>
      </c>
      <c r="D120" s="38">
        <v>7.9000000000000006E-7</v>
      </c>
      <c r="E120" s="3"/>
      <c r="F120" s="38">
        <f t="shared" si="1"/>
        <v>9.059448818897638E-5</v>
      </c>
      <c r="G120" s="38">
        <f t="shared" si="1"/>
        <v>2.1342519685039373E-5</v>
      </c>
      <c r="H120" s="38">
        <f t="shared" si="1"/>
        <v>3.1102362204724412E-5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D120" s="1"/>
    </row>
    <row r="121" spans="1:30" x14ac:dyDescent="0.2">
      <c r="A121" s="8">
        <v>2300</v>
      </c>
      <c r="B121" s="38">
        <v>2.3008000000000001E-6</v>
      </c>
      <c r="C121" s="38">
        <v>5.4299999999999993E-7</v>
      </c>
      <c r="D121" s="38">
        <v>7.8599999999999997E-7</v>
      </c>
      <c r="E121" s="3"/>
      <c r="F121" s="38">
        <f t="shared" si="1"/>
        <v>9.0582677165354329E-5</v>
      </c>
      <c r="G121" s="38">
        <f t="shared" si="1"/>
        <v>2.137795275590551E-5</v>
      </c>
      <c r="H121" s="38">
        <f t="shared" si="1"/>
        <v>3.0944881889763785E-5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D121" s="1"/>
    </row>
    <row r="122" spans="1:30" x14ac:dyDescent="0.2">
      <c r="A122" s="8">
        <v>2320</v>
      </c>
      <c r="B122" s="38">
        <v>2.3004999999999998E-6</v>
      </c>
      <c r="C122" s="38">
        <v>5.4489999999999996E-7</v>
      </c>
      <c r="D122" s="38">
        <v>7.8400000000000003E-7</v>
      </c>
      <c r="E122" s="3"/>
      <c r="F122" s="38">
        <f t="shared" si="1"/>
        <v>9.0570866141732293E-5</v>
      </c>
      <c r="G122" s="38">
        <f t="shared" si="1"/>
        <v>2.145275590551181E-5</v>
      </c>
      <c r="H122" s="38">
        <f t="shared" si="1"/>
        <v>3.0866141732283467E-5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D122" s="1"/>
    </row>
    <row r="123" spans="1:30" x14ac:dyDescent="0.2">
      <c r="A123" s="8">
        <v>2340</v>
      </c>
      <c r="B123" s="38">
        <v>2.3002E-6</v>
      </c>
      <c r="C123" s="38">
        <v>5.4579999999999992E-7</v>
      </c>
      <c r="D123" s="38">
        <v>7.8100000000000002E-7</v>
      </c>
      <c r="E123" s="3"/>
      <c r="F123" s="38">
        <f t="shared" si="1"/>
        <v>9.0559055118110242E-5</v>
      </c>
      <c r="G123" s="38">
        <f t="shared" si="1"/>
        <v>2.1488188976377951E-5</v>
      </c>
      <c r="H123" s="38">
        <f t="shared" si="1"/>
        <v>3.0748031496062991E-5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D123" s="1"/>
    </row>
    <row r="124" spans="1:30" x14ac:dyDescent="0.2">
      <c r="A124" s="8">
        <v>2360</v>
      </c>
      <c r="B124" s="38">
        <v>2.2900000000000001E-6</v>
      </c>
      <c r="C124" s="38">
        <v>5.4770000000000007E-7</v>
      </c>
      <c r="D124" s="38">
        <v>7.8000000000000005E-7</v>
      </c>
      <c r="E124" s="3"/>
      <c r="F124" s="38">
        <f t="shared" si="1"/>
        <v>9.0157480314960627E-5</v>
      </c>
      <c r="G124" s="38">
        <f t="shared" si="1"/>
        <v>2.1562992125984253E-5</v>
      </c>
      <c r="H124" s="38">
        <f t="shared" si="1"/>
        <v>3.070866141732284E-5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D124" s="1"/>
    </row>
    <row r="125" spans="1:30" x14ac:dyDescent="0.2">
      <c r="A125" s="8">
        <v>2380</v>
      </c>
      <c r="B125" s="38">
        <v>2.2896999999999999E-6</v>
      </c>
      <c r="C125" s="38">
        <v>5.4850000000000002E-7</v>
      </c>
      <c r="D125" s="38">
        <v>7.8000000000000005E-7</v>
      </c>
      <c r="E125" s="3"/>
      <c r="F125" s="38">
        <f t="shared" si="1"/>
        <v>9.014566929133859E-5</v>
      </c>
      <c r="G125" s="38">
        <f t="shared" si="1"/>
        <v>2.159448818897638E-5</v>
      </c>
      <c r="H125" s="38">
        <f t="shared" si="1"/>
        <v>3.070866141732284E-5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D125" s="1"/>
    </row>
    <row r="126" spans="1:30" x14ac:dyDescent="0.2">
      <c r="A126" s="8">
        <v>2400</v>
      </c>
      <c r="B126" s="38">
        <v>2.2894999999999998E-6</v>
      </c>
      <c r="C126" s="38">
        <v>5.4939999999999998E-7</v>
      </c>
      <c r="D126" s="38">
        <v>7.8100000000000002E-7</v>
      </c>
      <c r="E126" s="3"/>
      <c r="F126" s="38">
        <f t="shared" si="1"/>
        <v>9.0137795275590547E-5</v>
      </c>
      <c r="G126" s="38">
        <f t="shared" si="1"/>
        <v>2.162992125984252E-5</v>
      </c>
      <c r="H126" s="38">
        <f t="shared" si="1"/>
        <v>3.0748031496062991E-5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D126" s="1"/>
    </row>
    <row r="127" spans="1:30" x14ac:dyDescent="0.2">
      <c r="A127" s="3"/>
      <c r="B127" s="3"/>
      <c r="C127" s="3"/>
      <c r="D127" s="3"/>
      <c r="E127" s="3"/>
      <c r="F127" s="3"/>
      <c r="G127" s="3"/>
      <c r="H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D127" s="1"/>
    </row>
    <row r="128" spans="1:30" x14ac:dyDescent="0.2">
      <c r="A128" s="8" t="s">
        <v>21</v>
      </c>
      <c r="B128" s="38">
        <f>MAX(B6:B126)</f>
        <v>2.6104E-6</v>
      </c>
      <c r="C128" s="38">
        <f>MAX(C6:C126)</f>
        <v>7.3440000000000001E-7</v>
      </c>
      <c r="D128" s="38">
        <f>MAX(D6:D126)</f>
        <v>1.0689999999999998E-6</v>
      </c>
      <c r="E128" s="4"/>
      <c r="F128" s="38">
        <f>MAX(F20:F126)</f>
        <v>1.027716535433071E-4</v>
      </c>
      <c r="G128" s="38">
        <f>MAX(G20:G126)</f>
        <v>2.8913385826771654E-5</v>
      </c>
      <c r="H128" s="38">
        <f>MAX(H20:H126)</f>
        <v>4.2086614173228344E-5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D128" s="1"/>
    </row>
    <row r="129" spans="1:30" x14ac:dyDescent="0.2">
      <c r="A129" s="8" t="s">
        <v>22</v>
      </c>
      <c r="B129" s="38">
        <f>B128*limits!$E29</f>
        <v>4.8658159880056055E-4</v>
      </c>
      <c r="C129" s="38">
        <f>C128*limits!$E29</f>
        <v>1.3689301492458307E-4</v>
      </c>
      <c r="D129" s="38">
        <f>D128*limits!$E29</f>
        <v>1.9926284443679099E-4</v>
      </c>
      <c r="E129" s="4"/>
      <c r="F129" s="38">
        <f>F128*limits!$E29</f>
        <v>1.9156755858289787E-2</v>
      </c>
      <c r="G129" s="38">
        <f>G128*limits!$E29</f>
        <v>5.3894887765583892E-3</v>
      </c>
      <c r="H129" s="38">
        <f>H128*limits!$E29</f>
        <v>7.844993875464213E-3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D129" s="1"/>
    </row>
    <row r="130" spans="1:30" x14ac:dyDescent="0.2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D130" s="1"/>
    </row>
    <row r="131" spans="1:30" x14ac:dyDescent="0.2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D131" s="1"/>
    </row>
    <row r="132" spans="1:30" x14ac:dyDescent="0.2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D132" s="1"/>
    </row>
    <row r="133" spans="1:30" x14ac:dyDescent="0.2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D133" s="1"/>
    </row>
    <row r="134" spans="1:30" x14ac:dyDescent="0.2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D134" s="1"/>
    </row>
    <row r="135" spans="1:30" x14ac:dyDescent="0.2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D135" s="1"/>
    </row>
    <row r="136" spans="1:30" x14ac:dyDescent="0.2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D136" s="1"/>
    </row>
    <row r="137" spans="1:30" x14ac:dyDescent="0.2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</row>
    <row r="138" spans="1:30" x14ac:dyDescent="0.2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1"/>
    </row>
    <row r="139" spans="1:30" x14ac:dyDescent="0.2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1"/>
    </row>
    <row r="140" spans="1:30" x14ac:dyDescent="0.2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1"/>
    </row>
  </sheetData>
  <mergeCells count="4">
    <mergeCell ref="F2:H2"/>
    <mergeCell ref="A4:A5"/>
    <mergeCell ref="B4:D4"/>
    <mergeCell ref="F4:H4"/>
  </mergeCells>
  <printOptions horizontalCentered="1"/>
  <pageMargins left="0.75" right="0.75" top="1.5" bottom="0.5" header="0.75" footer="0.75"/>
  <pageSetup orientation="portrait" r:id="rId1"/>
  <headerFooter alignWithMargins="0">
    <oddHeader>&amp;L&amp;8&amp;F&amp;R&amp;8&amp;D
By: SS
Chkd:___</oddHeader>
  </headerFooter>
  <drawing r:id="rId2"/>
</worksheet>
</file>

<file path=docMetadata/LabelInfo.xml><?xml version="1.0" encoding="utf-8"?>
<clbl:labelList xmlns:clbl="http://schemas.microsoft.com/office/2020/mipLabelMetadata">
  <clbl:label id="{e9d746c0-3369-42be-bf83-6862f3f56ae7}" enabled="1" method="Standard" siteId="{75864cfe-f26d-419c-b69d-c638695b55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limits</vt:lpstr>
      <vt:lpstr>P3_LB</vt:lpstr>
      <vt:lpstr>P4_LB</vt:lpstr>
      <vt:lpstr>P5_LB</vt:lpstr>
      <vt:lpstr>P6_LB</vt:lpstr>
      <vt:lpstr>P3_UB</vt:lpstr>
      <vt:lpstr>P4_UB</vt:lpstr>
      <vt:lpstr>P5_UB</vt:lpstr>
      <vt:lpstr>P6_UB</vt:lpstr>
    </vt:vector>
  </TitlesOfParts>
  <Company>Fluor Canada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Surjani Suherman</dc:creator>
  <cp:lastModifiedBy>Coltin Walsh</cp:lastModifiedBy>
  <cp:lastPrinted>2014-06-05T19:08:36Z</cp:lastPrinted>
  <dcterms:created xsi:type="dcterms:W3CDTF">2005-05-09T17:30:21Z</dcterms:created>
  <dcterms:modified xsi:type="dcterms:W3CDTF">2026-04-21T19:45:26Z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d746c0-3369-42be-bf83-6862f3f56ae7_Enabled">
    <vt:lpwstr>true</vt:lpwstr>
  </property>
  <property fmtid="{D5CDD505-2E9C-101B-9397-08002B2CF9AE}" pid="3" name="MSIP_Label_e9d746c0-3369-42be-bf83-6862f3f56ae7_SetDate">
    <vt:lpwstr>2023-02-28T16:47:09Z</vt:lpwstr>
  </property>
  <property fmtid="{D5CDD505-2E9C-101B-9397-08002B2CF9AE}" pid="4" name="MSIP_Label_e9d746c0-3369-42be-bf83-6862f3f56ae7_Method">
    <vt:lpwstr>Standard</vt:lpwstr>
  </property>
  <property fmtid="{D5CDD505-2E9C-101B-9397-08002B2CF9AE}" pid="5" name="MSIP_Label_e9d746c0-3369-42be-bf83-6862f3f56ae7_Name">
    <vt:lpwstr>Fluor General</vt:lpwstr>
  </property>
  <property fmtid="{D5CDD505-2E9C-101B-9397-08002B2CF9AE}" pid="6" name="MSIP_Label_e9d746c0-3369-42be-bf83-6862f3f56ae7_SiteId">
    <vt:lpwstr>75864cfe-f26d-419c-b69d-c638695b5533</vt:lpwstr>
  </property>
  <property fmtid="{D5CDD505-2E9C-101B-9397-08002B2CF9AE}" pid="7" name="MSIP_Label_e9d746c0-3369-42be-bf83-6862f3f56ae7_ActionId">
    <vt:lpwstr>f19c4eee-c650-4e29-bbe2-067064ffb776</vt:lpwstr>
  </property>
  <property fmtid="{D5CDD505-2E9C-101B-9397-08002B2CF9AE}" pid="8" name="MSIP_Label_e9d746c0-3369-42be-bf83-6862f3f56ae7_ContentBits">
    <vt:lpwstr>0</vt:lpwstr>
  </property>
</Properties>
</file>